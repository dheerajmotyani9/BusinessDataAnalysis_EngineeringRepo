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80"/>
  </bookViews>
  <sheets>
    <sheet name="DC JantoMay" sheetId="27" r:id="rId1"/>
    <sheet name="Sheet2" sheetId="29" r:id="rId2"/>
    <sheet name="Sheet1" sheetId="28" r:id="rId3"/>
    <sheet name="PPM Prod" sheetId="15" r:id="rId4"/>
    <sheet name="PPM CT " sheetId="16" r:id="rId5"/>
    <sheet name="PPM DRE" sheetId="17" r:id="rId6"/>
    <sheet name="Merge CT 2&amp;3" sheetId="25" r:id="rId7"/>
    <sheet name="Combine CT 2&amp;3" sheetId="26" r:id="rId8"/>
  </sheets>
  <definedNames>
    <definedName name="MY_FUNCTION1">LAMBDA(((#REF!-#REF!)/#REF!)+1)</definedName>
  </definedNames>
  <calcPr calcId="152511"/>
</workbook>
</file>

<file path=xl/calcChain.xml><?xml version="1.0" encoding="utf-8"?>
<calcChain xmlns="http://schemas.openxmlformats.org/spreadsheetml/2006/main">
  <c r="AW4" i="27" l="1"/>
  <c r="AW5" i="27"/>
  <c r="AW6" i="27"/>
  <c r="AW7" i="27"/>
  <c r="AW8" i="27"/>
  <c r="AW9" i="27"/>
  <c r="AW10" i="27"/>
  <c r="AW11" i="27"/>
  <c r="AW12" i="27"/>
  <c r="AW13" i="27"/>
  <c r="AW14" i="27"/>
  <c r="AW16" i="27"/>
  <c r="AW17" i="27"/>
  <c r="AW18" i="27"/>
  <c r="AW19" i="27"/>
  <c r="AW20" i="27"/>
  <c r="AW21" i="27"/>
  <c r="AW23" i="27"/>
  <c r="AW24" i="27"/>
  <c r="AW2" i="27"/>
  <c r="AZ3" i="27"/>
  <c r="AZ4" i="27"/>
  <c r="AZ5" i="27"/>
  <c r="AZ6" i="27"/>
  <c r="AZ7" i="27"/>
  <c r="AZ8" i="27"/>
  <c r="AZ9" i="27"/>
  <c r="AZ10" i="27"/>
  <c r="AZ11" i="27"/>
  <c r="AZ12" i="27"/>
  <c r="AZ13" i="27"/>
  <c r="AZ14" i="27"/>
  <c r="AZ15" i="27"/>
  <c r="AZ16" i="27"/>
  <c r="AZ17" i="27"/>
  <c r="AZ18" i="27"/>
  <c r="AZ19" i="27"/>
  <c r="AZ20" i="27"/>
  <c r="AZ21" i="27"/>
  <c r="AZ22" i="27"/>
  <c r="AZ23" i="27"/>
  <c r="AZ24" i="27"/>
  <c r="AZ2" i="27"/>
  <c r="AY3" i="27"/>
  <c r="AW3" i="27" s="1"/>
  <c r="AY4" i="27"/>
  <c r="AY5" i="27"/>
  <c r="AY6" i="27"/>
  <c r="AY7" i="27"/>
  <c r="AY8" i="27"/>
  <c r="AY9" i="27"/>
  <c r="AY10" i="27"/>
  <c r="AY11" i="27"/>
  <c r="AY12" i="27"/>
  <c r="AY13" i="27"/>
  <c r="AY14" i="27"/>
  <c r="AY15" i="27"/>
  <c r="AW15" i="27" s="1"/>
  <c r="AY16" i="27"/>
  <c r="AY17" i="27"/>
  <c r="AY18" i="27"/>
  <c r="AY19" i="27"/>
  <c r="AY20" i="27"/>
  <c r="AY21" i="27"/>
  <c r="AY22" i="27"/>
  <c r="AW22" i="27" s="1"/>
  <c r="AY23" i="27"/>
  <c r="AY24" i="27"/>
  <c r="AY2" i="27"/>
  <c r="AX3" i="27"/>
  <c r="AX4" i="27"/>
  <c r="AX5" i="27"/>
  <c r="AX6" i="27"/>
  <c r="AX7" i="27"/>
  <c r="AX8" i="27"/>
  <c r="AX9" i="27"/>
  <c r="AX10" i="27"/>
  <c r="AX11" i="27"/>
  <c r="AX12" i="27"/>
  <c r="AX13" i="27"/>
  <c r="AX14" i="27"/>
  <c r="AX15" i="27"/>
  <c r="AX16" i="27"/>
  <c r="AX17" i="27"/>
  <c r="AX18" i="27"/>
  <c r="AX19" i="27"/>
  <c r="AX20" i="27"/>
  <c r="AX21" i="27"/>
  <c r="AX22" i="27"/>
  <c r="AX23" i="27"/>
  <c r="AX24" i="27"/>
  <c r="AX2" i="27"/>
  <c r="AV3" i="27"/>
  <c r="AV4" i="27"/>
  <c r="AV5" i="27"/>
  <c r="AV6" i="27"/>
  <c r="AV7" i="27"/>
  <c r="AV8" i="27"/>
  <c r="AV9" i="27"/>
  <c r="AV10" i="27"/>
  <c r="AV11" i="27"/>
  <c r="AV12" i="27"/>
  <c r="AV13" i="27"/>
  <c r="AV14" i="27"/>
  <c r="AV15" i="27"/>
  <c r="AV16" i="27"/>
  <c r="AV17" i="27"/>
  <c r="AV18" i="27"/>
  <c r="AV19" i="27"/>
  <c r="AV20" i="27"/>
  <c r="AV21" i="27"/>
  <c r="AV22" i="27"/>
  <c r="AV23" i="27"/>
  <c r="AV24" i="27"/>
  <c r="AV2" i="27"/>
  <c r="AU19" i="27"/>
  <c r="AU20" i="27" l="1"/>
  <c r="AU3" i="27"/>
  <c r="AU4" i="27"/>
  <c r="AU5" i="27"/>
  <c r="AU6" i="27"/>
  <c r="AU7" i="27"/>
  <c r="AU8" i="27"/>
  <c r="AU9" i="27"/>
  <c r="AU10" i="27"/>
  <c r="AU11" i="27"/>
  <c r="AU12" i="27"/>
  <c r="AU13" i="27"/>
  <c r="AU14" i="27"/>
  <c r="AU15" i="27"/>
  <c r="AU16" i="27"/>
  <c r="AU17" i="27"/>
  <c r="AU18" i="27"/>
  <c r="AU21" i="27"/>
  <c r="AU22" i="27"/>
  <c r="AU23" i="27"/>
  <c r="AU24" i="27"/>
  <c r="AU2" i="27"/>
  <c r="AT3" i="27"/>
  <c r="AT4" i="27"/>
  <c r="AT5" i="27"/>
  <c r="AT6" i="27"/>
  <c r="AT7" i="27"/>
  <c r="AT8" i="27"/>
  <c r="AT9" i="27"/>
  <c r="AT10" i="27"/>
  <c r="AT11" i="27"/>
  <c r="AT12" i="27"/>
  <c r="AT13" i="27"/>
  <c r="AT14" i="27"/>
  <c r="AT15" i="27"/>
  <c r="AT16" i="27"/>
  <c r="AT17" i="27"/>
  <c r="AT18" i="27"/>
  <c r="AT19" i="27"/>
  <c r="AT20" i="27"/>
  <c r="AT21" i="27"/>
  <c r="AT22" i="27"/>
  <c r="AT23" i="27"/>
  <c r="AT24" i="27"/>
  <c r="AT2" i="27"/>
  <c r="AS3" i="27"/>
  <c r="AS4" i="27"/>
  <c r="AS5" i="27"/>
  <c r="AS6" i="27"/>
  <c r="AS7" i="27"/>
  <c r="AS8" i="27"/>
  <c r="AS9" i="27"/>
  <c r="AS10" i="27"/>
  <c r="AS11" i="27"/>
  <c r="AS12" i="27"/>
  <c r="AS13" i="27"/>
  <c r="AS14" i="27"/>
  <c r="AS15" i="27"/>
  <c r="AS16" i="27"/>
  <c r="AS17" i="27"/>
  <c r="AS18" i="27"/>
  <c r="AS19" i="27"/>
  <c r="AS20" i="27"/>
  <c r="AS21" i="27"/>
  <c r="AS22" i="27"/>
  <c r="AS23" i="27"/>
  <c r="AS24" i="27"/>
  <c r="AS2" i="27"/>
  <c r="AR3" i="27"/>
  <c r="AR4" i="27"/>
  <c r="AR5" i="27"/>
  <c r="AR6" i="27"/>
  <c r="AR7" i="27"/>
  <c r="AR8" i="27"/>
  <c r="AR9" i="27"/>
  <c r="AR10" i="27"/>
  <c r="AR11" i="27"/>
  <c r="AR12" i="27"/>
  <c r="AR13" i="27"/>
  <c r="AR14" i="27"/>
  <c r="AR15" i="27"/>
  <c r="AR16" i="27"/>
  <c r="AR17" i="27"/>
  <c r="AR18" i="27"/>
  <c r="AR19" i="27"/>
  <c r="AR20" i="27"/>
  <c r="AR21" i="27"/>
  <c r="AR22" i="27"/>
  <c r="AR23" i="27"/>
  <c r="AR24" i="27"/>
  <c r="AR2" i="27"/>
  <c r="AQ3" i="27"/>
  <c r="AQ4" i="27"/>
  <c r="AQ5" i="27"/>
  <c r="AQ6" i="27"/>
  <c r="AQ7" i="27"/>
  <c r="AQ8" i="27"/>
  <c r="AQ9" i="27"/>
  <c r="AQ10" i="27"/>
  <c r="AQ11" i="27"/>
  <c r="AQ12" i="27"/>
  <c r="AQ13" i="27"/>
  <c r="AQ14" i="27"/>
  <c r="AQ15" i="27"/>
  <c r="AQ16" i="27"/>
  <c r="AQ17" i="27"/>
  <c r="AQ18" i="27"/>
  <c r="AQ19" i="27"/>
  <c r="AQ20" i="27"/>
  <c r="AQ21" i="27"/>
  <c r="AQ22" i="27"/>
  <c r="AQ23" i="27"/>
  <c r="AQ24" i="27"/>
  <c r="AQ2" i="27"/>
  <c r="AP3" i="27"/>
  <c r="AP4" i="27"/>
  <c r="AP5" i="27"/>
  <c r="AP6" i="27"/>
  <c r="AP7" i="27"/>
  <c r="AP8" i="27"/>
  <c r="AP9" i="27"/>
  <c r="AP10" i="27"/>
  <c r="AP11" i="27"/>
  <c r="AP12" i="27"/>
  <c r="AP13" i="27"/>
  <c r="AP14" i="27"/>
  <c r="AP15" i="27"/>
  <c r="AP16" i="27"/>
  <c r="AP17" i="27"/>
  <c r="AP18" i="27"/>
  <c r="AP19" i="27"/>
  <c r="AP20" i="27"/>
  <c r="AP21" i="27"/>
  <c r="AP22" i="27"/>
  <c r="AP23" i="27"/>
  <c r="AP24" i="27"/>
  <c r="AP2" i="27"/>
  <c r="AO3" i="27"/>
  <c r="AO4" i="27"/>
  <c r="AO5" i="27"/>
  <c r="AO6" i="27"/>
  <c r="AO7" i="27"/>
  <c r="AO8" i="27"/>
  <c r="AO9" i="27"/>
  <c r="AO10" i="27"/>
  <c r="AO11" i="27"/>
  <c r="AO12" i="27"/>
  <c r="AO13" i="27"/>
  <c r="AO14" i="27"/>
  <c r="AO15" i="27"/>
  <c r="AO16" i="27"/>
  <c r="AO17" i="27"/>
  <c r="AO18" i="27"/>
  <c r="AO19" i="27"/>
  <c r="AO20" i="27"/>
  <c r="AO21" i="27"/>
  <c r="AO22" i="27"/>
  <c r="AO23" i="27"/>
  <c r="AO24" i="27"/>
  <c r="AO2" i="27"/>
  <c r="AN3" i="27"/>
  <c r="AN4" i="27"/>
  <c r="AN5" i="27"/>
  <c r="AN6" i="27"/>
  <c r="AN7" i="27"/>
  <c r="AN8" i="27"/>
  <c r="AN9" i="27"/>
  <c r="AN10" i="27"/>
  <c r="AN11" i="27"/>
  <c r="AN12" i="27"/>
  <c r="AN13" i="27"/>
  <c r="AN14" i="27"/>
  <c r="AN15" i="27"/>
  <c r="AN16" i="27"/>
  <c r="AN17" i="27"/>
  <c r="AN18" i="27"/>
  <c r="AN19" i="27"/>
  <c r="AN20" i="27"/>
  <c r="AN21" i="27"/>
  <c r="AN22" i="27"/>
  <c r="AN23" i="27"/>
  <c r="AN24" i="27"/>
  <c r="AN2" i="27"/>
  <c r="AM28" i="27"/>
  <c r="AM29" i="27"/>
  <c r="AM30" i="27"/>
  <c r="AM3" i="27"/>
  <c r="AM4" i="27"/>
  <c r="AM5" i="27"/>
  <c r="AM6" i="27"/>
  <c r="AM7" i="27"/>
  <c r="AM8" i="27"/>
  <c r="AM9" i="27"/>
  <c r="AM10" i="27"/>
  <c r="AM11" i="27"/>
  <c r="AM12" i="27"/>
  <c r="AM13" i="27"/>
  <c r="AM14" i="27"/>
  <c r="AM15" i="27"/>
  <c r="AM16" i="27"/>
  <c r="AM17" i="27"/>
  <c r="AM18" i="27"/>
  <c r="AM19" i="27"/>
  <c r="AM20" i="27"/>
  <c r="AM21" i="27"/>
  <c r="AM22" i="27"/>
  <c r="AM23" i="27"/>
  <c r="AM24" i="27"/>
  <c r="AM2" i="27"/>
  <c r="H29" i="27" l="1"/>
  <c r="H30" i="27"/>
  <c r="H28" i="27"/>
  <c r="H3" i="27"/>
  <c r="H4" i="27"/>
  <c r="H5" i="27"/>
  <c r="H6" i="27"/>
  <c r="H7" i="27"/>
  <c r="H8" i="27"/>
  <c r="H9" i="27"/>
  <c r="H10" i="27"/>
  <c r="H11" i="27"/>
  <c r="H12" i="27"/>
  <c r="H13" i="27"/>
  <c r="H14" i="27"/>
  <c r="H15" i="27"/>
  <c r="H16" i="27"/>
  <c r="H17" i="27"/>
  <c r="H18" i="27"/>
  <c r="H19" i="27"/>
  <c r="H20" i="27"/>
  <c r="H21" i="27"/>
  <c r="H22" i="27"/>
  <c r="H23" i="27"/>
  <c r="H24" i="27"/>
  <c r="H2" i="27"/>
  <c r="Q72" i="26" l="1"/>
  <c r="P72" i="26"/>
  <c r="O72" i="26"/>
  <c r="Q71" i="26"/>
  <c r="P71" i="26"/>
  <c r="O71" i="26"/>
  <c r="O69" i="26"/>
  <c r="R64" i="26"/>
  <c r="Q64" i="26"/>
  <c r="P64" i="26"/>
  <c r="O64" i="26"/>
  <c r="R63" i="26"/>
  <c r="Q63" i="26"/>
  <c r="P63" i="26"/>
  <c r="O63" i="26"/>
  <c r="O61" i="26"/>
  <c r="Q56" i="26"/>
  <c r="O56" i="26"/>
  <c r="R49" i="26"/>
  <c r="Q49" i="26"/>
  <c r="P49" i="26"/>
  <c r="O49" i="26"/>
  <c r="R63" i="25"/>
  <c r="Q63" i="25"/>
  <c r="R62" i="25"/>
  <c r="Q62" i="25"/>
  <c r="P60" i="25"/>
  <c r="P62" i="25" s="1"/>
  <c r="R55" i="25"/>
  <c r="P55" i="25" s="1"/>
  <c r="R48" i="25"/>
  <c r="Q48" i="25"/>
  <c r="P48" i="25"/>
  <c r="P63" i="25" l="1"/>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<sst xmlns="http://schemas.openxmlformats.org/spreadsheetml/2006/main" count="323" uniqueCount="142">
  <si>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</si>
  <si>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</si>
  <si>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</si>
  <si>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</si>
  <si>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</si>
  <si>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</si>
  <si>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</si>
  <si>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</si>
  <si>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</si>
  <si>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</si>
  <si>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</si>
  <si>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</si>
  <si>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</si>
  <si>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</si>
  <si>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</si>
  <si>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</si>
  <si>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</si>
  <si>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</si>
  <si>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</si>
  <si>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</si>
  <si>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</si>
  <si>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</si>
  <si>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</si>
  <si>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</si>
  <si>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</si>
  <si>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</si>
  <si>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</si>
  <si>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</si>
  <si>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</si>
  <si>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</si>
  <si>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</si>
  <si>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</si>
  <si>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</si>
  <si>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</si>
  <si>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</si>
  <si>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</si>
  <si>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</si>
  <si>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</si>
  <si>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</si>
  <si>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</si>
  <si>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</si>
  <si>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</si>
  <si>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</si>
  <si>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</si>
  <si>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</si>
  <si>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</si>
  <si>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</si>
  <si>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</si>
  <si>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</si>
  <si>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</si>
  <si>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</si>
  <si>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</si>
  <si>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</si>
  <si>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</si>
  <si>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</si>
  <si>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</si>
  <si>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</si>
  <si>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</si>
  <si>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</si>
  <si>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</si>
  <si>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</si>
  <si>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</si>
  <si>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</si>
  <si>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</si>
  <si>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</si>
  <si>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</si>
  <si>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</si>
  <si>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</si>
  <si>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</si>
  <si>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</si>
  <si>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</si>
  <si>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</si>
  <si>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</si>
  <si>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</si>
  <si>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</si>
  <si>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</si>
  <si>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</si>
  <si>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</si>
  <si>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</si>
  <si>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</si>
  <si>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</si>
  <si>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</si>
  <si>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</si>
  <si>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0.150 + 1.327 Code_CT + 1.378 Test_CT</t>
  </si>
  <si>
    <t>0.057 + 2.133 Req_CT + 1.397 Code_CT + 0.469 Test_CT</t>
  </si>
  <si>
    <t>0.0749 + 2.440 Req_CT + 1.509 Code_CT</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</si>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</sst>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b/>
      <sz val="12"/>
      <name val="Calibri"/>
      <family val="2"/>
    </font>
    <font>
      <sz val="12"/>
      <color theme="1"/>
      <name val="Calibri"/>
      <family val="2"/>
    </font>
    <font>
      <sz val="12"/>
      <name val="Calibri"/>
      <family val="2"/>
    </font>
  </fonts>
  <fills count="17">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bgColor rgb="FFA8D08D"/>
      </patternFill>
    </fill>
    <fill>
      <patternFill patternType="solid">
        <fgColor theme="0"/>
        <bgColor rgb="FFC1D7D7"/>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
      <left/>
      <right/>
      <top style="thin">
        <color rgb="FF000000"/>
      </top>
      <bottom style="thin">
        <color rgb="FF000000"/>
      </bottom>
      <diagonal/>
    </border>
    <border>
      <left style="thin">
        <color rgb="FF000000"/>
      </left>
      <right style="thin">
        <color rgb="FF000000"/>
      </right>
      <top/>
      <bottom style="thin">
        <color indexed="64"/>
      </bottom>
      <diagonal/>
    </border>
  </borders>
  <cellStyleXfs count="7">
    <xf numFmtId="0" fontId="0" fillId="0" borderId="0"/>
    <xf numFmtId="0" fontId="5" fillId="0" borderId="0"/>
    <xf numFmtId="0" fontId="8" fillId="0" borderId="0"/>
    <xf numFmtId="9" fontId="5" fillId="0" borderId="0" applyFont="0" applyFill="0" applyBorder="0" applyAlignment="0" applyProtection="0"/>
    <xf numFmtId="0" fontId="4" fillId="0" borderId="0"/>
    <xf numFmtId="0" fontId="2" fillId="0" borderId="0"/>
    <xf numFmtId="0" fontId="1" fillId="0" borderId="0"/>
  </cellStyleXfs>
  <cellXfs count="131">
    <xf numFmtId="0" fontId="0" fillId="0" borderId="0" xfId="0"/>
    <xf numFmtId="0" fontId="6" fillId="2"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7" fillId="0" borderId="1" xfId="0" applyFont="1" applyBorder="1" applyAlignment="1">
      <alignment horizontal="left" vertical="center"/>
    </xf>
    <xf numFmtId="165" fontId="7" fillId="0" borderId="1" xfId="0" applyNumberFormat="1" applyFont="1" applyBorder="1" applyAlignment="1">
      <alignment horizontal="left" vertical="center"/>
    </xf>
    <xf numFmtId="2" fontId="0" fillId="0" borderId="0" xfId="0" applyNumberFormat="1"/>
    <xf numFmtId="0" fontId="9" fillId="0" borderId="5" xfId="1" applyFont="1" applyBorder="1" applyAlignment="1">
      <alignment vertical="top"/>
    </xf>
    <xf numFmtId="2" fontId="9" fillId="0" borderId="5" xfId="0" applyNumberFormat="1" applyFont="1" applyBorder="1"/>
    <xf numFmtId="0" fontId="5"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5" fillId="0" borderId="0" xfId="1"/>
    <xf numFmtId="2" fontId="3" fillId="0" borderId="0" xfId="3" applyNumberFormat="1" applyFont="1"/>
    <xf numFmtId="0" fontId="5" fillId="11" borderId="5" xfId="1" applyFill="1" applyBorder="1" applyAlignment="1">
      <alignment vertical="top"/>
    </xf>
    <xf numFmtId="0" fontId="0" fillId="0" borderId="5" xfId="0" applyBorder="1" applyAlignment="1">
      <alignment vertical="top"/>
    </xf>
    <xf numFmtId="0" fontId="5" fillId="0" borderId="5" xfId="1" applyBorder="1"/>
    <xf numFmtId="165" fontId="5" fillId="0" borderId="5" xfId="1" applyNumberFormat="1" applyBorder="1" applyAlignment="1">
      <alignment vertical="top"/>
    </xf>
    <xf numFmtId="2" fontId="5" fillId="11" borderId="5" xfId="1" applyNumberFormat="1" applyFill="1" applyBorder="1" applyAlignment="1">
      <alignment vertical="top"/>
    </xf>
    <xf numFmtId="0" fontId="3" fillId="0" borderId="0" xfId="0" applyFont="1"/>
    <xf numFmtId="2" fontId="9" fillId="0" borderId="7" xfId="0" applyNumberFormat="1" applyFont="1" applyBorder="1"/>
    <xf numFmtId="0" fontId="5" fillId="11" borderId="5" xfId="1" applyFill="1" applyBorder="1"/>
    <xf numFmtId="0" fontId="5" fillId="0" borderId="0" xfId="1" applyAlignment="1">
      <alignment vertical="top"/>
    </xf>
    <xf numFmtId="0" fontId="5" fillId="10" borderId="5" xfId="1" applyFill="1" applyBorder="1"/>
    <xf numFmtId="0" fontId="9" fillId="0" borderId="5" xfId="0" applyFont="1" applyBorder="1" applyAlignment="1">
      <alignment vertical="top"/>
    </xf>
    <xf numFmtId="0" fontId="9" fillId="0" borderId="5" xfId="0" applyFont="1" applyBorder="1"/>
    <xf numFmtId="0" fontId="3"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3" fillId="10" borderId="5" xfId="0" applyFont="1" applyFill="1" applyBorder="1"/>
    <xf numFmtId="0" fontId="0" fillId="10" borderId="5" xfId="0" applyFill="1" applyBorder="1"/>
    <xf numFmtId="0" fontId="9" fillId="0" borderId="0" xfId="0" applyFont="1"/>
    <xf numFmtId="0" fontId="2" fillId="0" borderId="0" xfId="5"/>
    <xf numFmtId="0" fontId="2" fillId="0" borderId="0" xfId="5" applyFont="1"/>
    <xf numFmtId="0" fontId="9" fillId="0" borderId="5" xfId="5" applyFont="1" applyBorder="1" applyAlignment="1">
      <alignment vertical="top"/>
    </xf>
    <xf numFmtId="0" fontId="2" fillId="0" borderId="5" xfId="5" applyBorder="1" applyAlignment="1">
      <alignment vertical="top"/>
    </xf>
    <xf numFmtId="165" fontId="2" fillId="0" borderId="5" xfId="5" applyNumberFormat="1" applyBorder="1" applyAlignment="1">
      <alignment horizontal="center" vertical="top"/>
    </xf>
    <xf numFmtId="2" fontId="2" fillId="11" borderId="5" xfId="5" applyNumberFormat="1" applyFill="1" applyBorder="1" applyAlignment="1">
      <alignment horizontal="center" vertical="top"/>
    </xf>
    <xf numFmtId="2" fontId="2" fillId="0" borderId="0" xfId="3" applyNumberFormat="1" applyFont="1"/>
    <xf numFmtId="2" fontId="2" fillId="0" borderId="5" xfId="5" applyNumberFormat="1" applyBorder="1" applyAlignment="1">
      <alignment horizontal="center" vertical="top"/>
    </xf>
    <xf numFmtId="165" fontId="2" fillId="11" borderId="5" xfId="5" applyNumberFormat="1" applyFill="1" applyBorder="1" applyAlignment="1">
      <alignment vertical="top"/>
    </xf>
    <xf numFmtId="0" fontId="1" fillId="0" borderId="0" xfId="6"/>
    <xf numFmtId="0" fontId="10" fillId="12" borderId="1" xfId="6" applyFont="1" applyFill="1" applyBorder="1" applyAlignment="1">
      <alignment vertical="top" wrapText="1"/>
    </xf>
    <xf numFmtId="0" fontId="10" fillId="13" borderId="1" xfId="6" applyFont="1" applyFill="1" applyBorder="1" applyAlignment="1">
      <alignment vertical="top" wrapText="1"/>
    </xf>
    <xf numFmtId="2" fontId="7" fillId="0" borderId="1" xfId="6" applyNumberFormat="1" applyFont="1" applyBorder="1" applyAlignment="1">
      <alignment horizontal="left" vertical="center"/>
    </xf>
    <xf numFmtId="0" fontId="1" fillId="0" borderId="0" xfId="6" applyFont="1"/>
    <xf numFmtId="0" fontId="9" fillId="0" borderId="5" xfId="6" applyFont="1" applyBorder="1" applyAlignment="1">
      <alignment vertical="top"/>
    </xf>
    <xf numFmtId="0" fontId="9" fillId="0" borderId="5" xfId="6" applyFont="1" applyBorder="1"/>
    <xf numFmtId="0" fontId="1" fillId="0" borderId="5" xfId="6" applyBorder="1" applyAlignment="1">
      <alignment vertical="top"/>
    </xf>
    <xf numFmtId="0" fontId="1" fillId="10" borderId="5" xfId="6" applyFont="1" applyFill="1" applyBorder="1"/>
    <xf numFmtId="0" fontId="1" fillId="10" borderId="5" xfId="6" applyFill="1" applyBorder="1"/>
    <xf numFmtId="165" fontId="1" fillId="0" borderId="5" xfId="6" applyNumberFormat="1" applyBorder="1" applyAlignment="1">
      <alignment vertical="top"/>
    </xf>
    <xf numFmtId="0" fontId="1" fillId="0" borderId="5" xfId="6" applyFont="1" applyBorder="1"/>
    <xf numFmtId="0" fontId="1" fillId="0" borderId="5" xfId="6" applyBorder="1"/>
    <xf numFmtId="0" fontId="1" fillId="0" borderId="0" xfId="6" applyAlignment="1">
      <alignment vertical="top"/>
    </xf>
    <xf numFmtId="0" fontId="1" fillId="11" borderId="5" xfId="6" applyFill="1" applyBorder="1" applyAlignment="1">
      <alignment vertical="top"/>
    </xf>
    <xf numFmtId="0" fontId="1" fillId="11" borderId="5" xfId="6" applyFill="1" applyBorder="1"/>
    <xf numFmtId="2" fontId="7" fillId="0" borderId="3" xfId="6" applyNumberFormat="1" applyFont="1" applyBorder="1" applyAlignment="1">
      <alignment horizontal="left" vertical="center"/>
    </xf>
    <xf numFmtId="165" fontId="1" fillId="0" borderId="5" xfId="6" applyNumberFormat="1" applyBorder="1"/>
    <xf numFmtId="2" fontId="1" fillId="0" borderId="5" xfId="6" applyNumberFormat="1" applyBorder="1" applyAlignment="1">
      <alignment horizontal="left"/>
    </xf>
    <xf numFmtId="0" fontId="11" fillId="0" borderId="1" xfId="0" applyFont="1" applyBorder="1" applyAlignment="1">
      <alignment horizontal="center" vertical="center"/>
    </xf>
    <xf numFmtId="0" fontId="11"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11" fillId="4" borderId="1" xfId="0" applyFont="1" applyFill="1" applyBorder="1" applyAlignment="1">
      <alignment horizontal="center" vertical="center" wrapText="1"/>
    </xf>
    <xf numFmtId="164" fontId="11" fillId="8" borderId="1" xfId="0" applyNumberFormat="1" applyFont="1" applyFill="1" applyBorder="1" applyAlignment="1">
      <alignment horizontal="center" vertical="center"/>
    </xf>
    <xf numFmtId="164" fontId="11" fillId="15"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0" fontId="0" fillId="9" borderId="5" xfId="0" applyFill="1" applyBorder="1" applyAlignment="1">
      <alignment horizontal="center" vertical="center"/>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11" fillId="14" borderId="1" xfId="0" applyFont="1" applyFill="1" applyBorder="1" applyAlignment="1">
      <alignment horizontal="center" vertical="center" wrapText="1"/>
    </xf>
    <xf numFmtId="0" fontId="11" fillId="16" borderId="2" xfId="0" applyFont="1" applyFill="1" applyBorder="1" applyAlignment="1">
      <alignment horizontal="center" vertical="center" wrapText="1"/>
    </xf>
    <xf numFmtId="166" fontId="11" fillId="8" borderId="1" xfId="0" applyNumberFormat="1" applyFont="1" applyFill="1" applyBorder="1" applyAlignment="1">
      <alignment horizontal="center" vertical="center"/>
    </xf>
    <xf numFmtId="166" fontId="11" fillId="15" borderId="1" xfId="0" applyNumberFormat="1" applyFont="1" applyFill="1" applyBorder="1" applyAlignment="1">
      <alignment horizontal="center" vertical="center"/>
    </xf>
    <xf numFmtId="0" fontId="11" fillId="14" borderId="8"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16" borderId="5"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1" fillId="4" borderId="2" xfId="0" applyFont="1" applyFill="1" applyBorder="1" applyAlignment="1">
      <alignment horizontal="center" vertical="center"/>
    </xf>
    <xf numFmtId="0" fontId="0" fillId="0" borderId="5" xfId="0" applyBorder="1" applyAlignment="1">
      <alignment horizontal="center" vertical="center"/>
    </xf>
    <xf numFmtId="0" fontId="11" fillId="14"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0" xfId="0" applyAlignment="1">
      <alignment horizontal="center" vertical="center"/>
    </xf>
    <xf numFmtId="0" fontId="11" fillId="0" borderId="6" xfId="0" applyFont="1" applyBorder="1" applyAlignment="1">
      <alignment horizontal="center" vertical="center"/>
    </xf>
    <xf numFmtId="0" fontId="11" fillId="0" borderId="10" xfId="0" applyFont="1" applyBorder="1" applyAlignment="1">
      <alignment horizontal="center" vertical="center"/>
    </xf>
    <xf numFmtId="164" fontId="11" fillId="8" borderId="3" xfId="0" applyNumberFormat="1" applyFont="1" applyFill="1" applyBorder="1" applyAlignment="1">
      <alignment horizontal="center" vertical="center"/>
    </xf>
    <xf numFmtId="164" fontId="11" fillId="15" borderId="3" xfId="0" applyNumberFormat="1" applyFont="1" applyFill="1" applyBorder="1" applyAlignment="1">
      <alignment horizontal="center" vertical="center"/>
    </xf>
    <xf numFmtId="166" fontId="11" fillId="8" borderId="3" xfId="0" applyNumberFormat="1" applyFont="1" applyFill="1" applyBorder="1" applyAlignment="1">
      <alignment horizontal="center" vertical="center"/>
    </xf>
    <xf numFmtId="0" fontId="11" fillId="0" borderId="8" xfId="0" applyFont="1" applyBorder="1" applyAlignment="1">
      <alignment horizontal="center" vertical="center"/>
    </xf>
    <xf numFmtId="164" fontId="11" fillId="8" borderId="2" xfId="0" applyNumberFormat="1" applyFont="1" applyFill="1" applyBorder="1" applyAlignment="1">
      <alignment horizontal="center" vertical="center"/>
    </xf>
    <xf numFmtId="164" fontId="11" fillId="15" borderId="2" xfId="0"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164" fontId="11" fillId="8" borderId="5" xfId="0" applyNumberFormat="1" applyFont="1" applyFill="1" applyBorder="1" applyAlignment="1">
      <alignment horizontal="center" vertical="center"/>
    </xf>
    <xf numFmtId="164" fontId="11" fillId="15" borderId="5" xfId="0" applyNumberFormat="1" applyFont="1" applyFill="1" applyBorder="1" applyAlignment="1">
      <alignment horizontal="center" vertical="center"/>
    </xf>
    <xf numFmtId="166" fontId="11" fillId="8" borderId="5" xfId="0" applyNumberFormat="1" applyFont="1" applyFill="1" applyBorder="1" applyAlignment="1">
      <alignment horizontal="center" vertical="center"/>
    </xf>
    <xf numFmtId="166" fontId="11" fillId="15" borderId="5" xfId="0" applyNumberFormat="1" applyFont="1" applyFill="1" applyBorder="1" applyAlignment="1">
      <alignment horizontal="center" vertical="center"/>
    </xf>
    <xf numFmtId="0" fontId="11" fillId="0" borderId="12" xfId="0" applyFont="1" applyBorder="1" applyAlignment="1">
      <alignment horizontal="center" vertical="center"/>
    </xf>
    <xf numFmtId="0" fontId="6"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165" fontId="0" fillId="0" borderId="0" xfId="0" applyNumberFormat="1"/>
    <xf numFmtId="0" fontId="11" fillId="0" borderId="5" xfId="0" applyFont="1" applyBorder="1" applyAlignment="1">
      <alignment horizontal="center" vertical="center"/>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16" borderId="4" xfId="0" applyFont="1" applyFill="1" applyBorder="1" applyAlignment="1">
      <alignment horizontal="center" vertical="center"/>
    </xf>
    <xf numFmtId="0" fontId="11" fillId="16" borderId="3" xfId="0" applyFont="1" applyFill="1" applyBorder="1" applyAlignment="1">
      <alignment horizontal="center" vertical="center"/>
    </xf>
    <xf numFmtId="0" fontId="11" fillId="4" borderId="5"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13" xfId="0" applyFont="1" applyFill="1" applyBorder="1" applyAlignment="1">
      <alignment horizontal="center" vertical="center" wrapText="1"/>
    </xf>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38</xdr:row>
      <xdr:rowOff>12700</xdr:rowOff>
    </xdr:from>
    <xdr:to>
      <xdr:col>11</xdr:col>
      <xdr:colOff>398708</xdr:colOff>
      <xdr:row>95</xdr:row>
      <xdr:rowOff>155575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023100"/>
          <a:ext cx="7104308" cy="10639425"/>
        </a:xfrm>
        <a:prstGeom prst="rect">
          <a:avLst/>
        </a:prstGeom>
      </xdr:spPr>
    </xdr:pic>
    <xdr:clientData/>
  </xdr:twoCellAnchor>
  <xdr:twoCellAnchor editAs="oneCell">
    <xdr:from>
      <xdr:col>3</xdr:col>
      <xdr:colOff>558800</xdr:colOff>
      <xdr:row>0</xdr:row>
      <xdr:rowOff>0</xdr:rowOff>
    </xdr:from>
    <xdr:to>
      <xdr:col>13</xdr:col>
      <xdr:colOff>497840</xdr:colOff>
      <xdr:row>21</xdr:row>
      <xdr:rowOff>143510</xdr:rowOff>
    </xdr:to>
    <xdr:pic>
      <xdr:nvPicPr>
        <xdr:cNvPr id="3" name="Picture 2"/>
        <xdr:cNvPicPr>
          <a:picLocks noChangeAspect="1"/>
        </xdr:cNvPicPr>
      </xdr:nvPicPr>
      <xdr:blipFill>
        <a:blip xmlns:r="http://schemas.openxmlformats.org/officeDocument/2006/relationships" r:embed="rId2"/>
        <a:stretch>
          <a:fillRect/>
        </a:stretch>
      </xdr:blipFill>
      <xdr:spPr>
        <a:xfrm>
          <a:off x="2387600" y="0"/>
          <a:ext cx="6035040" cy="4023360"/>
        </a:xfrm>
        <a:prstGeom prst="rect">
          <a:avLst/>
        </a:prstGeom>
      </xdr:spPr>
    </xdr:pic>
    <xdr:clientData/>
  </xdr:twoCellAnchor>
  <xdr:twoCellAnchor editAs="oneCell">
    <xdr:from>
      <xdr:col>15</xdr:col>
      <xdr:colOff>0</xdr:colOff>
      <xdr:row>0</xdr:row>
      <xdr:rowOff>0</xdr:rowOff>
    </xdr:from>
    <xdr:to>
      <xdr:col>24</xdr:col>
      <xdr:colOff>548640</xdr:colOff>
      <xdr:row>21</xdr:row>
      <xdr:rowOff>143510</xdr:rowOff>
    </xdr:to>
    <xdr:pic>
      <xdr:nvPicPr>
        <xdr:cNvPr id="4" name="Picture 3"/>
        <xdr:cNvPicPr>
          <a:picLocks noChangeAspect="1"/>
        </xdr:cNvPicPr>
      </xdr:nvPicPr>
      <xdr:blipFill>
        <a:blip xmlns:r="http://schemas.openxmlformats.org/officeDocument/2006/relationships" r:embed="rId3"/>
        <a:stretch>
          <a:fillRect/>
        </a:stretch>
      </xdr:blipFill>
      <xdr:spPr>
        <a:xfrm>
          <a:off x="9144000" y="0"/>
          <a:ext cx="6035040" cy="4023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584200</xdr:colOff>
      <xdr:row>49</xdr:row>
      <xdr:rowOff>95250</xdr:rowOff>
    </xdr:from>
    <xdr:to>
      <xdr:col>12</xdr:col>
      <xdr:colOff>336729</xdr:colOff>
      <xdr:row>108</xdr:row>
      <xdr:rowOff>69850</xdr:rowOff>
    </xdr:to>
    <xdr:pic>
      <xdr:nvPicPr>
        <xdr:cNvPr id="2" name="Picture 1"/>
        <xdr:cNvPicPr>
          <a:picLocks noChangeAspect="1"/>
        </xdr:cNvPicPr>
      </xdr:nvPicPr>
      <xdr:blipFill>
        <a:blip xmlns:r="http://schemas.openxmlformats.org/officeDocument/2006/relationships" r:embed="rId1"/>
        <a:stretch>
          <a:fillRect/>
        </a:stretch>
      </xdr:blipFill>
      <xdr:spPr>
        <a:xfrm>
          <a:off x="584200" y="9118600"/>
          <a:ext cx="7067729" cy="10839450"/>
        </a:xfrm>
        <a:prstGeom prst="rect">
          <a:avLst/>
        </a:prstGeom>
      </xdr:spPr>
    </xdr:pic>
    <xdr:clientData/>
  </xdr:twoCellAnchor>
  <xdr:twoCellAnchor editAs="oneCell">
    <xdr:from>
      <xdr:col>7</xdr:col>
      <xdr:colOff>0</xdr:colOff>
      <xdr:row>0</xdr:row>
      <xdr:rowOff>0</xdr:rowOff>
    </xdr:from>
    <xdr:to>
      <xdr:col>17</xdr:col>
      <xdr:colOff>366358</xdr:colOff>
      <xdr:row>23</xdr:row>
      <xdr:rowOff>32572</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6462358" cy="4268022"/>
        </a:xfrm>
        <a:prstGeom prst="rect">
          <a:avLst/>
        </a:prstGeom>
      </xdr:spPr>
    </xdr:pic>
    <xdr:clientData/>
  </xdr:twoCellAnchor>
  <xdr:twoCellAnchor editAs="oneCell">
    <xdr:from>
      <xdr:col>18</xdr:col>
      <xdr:colOff>0</xdr:colOff>
      <xdr:row>0</xdr:row>
      <xdr:rowOff>0</xdr:rowOff>
    </xdr:from>
    <xdr:to>
      <xdr:col>28</xdr:col>
      <xdr:colOff>274917</xdr:colOff>
      <xdr:row>22</xdr:row>
      <xdr:rowOff>158376</xdr:rowOff>
    </xdr:to>
    <xdr:pic>
      <xdr:nvPicPr>
        <xdr:cNvPr id="4" name="Picture 3"/>
        <xdr:cNvPicPr>
          <a:picLocks noChangeAspect="1"/>
        </xdr:cNvPicPr>
      </xdr:nvPicPr>
      <xdr:blipFill>
        <a:blip xmlns:r="http://schemas.openxmlformats.org/officeDocument/2006/relationships" r:embed="rId3"/>
        <a:stretch>
          <a:fillRect/>
        </a:stretch>
      </xdr:blipFill>
      <xdr:spPr>
        <a:xfrm>
          <a:off x="10972800" y="0"/>
          <a:ext cx="6370917" cy="4209676"/>
        </a:xfrm>
        <a:prstGeom prst="rect">
          <a:avLst/>
        </a:prstGeom>
      </xdr:spPr>
    </xdr:pic>
    <xdr:clientData/>
  </xdr:twoCellAnchor>
  <xdr:twoCellAnchor editAs="oneCell">
    <xdr:from>
      <xdr:col>29</xdr:col>
      <xdr:colOff>0</xdr:colOff>
      <xdr:row>0</xdr:row>
      <xdr:rowOff>0</xdr:rowOff>
    </xdr:from>
    <xdr:to>
      <xdr:col>39</xdr:col>
      <xdr:colOff>183478</xdr:colOff>
      <xdr:row>22</xdr:row>
      <xdr:rowOff>97416</xdr:rowOff>
    </xdr:to>
    <xdr:pic>
      <xdr:nvPicPr>
        <xdr:cNvPr id="5" name="Picture 4"/>
        <xdr:cNvPicPr>
          <a:picLocks noChangeAspect="1"/>
        </xdr:cNvPicPr>
      </xdr:nvPicPr>
      <xdr:blipFill>
        <a:blip xmlns:r="http://schemas.openxmlformats.org/officeDocument/2006/relationships" r:embed="rId4"/>
        <a:stretch>
          <a:fillRect/>
        </a:stretch>
      </xdr:blipFill>
      <xdr:spPr>
        <a:xfrm>
          <a:off x="17678400" y="0"/>
          <a:ext cx="6279478" cy="4148716"/>
        </a:xfrm>
        <a:prstGeom prst="rect">
          <a:avLst/>
        </a:prstGeom>
      </xdr:spPr>
    </xdr:pic>
    <xdr:clientData/>
  </xdr:twoCellAnchor>
  <xdr:twoCellAnchor editAs="oneCell">
    <xdr:from>
      <xdr:col>40</xdr:col>
      <xdr:colOff>0</xdr:colOff>
      <xdr:row>0</xdr:row>
      <xdr:rowOff>0</xdr:rowOff>
    </xdr:from>
    <xdr:to>
      <xdr:col>50</xdr:col>
      <xdr:colOff>274917</xdr:colOff>
      <xdr:row>22</xdr:row>
      <xdr:rowOff>158376</xdr:rowOff>
    </xdr:to>
    <xdr:pic>
      <xdr:nvPicPr>
        <xdr:cNvPr id="6" name="Picture 5"/>
        <xdr:cNvPicPr>
          <a:picLocks noChangeAspect="1"/>
        </xdr:cNvPicPr>
      </xdr:nvPicPr>
      <xdr:blipFill>
        <a:blip xmlns:r="http://schemas.openxmlformats.org/officeDocument/2006/relationships" r:embed="rId5"/>
        <a:stretch>
          <a:fillRect/>
        </a:stretch>
      </xdr:blipFill>
      <xdr:spPr>
        <a:xfrm>
          <a:off x="24384000" y="0"/>
          <a:ext cx="6370917" cy="42096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topLeftCell="AA1" zoomScale="60" zoomScaleNormal="60" workbookViewId="0">
      <pane ySplit="1" topLeftCell="A2" activePane="bottomLeft" state="frozen"/>
      <selection activeCell="AC1" sqref="AC1"/>
      <selection pane="bottomLeft" activeCell="AI4" sqref="AI4"/>
    </sheetView>
  </sheetViews>
  <sheetFormatPr defaultColWidth="23.7265625" defaultRowHeight="63" customHeight="1" x14ac:dyDescent="0.35"/>
  <cols>
    <col min="1" max="1" width="3.7265625" style="101" bestFit="1" customWidth="1"/>
    <col min="2" max="2" width="11.90625" style="101" customWidth="1"/>
    <col min="3" max="3" width="13.7265625" style="101" bestFit="1" customWidth="1"/>
    <col min="4" max="4" width="10.08984375" style="101" customWidth="1"/>
    <col min="5" max="5" width="44.453125" style="101" bestFit="1" customWidth="1"/>
    <col min="6" max="6" width="52.54296875" style="119" customWidth="1"/>
    <col min="7" max="7" width="4" style="101" bestFit="1" customWidth="1"/>
    <col min="8" max="8" width="13.90625" style="101" bestFit="1" customWidth="1"/>
    <col min="9" max="9" width="15" style="101" customWidth="1"/>
    <col min="10" max="10" width="18.54296875" style="101" customWidth="1"/>
    <col min="11" max="11" width="18.36328125" style="101" customWidth="1"/>
    <col min="12" max="12" width="22.54296875" style="101" customWidth="1"/>
    <col min="13" max="13" width="21" style="101" customWidth="1"/>
    <col min="14" max="14" width="22.36328125" style="101" customWidth="1"/>
    <col min="15" max="15" width="20.08984375" style="101" customWidth="1"/>
    <col min="16" max="16" width="28.1796875" style="101" customWidth="1"/>
    <col min="17" max="17" width="26.26953125" style="101" customWidth="1"/>
    <col min="18" max="18" width="21.54296875" style="101" customWidth="1"/>
    <col min="19" max="19" width="22.1796875" style="101" customWidth="1"/>
    <col min="20" max="20" width="25.1796875" style="101" customWidth="1"/>
    <col min="21" max="21" width="23.1796875" style="101" customWidth="1"/>
    <col min="22" max="22" width="22.1796875" style="101" customWidth="1"/>
    <col min="23" max="23" width="15.453125" style="101" customWidth="1"/>
    <col min="24" max="24" width="17.54296875" style="101" customWidth="1"/>
    <col min="25" max="25" width="14.453125" style="101" customWidth="1"/>
    <col min="26" max="26" width="15.1796875" style="101" customWidth="1"/>
    <col min="27" max="27" width="14.36328125" style="101" customWidth="1"/>
    <col min="28" max="28" width="15.08984375" style="101" customWidth="1"/>
    <col min="29" max="29" width="15.36328125" style="101" customWidth="1"/>
    <col min="30" max="30" width="18.54296875" style="101" customWidth="1"/>
    <col min="31" max="31" width="18.453125" style="101" customWidth="1"/>
    <col min="32" max="32" width="16.453125" style="101" customWidth="1"/>
    <col min="33" max="33" width="18.1796875" style="101" customWidth="1"/>
    <col min="34" max="34" width="15" style="101" customWidth="1"/>
    <col min="35" max="35" width="14.26953125" style="101" customWidth="1"/>
    <col min="36" max="36" width="16.81640625" style="101" customWidth="1"/>
    <col min="37" max="37" width="13.1796875" style="101" customWidth="1"/>
    <col min="38" max="38" width="8.54296875" style="101" customWidth="1"/>
    <col min="39" max="39" width="17.1796875" style="101" bestFit="1" customWidth="1"/>
    <col min="40" max="40" width="14.453125" style="101" bestFit="1" customWidth="1"/>
    <col min="41" max="41" width="14.1796875" style="101" bestFit="1" customWidth="1"/>
    <col min="42" max="42" width="16.26953125" style="101" bestFit="1" customWidth="1"/>
    <col min="43" max="43" width="14.81640625" style="101" bestFit="1" customWidth="1"/>
    <col min="44" max="44" width="15.81640625" style="101" bestFit="1" customWidth="1"/>
    <col min="45" max="46" width="14" style="101" bestFit="1" customWidth="1"/>
    <col min="47" max="47" width="13.54296875" style="101" bestFit="1" customWidth="1"/>
    <col min="48" max="49" width="14" style="101" bestFit="1" customWidth="1"/>
    <col min="50" max="50" width="30.1796875" style="101" bestFit="1" customWidth="1"/>
    <col min="51" max="51" width="29" style="101" bestFit="1" customWidth="1"/>
    <col min="52" max="52" width="21.81640625" style="101" bestFit="1" customWidth="1"/>
    <col min="53" max="16384" width="23.7265625" style="101"/>
  </cols>
  <sheetData>
    <row r="1" spans="1:52" ht="63" customHeight="1" x14ac:dyDescent="0.35">
      <c r="A1" s="91" t="s">
        <v>0</v>
      </c>
      <c r="B1" s="91" t="s">
        <v>1</v>
      </c>
      <c r="C1" s="91" t="s">
        <v>2</v>
      </c>
      <c r="D1" s="91" t="s">
        <v>3</v>
      </c>
      <c r="E1" s="91" t="s">
        <v>4</v>
      </c>
      <c r="F1" s="117" t="s">
        <v>124</v>
      </c>
      <c r="G1" s="91" t="s">
        <v>5</v>
      </c>
      <c r="H1" s="91" t="s">
        <v>6</v>
      </c>
      <c r="I1" s="92" t="s">
        <v>7</v>
      </c>
      <c r="J1" s="92" t="s">
        <v>8</v>
      </c>
      <c r="K1" s="91" t="s">
        <v>9</v>
      </c>
      <c r="L1" s="92" t="s">
        <v>10</v>
      </c>
      <c r="M1" s="92" t="s">
        <v>11</v>
      </c>
      <c r="N1" s="93" t="s">
        <v>12</v>
      </c>
      <c r="O1" s="94" t="s">
        <v>13</v>
      </c>
      <c r="P1" s="91" t="s">
        <v>14</v>
      </c>
      <c r="Q1" s="91" t="s">
        <v>15</v>
      </c>
      <c r="R1" s="91" t="s">
        <v>16</v>
      </c>
      <c r="S1" s="95" t="s">
        <v>17</v>
      </c>
      <c r="T1" s="96" t="s">
        <v>18</v>
      </c>
      <c r="U1" s="95" t="s">
        <v>19</v>
      </c>
      <c r="V1" s="95" t="s">
        <v>20</v>
      </c>
      <c r="W1" s="95" t="s">
        <v>21</v>
      </c>
      <c r="X1" s="93" t="s">
        <v>22</v>
      </c>
      <c r="Y1" s="93" t="s">
        <v>23</v>
      </c>
      <c r="Z1" s="93" t="s">
        <v>24</v>
      </c>
      <c r="AA1" s="93" t="s">
        <v>25</v>
      </c>
      <c r="AB1" s="93" t="s">
        <v>26</v>
      </c>
      <c r="AC1" s="93" t="s">
        <v>27</v>
      </c>
      <c r="AD1" s="93" t="s">
        <v>28</v>
      </c>
      <c r="AE1" s="93" t="s">
        <v>29</v>
      </c>
      <c r="AF1" s="91" t="s">
        <v>30</v>
      </c>
      <c r="AG1" s="91" t="s">
        <v>31</v>
      </c>
      <c r="AH1" s="91" t="s">
        <v>32</v>
      </c>
      <c r="AI1" s="91" t="s">
        <v>33</v>
      </c>
      <c r="AJ1" s="91" t="s">
        <v>34</v>
      </c>
      <c r="AK1" s="91" t="s">
        <v>35</v>
      </c>
      <c r="AL1" s="91"/>
      <c r="AM1" s="98" t="s">
        <v>36</v>
      </c>
      <c r="AN1" s="99" t="s">
        <v>38</v>
      </c>
      <c r="AO1" s="99" t="s">
        <v>39</v>
      </c>
      <c r="AP1" s="99" t="s">
        <v>40</v>
      </c>
      <c r="AQ1" s="99" t="s">
        <v>41</v>
      </c>
      <c r="AR1" s="97" t="s">
        <v>42</v>
      </c>
      <c r="AS1" s="91" t="s">
        <v>43</v>
      </c>
      <c r="AT1" s="91" t="s">
        <v>44</v>
      </c>
      <c r="AU1" s="91" t="s">
        <v>45</v>
      </c>
      <c r="AV1" s="91" t="s">
        <v>46</v>
      </c>
      <c r="AW1" s="92" t="s">
        <v>37</v>
      </c>
      <c r="AX1" s="100" t="s">
        <v>56</v>
      </c>
      <c r="AY1" s="91" t="s">
        <v>47</v>
      </c>
      <c r="AZ1" s="91" t="s">
        <v>48</v>
      </c>
    </row>
    <row r="2" spans="1:52" ht="63" customHeight="1" x14ac:dyDescent="0.35">
      <c r="A2" s="64">
        <v>1</v>
      </c>
      <c r="B2" s="64" t="s">
        <v>49</v>
      </c>
      <c r="C2" s="64" t="s">
        <v>50</v>
      </c>
      <c r="D2" s="122" t="s">
        <v>54</v>
      </c>
      <c r="E2" s="72" t="s">
        <v>106</v>
      </c>
      <c r="F2" s="118" t="s">
        <v>108</v>
      </c>
      <c r="G2" s="64"/>
      <c r="H2" s="64">
        <f>ROUNDUP(I2/5.6,0)</f>
        <v>22</v>
      </c>
      <c r="I2" s="64">
        <v>120</v>
      </c>
      <c r="J2" s="64">
        <v>141</v>
      </c>
      <c r="K2" s="64">
        <v>120</v>
      </c>
      <c r="L2" s="73">
        <v>46051</v>
      </c>
      <c r="M2" s="74">
        <v>46064</v>
      </c>
      <c r="N2" s="73">
        <v>46051</v>
      </c>
      <c r="O2" s="74">
        <v>46063</v>
      </c>
      <c r="P2" s="73">
        <v>46051</v>
      </c>
      <c r="Q2" s="73">
        <v>46052</v>
      </c>
      <c r="R2" s="73">
        <v>46053</v>
      </c>
      <c r="S2" s="73">
        <v>46055</v>
      </c>
      <c r="T2" s="73">
        <v>46055</v>
      </c>
      <c r="U2" s="73">
        <v>46059</v>
      </c>
      <c r="V2" s="73">
        <v>46059</v>
      </c>
      <c r="W2" s="73">
        <v>46062</v>
      </c>
      <c r="X2" s="64">
        <v>10</v>
      </c>
      <c r="Y2" s="64">
        <v>8</v>
      </c>
      <c r="Z2" s="64">
        <v>65</v>
      </c>
      <c r="AA2" s="64">
        <v>2</v>
      </c>
      <c r="AB2" s="64">
        <v>32</v>
      </c>
      <c r="AC2" s="64">
        <v>2</v>
      </c>
      <c r="AD2" s="64">
        <v>1</v>
      </c>
      <c r="AE2" s="64">
        <v>0</v>
      </c>
      <c r="AF2" s="65">
        <v>1</v>
      </c>
      <c r="AG2" s="65">
        <v>0</v>
      </c>
      <c r="AH2" s="65">
        <v>1</v>
      </c>
      <c r="AI2" s="65">
        <v>1</v>
      </c>
      <c r="AJ2" s="65">
        <v>0</v>
      </c>
      <c r="AK2" s="65">
        <v>0</v>
      </c>
      <c r="AL2" s="75"/>
      <c r="AM2" s="75">
        <f>H2/I2</f>
        <v>0.18333333333333332</v>
      </c>
      <c r="AN2" s="75">
        <f>H2/(X2+AD2)</f>
        <v>2</v>
      </c>
      <c r="AO2" s="75">
        <f>H2/(Y2+AE2)</f>
        <v>2.75</v>
      </c>
      <c r="AP2" s="75">
        <f>H2/(Z2+AA2)</f>
        <v>0.32835820895522388</v>
      </c>
      <c r="AQ2" s="75">
        <f>H2/(AB2+AC2)</f>
        <v>0.6470588235294118</v>
      </c>
      <c r="AR2" s="75">
        <f>((W2-P2)/H2)</f>
        <v>0.5</v>
      </c>
      <c r="AS2" s="75">
        <f>((Q2-P2)/H2)</f>
        <v>4.5454545454545456E-2</v>
      </c>
      <c r="AT2" s="75">
        <f>((S2-R2)/H2)</f>
        <v>9.0909090909090912E-2</v>
      </c>
      <c r="AU2" s="75">
        <f>((U2-T2)/H2)</f>
        <v>0.18181818181818182</v>
      </c>
      <c r="AV2" s="75">
        <f>((W2-V2)/H2)</f>
        <v>0.13636363636363635</v>
      </c>
      <c r="AW2" s="75">
        <f>AY2/(AY2+AZ2)</f>
        <v>0.66666666666666674</v>
      </c>
      <c r="AX2" s="76">
        <f>AH2/H2</f>
        <v>4.5454545454545456E-2</v>
      </c>
      <c r="AY2" s="77">
        <f>(AF2+AH2+AG2)/H2</f>
        <v>9.0909090909090912E-2</v>
      </c>
      <c r="AZ2" s="78">
        <f>(AI2)/H2</f>
        <v>4.5454545454545456E-2</v>
      </c>
    </row>
    <row r="3" spans="1:52" ht="63" customHeight="1" x14ac:dyDescent="0.35">
      <c r="A3" s="64"/>
      <c r="B3" s="64"/>
      <c r="C3" s="64"/>
      <c r="D3" s="123"/>
      <c r="E3" s="79" t="s">
        <v>87</v>
      </c>
      <c r="F3" s="118" t="s">
        <v>107</v>
      </c>
      <c r="G3" s="64" t="s">
        <v>88</v>
      </c>
      <c r="H3" s="64">
        <f t="shared" ref="H3:H24" si="0">ROUNDUP(I3/5.6,0)</f>
        <v>4</v>
      </c>
      <c r="I3" s="64">
        <v>21</v>
      </c>
      <c r="J3" s="64">
        <v>29</v>
      </c>
      <c r="K3" s="64">
        <v>21</v>
      </c>
      <c r="L3" s="73">
        <v>46108</v>
      </c>
      <c r="M3" s="74">
        <v>46142</v>
      </c>
      <c r="N3" s="73">
        <v>46139</v>
      </c>
      <c r="O3" s="74">
        <v>46141</v>
      </c>
      <c r="P3" s="73">
        <v>46139</v>
      </c>
      <c r="Q3" s="73">
        <v>46140</v>
      </c>
      <c r="R3" s="73">
        <v>46139</v>
      </c>
      <c r="S3" s="73">
        <v>46140</v>
      </c>
      <c r="T3" s="73">
        <v>46139</v>
      </c>
      <c r="U3" s="73">
        <v>46140</v>
      </c>
      <c r="V3" s="73">
        <v>46140</v>
      </c>
      <c r="W3" s="73">
        <v>46140</v>
      </c>
      <c r="X3" s="64">
        <v>3</v>
      </c>
      <c r="Y3" s="64">
        <v>1</v>
      </c>
      <c r="Z3" s="64">
        <v>13</v>
      </c>
      <c r="AA3" s="64">
        <v>0</v>
      </c>
      <c r="AB3" s="64">
        <v>3</v>
      </c>
      <c r="AC3" s="64">
        <v>0</v>
      </c>
      <c r="AD3" s="64">
        <v>0</v>
      </c>
      <c r="AE3" s="64">
        <v>1</v>
      </c>
      <c r="AF3" s="65">
        <v>0</v>
      </c>
      <c r="AG3" s="65">
        <v>1</v>
      </c>
      <c r="AH3" s="65">
        <v>0</v>
      </c>
      <c r="AI3" s="65">
        <v>0</v>
      </c>
      <c r="AJ3" s="65">
        <v>0</v>
      </c>
      <c r="AK3" s="65">
        <v>0</v>
      </c>
      <c r="AL3" s="75"/>
      <c r="AM3" s="75">
        <f t="shared" ref="AM3:AM30" si="1">H3/I3</f>
        <v>0.19047619047619047</v>
      </c>
      <c r="AN3" s="75">
        <f t="shared" ref="AN3:AN24" si="2">H3/(X3+AD3)</f>
        <v>1.3333333333333333</v>
      </c>
      <c r="AO3" s="75">
        <f t="shared" ref="AO3:AO24" si="3">H3/(Y3+AE3)</f>
        <v>2</v>
      </c>
      <c r="AP3" s="75">
        <f t="shared" ref="AP3:AP24" si="4">H3/(Z3+AA3)</f>
        <v>0.30769230769230771</v>
      </c>
      <c r="AQ3" s="75">
        <f t="shared" ref="AQ3:AQ24" si="5">H3/(AB3+AC3)</f>
        <v>1.3333333333333333</v>
      </c>
      <c r="AR3" s="75">
        <f t="shared" ref="AR3:AR24" si="6">((W3-P3)/H3)</f>
        <v>0.25</v>
      </c>
      <c r="AS3" s="75">
        <f t="shared" ref="AS3:AS24" si="7">((Q3-P3)/H3)</f>
        <v>0.25</v>
      </c>
      <c r="AT3" s="75">
        <f t="shared" ref="AT3:AT24" si="8">((S3-R3)/H3)</f>
        <v>0.25</v>
      </c>
      <c r="AU3" s="75">
        <f t="shared" ref="AU3:AU24" si="9">((U3-T3)/H3)</f>
        <v>0.25</v>
      </c>
      <c r="AV3" s="75">
        <f t="shared" ref="AV3:AV24" si="10">((W3-V3)/H3)</f>
        <v>0</v>
      </c>
      <c r="AW3" s="75">
        <f t="shared" ref="AW3:AW24" si="11">AY3/(AY3+AZ3)</f>
        <v>1</v>
      </c>
      <c r="AX3" s="76">
        <f t="shared" ref="AX3:AX24" si="12">AH3/H3</f>
        <v>0</v>
      </c>
      <c r="AY3" s="77">
        <f t="shared" ref="AY3:AY24" si="13">(AF3+AH3+AG3)/H3</f>
        <v>0.25</v>
      </c>
      <c r="AZ3" s="78">
        <f t="shared" ref="AZ3:AZ24" si="14">(AI3)/H3</f>
        <v>0</v>
      </c>
    </row>
    <row r="4" spans="1:52" ht="63" customHeight="1" x14ac:dyDescent="0.35">
      <c r="A4" s="64">
        <v>2</v>
      </c>
      <c r="B4" s="64" t="s">
        <v>49</v>
      </c>
      <c r="C4" s="64" t="s">
        <v>50</v>
      </c>
      <c r="D4" s="80" t="s">
        <v>89</v>
      </c>
      <c r="E4" s="79" t="s">
        <v>109</v>
      </c>
      <c r="F4" s="118" t="s">
        <v>110</v>
      </c>
      <c r="G4" s="64"/>
      <c r="H4" s="64">
        <f t="shared" si="0"/>
        <v>9</v>
      </c>
      <c r="I4" s="64">
        <v>45</v>
      </c>
      <c r="J4" s="110">
        <v>60</v>
      </c>
      <c r="K4" s="64">
        <v>45</v>
      </c>
      <c r="L4" s="108">
        <v>46037</v>
      </c>
      <c r="M4" s="109">
        <v>46043</v>
      </c>
      <c r="N4" s="108">
        <v>46037</v>
      </c>
      <c r="O4" s="109">
        <v>46042</v>
      </c>
      <c r="P4" s="108">
        <v>46037</v>
      </c>
      <c r="Q4" s="108">
        <v>46038</v>
      </c>
      <c r="R4" s="108">
        <v>46037</v>
      </c>
      <c r="S4" s="108">
        <v>46038</v>
      </c>
      <c r="T4" s="108">
        <v>46038</v>
      </c>
      <c r="U4" s="108">
        <v>46040</v>
      </c>
      <c r="V4" s="108">
        <v>46040</v>
      </c>
      <c r="W4" s="108">
        <v>46041</v>
      </c>
      <c r="X4" s="64">
        <v>4</v>
      </c>
      <c r="Y4" s="64">
        <v>4</v>
      </c>
      <c r="Z4" s="64">
        <v>27</v>
      </c>
      <c r="AA4" s="64">
        <v>1</v>
      </c>
      <c r="AB4" s="64">
        <v>8</v>
      </c>
      <c r="AC4" s="64">
        <v>1</v>
      </c>
      <c r="AD4" s="64">
        <v>0</v>
      </c>
      <c r="AE4" s="64">
        <v>0</v>
      </c>
      <c r="AF4" s="65">
        <v>0</v>
      </c>
      <c r="AG4" s="65">
        <v>0</v>
      </c>
      <c r="AH4" s="65">
        <v>1</v>
      </c>
      <c r="AI4" s="65">
        <v>1</v>
      </c>
      <c r="AJ4" s="65">
        <v>0</v>
      </c>
      <c r="AK4" s="65">
        <v>0</v>
      </c>
      <c r="AL4" s="75"/>
      <c r="AM4" s="75">
        <f t="shared" si="1"/>
        <v>0.2</v>
      </c>
      <c r="AN4" s="75">
        <f t="shared" si="2"/>
        <v>2.25</v>
      </c>
      <c r="AO4" s="75">
        <f t="shared" si="3"/>
        <v>2.25</v>
      </c>
      <c r="AP4" s="75">
        <f t="shared" si="4"/>
        <v>0.32142857142857145</v>
      </c>
      <c r="AQ4" s="75">
        <f t="shared" si="5"/>
        <v>1</v>
      </c>
      <c r="AR4" s="75">
        <f t="shared" si="6"/>
        <v>0.44444444444444442</v>
      </c>
      <c r="AS4" s="75">
        <f t="shared" si="7"/>
        <v>0.1111111111111111</v>
      </c>
      <c r="AT4" s="75">
        <f t="shared" si="8"/>
        <v>0.1111111111111111</v>
      </c>
      <c r="AU4" s="75">
        <f t="shared" si="9"/>
        <v>0.22222222222222221</v>
      </c>
      <c r="AV4" s="75">
        <f t="shared" si="10"/>
        <v>0.1111111111111111</v>
      </c>
      <c r="AW4" s="75">
        <f t="shared" si="11"/>
        <v>0.5</v>
      </c>
      <c r="AX4" s="76">
        <f t="shared" si="12"/>
        <v>0.1111111111111111</v>
      </c>
      <c r="AY4" s="77">
        <f t="shared" si="13"/>
        <v>0.1111111111111111</v>
      </c>
      <c r="AZ4" s="78">
        <f t="shared" si="14"/>
        <v>0.1111111111111111</v>
      </c>
    </row>
    <row r="5" spans="1:52" ht="63" customHeight="1" x14ac:dyDescent="0.35">
      <c r="A5" s="64">
        <v>3</v>
      </c>
      <c r="B5" s="64" t="s">
        <v>49</v>
      </c>
      <c r="C5" s="64" t="s">
        <v>50</v>
      </c>
      <c r="D5" s="122" t="s">
        <v>57</v>
      </c>
      <c r="E5" s="79" t="s">
        <v>137</v>
      </c>
      <c r="F5" s="118" t="s">
        <v>111</v>
      </c>
      <c r="G5" s="64" t="s">
        <v>88</v>
      </c>
      <c r="H5" s="64">
        <f t="shared" si="0"/>
        <v>14</v>
      </c>
      <c r="I5" s="102">
        <v>78</v>
      </c>
      <c r="J5" s="71">
        <v>94</v>
      </c>
      <c r="K5" s="116">
        <v>127</v>
      </c>
      <c r="L5" s="112">
        <v>46133</v>
      </c>
      <c r="M5" s="113">
        <v>46140</v>
      </c>
      <c r="N5" s="114">
        <v>46133</v>
      </c>
      <c r="O5" s="115">
        <v>46139</v>
      </c>
      <c r="P5" s="112">
        <v>46133</v>
      </c>
      <c r="Q5" s="112">
        <v>46134</v>
      </c>
      <c r="R5" s="112">
        <v>46134</v>
      </c>
      <c r="S5" s="112">
        <v>46135</v>
      </c>
      <c r="T5" s="112">
        <v>46135</v>
      </c>
      <c r="U5" s="112">
        <v>46137</v>
      </c>
      <c r="V5" s="112">
        <v>46137</v>
      </c>
      <c r="W5" s="114">
        <v>46138</v>
      </c>
      <c r="X5" s="107">
        <v>4</v>
      </c>
      <c r="Y5" s="64">
        <v>7</v>
      </c>
      <c r="Z5" s="64">
        <v>42</v>
      </c>
      <c r="AA5" s="64">
        <v>2</v>
      </c>
      <c r="AB5" s="64">
        <v>21</v>
      </c>
      <c r="AC5" s="64">
        <v>1</v>
      </c>
      <c r="AD5" s="64">
        <v>0</v>
      </c>
      <c r="AE5" s="64">
        <v>1</v>
      </c>
      <c r="AF5" s="65">
        <v>0</v>
      </c>
      <c r="AG5" s="65">
        <v>1</v>
      </c>
      <c r="AH5" s="65">
        <v>1</v>
      </c>
      <c r="AI5" s="65">
        <v>1</v>
      </c>
      <c r="AJ5" s="65">
        <v>0</v>
      </c>
      <c r="AK5" s="65">
        <v>1</v>
      </c>
      <c r="AL5" s="75"/>
      <c r="AM5" s="75">
        <f t="shared" si="1"/>
        <v>0.17948717948717949</v>
      </c>
      <c r="AN5" s="75">
        <f t="shared" si="2"/>
        <v>3.5</v>
      </c>
      <c r="AO5" s="75">
        <f t="shared" si="3"/>
        <v>1.75</v>
      </c>
      <c r="AP5" s="75">
        <f t="shared" si="4"/>
        <v>0.31818181818181818</v>
      </c>
      <c r="AQ5" s="75">
        <f t="shared" si="5"/>
        <v>0.63636363636363635</v>
      </c>
      <c r="AR5" s="75">
        <f t="shared" si="6"/>
        <v>0.35714285714285715</v>
      </c>
      <c r="AS5" s="75">
        <f t="shared" si="7"/>
        <v>7.1428571428571425E-2</v>
      </c>
      <c r="AT5" s="75">
        <f t="shared" si="8"/>
        <v>7.1428571428571425E-2</v>
      </c>
      <c r="AU5" s="75">
        <f t="shared" si="9"/>
        <v>0.14285714285714285</v>
      </c>
      <c r="AV5" s="75">
        <f t="shared" si="10"/>
        <v>7.1428571428571425E-2</v>
      </c>
      <c r="AW5" s="75">
        <f t="shared" si="11"/>
        <v>0.66666666666666663</v>
      </c>
      <c r="AX5" s="76">
        <f t="shared" si="12"/>
        <v>7.1428571428571425E-2</v>
      </c>
      <c r="AY5" s="77">
        <f t="shared" si="13"/>
        <v>0.14285714285714285</v>
      </c>
      <c r="AZ5" s="78">
        <f t="shared" si="14"/>
        <v>7.1428571428571425E-2</v>
      </c>
    </row>
    <row r="6" spans="1:52" ht="63" customHeight="1" x14ac:dyDescent="0.35">
      <c r="A6" s="64"/>
      <c r="B6" s="64"/>
      <c r="C6" s="64"/>
      <c r="D6" s="123"/>
      <c r="E6" s="79" t="s">
        <v>138</v>
      </c>
      <c r="F6" s="118"/>
      <c r="G6" s="64"/>
      <c r="H6" s="64">
        <f t="shared" si="0"/>
        <v>9</v>
      </c>
      <c r="I6" s="102">
        <v>49</v>
      </c>
      <c r="J6" s="71">
        <v>58</v>
      </c>
      <c r="K6" s="116"/>
      <c r="L6" s="112">
        <v>46146</v>
      </c>
      <c r="M6" s="113">
        <v>46150</v>
      </c>
      <c r="N6" s="114">
        <v>46146</v>
      </c>
      <c r="O6" s="115">
        <v>46149</v>
      </c>
      <c r="P6" s="112">
        <v>46146</v>
      </c>
      <c r="Q6" s="112">
        <v>46147</v>
      </c>
      <c r="R6" s="112">
        <v>46146</v>
      </c>
      <c r="S6" s="112">
        <v>46147</v>
      </c>
      <c r="T6" s="112">
        <v>46147</v>
      </c>
      <c r="U6" s="112">
        <v>46148</v>
      </c>
      <c r="V6" s="112">
        <v>46148</v>
      </c>
      <c r="W6" s="114">
        <v>46149</v>
      </c>
      <c r="X6" s="107">
        <v>4</v>
      </c>
      <c r="Y6" s="64">
        <v>4</v>
      </c>
      <c r="Z6" s="64">
        <v>27</v>
      </c>
      <c r="AA6" s="64">
        <v>1</v>
      </c>
      <c r="AB6" s="64">
        <v>13</v>
      </c>
      <c r="AC6" s="64">
        <v>0</v>
      </c>
      <c r="AD6" s="64">
        <v>0</v>
      </c>
      <c r="AE6" s="64">
        <v>0</v>
      </c>
      <c r="AF6" s="65">
        <v>0</v>
      </c>
      <c r="AG6" s="65">
        <v>0</v>
      </c>
      <c r="AH6" s="65">
        <v>1</v>
      </c>
      <c r="AI6" s="65">
        <v>0</v>
      </c>
      <c r="AJ6" s="65">
        <v>0</v>
      </c>
      <c r="AK6" s="65">
        <v>0</v>
      </c>
      <c r="AL6" s="75"/>
      <c r="AM6" s="75">
        <f t="shared" si="1"/>
        <v>0.18367346938775511</v>
      </c>
      <c r="AN6" s="75">
        <f t="shared" si="2"/>
        <v>2.25</v>
      </c>
      <c r="AO6" s="75">
        <f t="shared" si="3"/>
        <v>2.25</v>
      </c>
      <c r="AP6" s="75">
        <f t="shared" si="4"/>
        <v>0.32142857142857145</v>
      </c>
      <c r="AQ6" s="75">
        <f t="shared" si="5"/>
        <v>0.69230769230769229</v>
      </c>
      <c r="AR6" s="75">
        <f t="shared" si="6"/>
        <v>0.33333333333333331</v>
      </c>
      <c r="AS6" s="75">
        <f t="shared" si="7"/>
        <v>0.1111111111111111</v>
      </c>
      <c r="AT6" s="75">
        <f t="shared" si="8"/>
        <v>0.1111111111111111</v>
      </c>
      <c r="AU6" s="75">
        <f t="shared" si="9"/>
        <v>0.1111111111111111</v>
      </c>
      <c r="AV6" s="75">
        <f t="shared" si="10"/>
        <v>0.1111111111111111</v>
      </c>
      <c r="AW6" s="75">
        <f t="shared" si="11"/>
        <v>1</v>
      </c>
      <c r="AX6" s="76">
        <f t="shared" si="12"/>
        <v>0.1111111111111111</v>
      </c>
      <c r="AY6" s="77">
        <f t="shared" si="13"/>
        <v>0.1111111111111111</v>
      </c>
      <c r="AZ6" s="78">
        <f t="shared" si="14"/>
        <v>0</v>
      </c>
    </row>
    <row r="7" spans="1:52" ht="63" customHeight="1" x14ac:dyDescent="0.35">
      <c r="A7" s="64">
        <v>5</v>
      </c>
      <c r="B7" s="64" t="s">
        <v>49</v>
      </c>
      <c r="C7" s="64" t="s">
        <v>50</v>
      </c>
      <c r="D7" s="122" t="s">
        <v>90</v>
      </c>
      <c r="E7" s="79" t="s">
        <v>91</v>
      </c>
      <c r="F7" s="118" t="s">
        <v>125</v>
      </c>
      <c r="G7" s="64"/>
      <c r="H7" s="64">
        <f t="shared" si="0"/>
        <v>12</v>
      </c>
      <c r="I7" s="64">
        <v>64</v>
      </c>
      <c r="J7" s="111">
        <v>84</v>
      </c>
      <c r="K7" s="102">
        <v>64</v>
      </c>
      <c r="L7" s="112">
        <v>46104</v>
      </c>
      <c r="M7" s="113">
        <v>46117</v>
      </c>
      <c r="N7" s="114">
        <v>46104</v>
      </c>
      <c r="O7" s="115">
        <v>46116</v>
      </c>
      <c r="P7" s="112">
        <v>46104</v>
      </c>
      <c r="Q7" s="112">
        <v>46105</v>
      </c>
      <c r="R7" s="112">
        <v>46107</v>
      </c>
      <c r="S7" s="112">
        <v>46109</v>
      </c>
      <c r="T7" s="112">
        <v>46110</v>
      </c>
      <c r="U7" s="112">
        <v>46113</v>
      </c>
      <c r="V7" s="112">
        <v>46114</v>
      </c>
      <c r="W7" s="114">
        <v>46116</v>
      </c>
      <c r="X7" s="107">
        <v>6</v>
      </c>
      <c r="Y7" s="64">
        <v>4</v>
      </c>
      <c r="Z7" s="64">
        <v>34</v>
      </c>
      <c r="AA7" s="64">
        <v>3</v>
      </c>
      <c r="AB7" s="64">
        <v>12</v>
      </c>
      <c r="AC7" s="64">
        <v>2</v>
      </c>
      <c r="AD7" s="64">
        <v>1</v>
      </c>
      <c r="AE7" s="64">
        <v>2</v>
      </c>
      <c r="AF7" s="65">
        <v>1</v>
      </c>
      <c r="AG7" s="65">
        <v>2</v>
      </c>
      <c r="AH7" s="65">
        <v>2</v>
      </c>
      <c r="AI7" s="65">
        <v>3</v>
      </c>
      <c r="AJ7" s="65">
        <v>1</v>
      </c>
      <c r="AK7" s="65">
        <v>2</v>
      </c>
      <c r="AL7" s="75"/>
      <c r="AM7" s="75">
        <f t="shared" si="1"/>
        <v>0.1875</v>
      </c>
      <c r="AN7" s="75">
        <f t="shared" si="2"/>
        <v>1.7142857142857142</v>
      </c>
      <c r="AO7" s="75">
        <f t="shared" si="3"/>
        <v>2</v>
      </c>
      <c r="AP7" s="75">
        <f t="shared" si="4"/>
        <v>0.32432432432432434</v>
      </c>
      <c r="AQ7" s="75">
        <f t="shared" si="5"/>
        <v>0.8571428571428571</v>
      </c>
      <c r="AR7" s="75">
        <f t="shared" si="6"/>
        <v>1</v>
      </c>
      <c r="AS7" s="75">
        <f t="shared" si="7"/>
        <v>8.3333333333333329E-2</v>
      </c>
      <c r="AT7" s="75">
        <f t="shared" si="8"/>
        <v>0.16666666666666666</v>
      </c>
      <c r="AU7" s="75">
        <f t="shared" si="9"/>
        <v>0.25</v>
      </c>
      <c r="AV7" s="75">
        <f t="shared" si="10"/>
        <v>0.16666666666666666</v>
      </c>
      <c r="AW7" s="75">
        <f t="shared" si="11"/>
        <v>0.625</v>
      </c>
      <c r="AX7" s="76">
        <f t="shared" si="12"/>
        <v>0.16666666666666666</v>
      </c>
      <c r="AY7" s="77">
        <f t="shared" si="13"/>
        <v>0.41666666666666669</v>
      </c>
      <c r="AZ7" s="78">
        <f t="shared" si="14"/>
        <v>0.25</v>
      </c>
    </row>
    <row r="8" spans="1:52" ht="63" customHeight="1" x14ac:dyDescent="0.35">
      <c r="A8" s="64"/>
      <c r="B8" s="64"/>
      <c r="C8" s="64"/>
      <c r="D8" s="129"/>
      <c r="E8" s="79" t="s">
        <v>55</v>
      </c>
      <c r="F8" s="118" t="s">
        <v>126</v>
      </c>
      <c r="G8" s="64"/>
      <c r="H8" s="64">
        <f t="shared" si="0"/>
        <v>31</v>
      </c>
      <c r="I8" s="64">
        <v>170</v>
      </c>
      <c r="J8" s="64">
        <v>192</v>
      </c>
      <c r="K8" s="102">
        <v>170</v>
      </c>
      <c r="L8" s="112">
        <v>46090</v>
      </c>
      <c r="M8" s="113">
        <v>46122</v>
      </c>
      <c r="N8" s="114">
        <v>46090</v>
      </c>
      <c r="O8" s="115">
        <v>46121</v>
      </c>
      <c r="P8" s="112">
        <v>46090</v>
      </c>
      <c r="Q8" s="112">
        <v>46093</v>
      </c>
      <c r="R8" s="112">
        <v>46093</v>
      </c>
      <c r="S8" s="112">
        <v>46099</v>
      </c>
      <c r="T8" s="112">
        <v>46100</v>
      </c>
      <c r="U8" s="112">
        <v>46113</v>
      </c>
      <c r="V8" s="112">
        <v>46114</v>
      </c>
      <c r="W8" s="114">
        <v>46121</v>
      </c>
      <c r="X8" s="107">
        <v>10</v>
      </c>
      <c r="Y8" s="64">
        <v>12</v>
      </c>
      <c r="Z8" s="64">
        <v>98</v>
      </c>
      <c r="AA8" s="64">
        <v>3</v>
      </c>
      <c r="AB8" s="64">
        <v>40</v>
      </c>
      <c r="AC8" s="64">
        <v>2</v>
      </c>
      <c r="AD8" s="64">
        <v>2</v>
      </c>
      <c r="AE8" s="64">
        <v>3</v>
      </c>
      <c r="AF8" s="65">
        <v>2</v>
      </c>
      <c r="AG8" s="65">
        <v>3</v>
      </c>
      <c r="AH8" s="65">
        <v>3</v>
      </c>
      <c r="AI8" s="65">
        <v>3</v>
      </c>
      <c r="AJ8" s="65">
        <v>2</v>
      </c>
      <c r="AK8" s="65">
        <v>2</v>
      </c>
      <c r="AL8" s="75"/>
      <c r="AM8" s="75">
        <f t="shared" si="1"/>
        <v>0.18235294117647058</v>
      </c>
      <c r="AN8" s="75">
        <f t="shared" si="2"/>
        <v>2.5833333333333335</v>
      </c>
      <c r="AO8" s="75">
        <f t="shared" si="3"/>
        <v>2.0666666666666669</v>
      </c>
      <c r="AP8" s="75">
        <f t="shared" si="4"/>
        <v>0.30693069306930693</v>
      </c>
      <c r="AQ8" s="75">
        <f t="shared" si="5"/>
        <v>0.73809523809523814</v>
      </c>
      <c r="AR8" s="75">
        <f t="shared" si="6"/>
        <v>1</v>
      </c>
      <c r="AS8" s="75">
        <f t="shared" si="7"/>
        <v>9.6774193548387094E-2</v>
      </c>
      <c r="AT8" s="75">
        <f t="shared" si="8"/>
        <v>0.19354838709677419</v>
      </c>
      <c r="AU8" s="75">
        <f t="shared" si="9"/>
        <v>0.41935483870967744</v>
      </c>
      <c r="AV8" s="75">
        <f t="shared" si="10"/>
        <v>0.22580645161290322</v>
      </c>
      <c r="AW8" s="75">
        <f t="shared" si="11"/>
        <v>0.72727272727272718</v>
      </c>
      <c r="AX8" s="76">
        <f t="shared" si="12"/>
        <v>9.6774193548387094E-2</v>
      </c>
      <c r="AY8" s="77">
        <f t="shared" si="13"/>
        <v>0.25806451612903225</v>
      </c>
      <c r="AZ8" s="78">
        <f t="shared" si="14"/>
        <v>9.6774193548387094E-2</v>
      </c>
    </row>
    <row r="9" spans="1:52" ht="63" customHeight="1" x14ac:dyDescent="0.35">
      <c r="A9" s="64"/>
      <c r="B9" s="64"/>
      <c r="C9" s="64"/>
      <c r="D9" s="129"/>
      <c r="E9" s="79" t="s">
        <v>127</v>
      </c>
      <c r="F9" s="118" t="s">
        <v>118</v>
      </c>
      <c r="G9" s="64"/>
      <c r="H9" s="64">
        <f t="shared" si="0"/>
        <v>14</v>
      </c>
      <c r="I9" s="64">
        <v>78</v>
      </c>
      <c r="J9" s="64">
        <v>94</v>
      </c>
      <c r="K9" s="102">
        <v>78</v>
      </c>
      <c r="L9" s="112">
        <v>46112</v>
      </c>
      <c r="M9" s="113">
        <v>46122</v>
      </c>
      <c r="N9" s="114">
        <v>46112</v>
      </c>
      <c r="O9" s="115">
        <v>46121</v>
      </c>
      <c r="P9" s="112">
        <v>46112</v>
      </c>
      <c r="Q9" s="112">
        <v>46115</v>
      </c>
      <c r="R9" s="112">
        <v>46115</v>
      </c>
      <c r="S9" s="112">
        <v>46117</v>
      </c>
      <c r="T9" s="112">
        <v>46118</v>
      </c>
      <c r="U9" s="112">
        <v>46121</v>
      </c>
      <c r="V9" s="112">
        <v>46120</v>
      </c>
      <c r="W9" s="114">
        <v>46121</v>
      </c>
      <c r="X9" s="107">
        <v>6</v>
      </c>
      <c r="Y9" s="64">
        <v>4</v>
      </c>
      <c r="Z9" s="64">
        <v>41</v>
      </c>
      <c r="AA9" s="64">
        <v>2</v>
      </c>
      <c r="AB9" s="64">
        <v>21</v>
      </c>
      <c r="AC9" s="64">
        <v>2</v>
      </c>
      <c r="AD9" s="64">
        <v>1</v>
      </c>
      <c r="AE9" s="64">
        <v>1</v>
      </c>
      <c r="AF9" s="65">
        <v>1</v>
      </c>
      <c r="AG9" s="65">
        <v>1</v>
      </c>
      <c r="AH9" s="65">
        <v>2</v>
      </c>
      <c r="AI9" s="65">
        <v>2</v>
      </c>
      <c r="AJ9" s="65">
        <v>1</v>
      </c>
      <c r="AK9" s="65">
        <v>0</v>
      </c>
      <c r="AL9" s="75"/>
      <c r="AM9" s="75">
        <f t="shared" si="1"/>
        <v>0.17948717948717949</v>
      </c>
      <c r="AN9" s="75">
        <f t="shared" si="2"/>
        <v>2</v>
      </c>
      <c r="AO9" s="75">
        <f t="shared" si="3"/>
        <v>2.8</v>
      </c>
      <c r="AP9" s="75">
        <f t="shared" si="4"/>
        <v>0.32558139534883723</v>
      </c>
      <c r="AQ9" s="75">
        <f t="shared" si="5"/>
        <v>0.60869565217391308</v>
      </c>
      <c r="AR9" s="75">
        <f t="shared" si="6"/>
        <v>0.6428571428571429</v>
      </c>
      <c r="AS9" s="75">
        <f t="shared" si="7"/>
        <v>0.21428571428571427</v>
      </c>
      <c r="AT9" s="75">
        <f t="shared" si="8"/>
        <v>0.14285714285714285</v>
      </c>
      <c r="AU9" s="75">
        <f t="shared" si="9"/>
        <v>0.21428571428571427</v>
      </c>
      <c r="AV9" s="75">
        <f t="shared" si="10"/>
        <v>7.1428571428571425E-2</v>
      </c>
      <c r="AW9" s="75">
        <f t="shared" si="11"/>
        <v>0.66666666666666663</v>
      </c>
      <c r="AX9" s="76">
        <f t="shared" si="12"/>
        <v>0.14285714285714285</v>
      </c>
      <c r="AY9" s="77">
        <f t="shared" si="13"/>
        <v>0.2857142857142857</v>
      </c>
      <c r="AZ9" s="78">
        <f t="shared" si="14"/>
        <v>0.14285714285714285</v>
      </c>
    </row>
    <row r="10" spans="1:52" ht="63" customHeight="1" x14ac:dyDescent="0.35">
      <c r="A10" s="64"/>
      <c r="B10" s="64"/>
      <c r="C10" s="64"/>
      <c r="D10" s="123"/>
      <c r="E10" s="79" t="s">
        <v>5</v>
      </c>
      <c r="F10" s="118" t="s">
        <v>128</v>
      </c>
      <c r="G10" s="64"/>
      <c r="H10" s="64">
        <f t="shared" si="0"/>
        <v>12</v>
      </c>
      <c r="I10" s="67">
        <v>67</v>
      </c>
      <c r="J10" s="67">
        <v>83</v>
      </c>
      <c r="K10" s="103">
        <v>67</v>
      </c>
      <c r="L10" s="112">
        <v>46140</v>
      </c>
      <c r="M10" s="113">
        <v>46141</v>
      </c>
      <c r="N10" s="114">
        <v>46140</v>
      </c>
      <c r="O10" s="115">
        <v>46141</v>
      </c>
      <c r="P10" s="112">
        <v>46140</v>
      </c>
      <c r="Q10" s="112">
        <v>46141</v>
      </c>
      <c r="R10" s="112">
        <v>46140</v>
      </c>
      <c r="S10" s="112">
        <v>46141</v>
      </c>
      <c r="T10" s="112">
        <v>46140</v>
      </c>
      <c r="U10" s="112">
        <v>46141</v>
      </c>
      <c r="V10" s="112">
        <v>46140</v>
      </c>
      <c r="W10" s="114">
        <v>46141</v>
      </c>
      <c r="X10" s="107">
        <v>6</v>
      </c>
      <c r="Y10" s="64">
        <v>4</v>
      </c>
      <c r="Z10" s="64">
        <v>38</v>
      </c>
      <c r="AA10" s="64">
        <v>1</v>
      </c>
      <c r="AB10" s="64">
        <v>16</v>
      </c>
      <c r="AC10" s="64">
        <v>1</v>
      </c>
      <c r="AD10" s="64">
        <v>0</v>
      </c>
      <c r="AE10" s="64">
        <v>1</v>
      </c>
      <c r="AF10" s="65">
        <v>0</v>
      </c>
      <c r="AG10" s="65">
        <v>1</v>
      </c>
      <c r="AH10" s="65">
        <v>1</v>
      </c>
      <c r="AI10" s="65">
        <v>1</v>
      </c>
      <c r="AJ10" s="65">
        <v>0</v>
      </c>
      <c r="AK10" s="65">
        <v>0</v>
      </c>
      <c r="AL10" s="75"/>
      <c r="AM10" s="75">
        <f t="shared" si="1"/>
        <v>0.17910447761194029</v>
      </c>
      <c r="AN10" s="75">
        <f t="shared" si="2"/>
        <v>2</v>
      </c>
      <c r="AO10" s="75">
        <f t="shared" si="3"/>
        <v>2.4</v>
      </c>
      <c r="AP10" s="75">
        <f t="shared" si="4"/>
        <v>0.30769230769230771</v>
      </c>
      <c r="AQ10" s="75">
        <f t="shared" si="5"/>
        <v>0.70588235294117652</v>
      </c>
      <c r="AR10" s="75">
        <f t="shared" si="6"/>
        <v>8.3333333333333329E-2</v>
      </c>
      <c r="AS10" s="75">
        <f t="shared" si="7"/>
        <v>8.3333333333333329E-2</v>
      </c>
      <c r="AT10" s="75">
        <f t="shared" si="8"/>
        <v>8.3333333333333329E-2</v>
      </c>
      <c r="AU10" s="75">
        <f t="shared" si="9"/>
        <v>8.3333333333333329E-2</v>
      </c>
      <c r="AV10" s="75">
        <f t="shared" si="10"/>
        <v>8.3333333333333329E-2</v>
      </c>
      <c r="AW10" s="75">
        <f t="shared" si="11"/>
        <v>0.66666666666666663</v>
      </c>
      <c r="AX10" s="76">
        <f t="shared" si="12"/>
        <v>8.3333333333333329E-2</v>
      </c>
      <c r="AY10" s="77">
        <f t="shared" si="13"/>
        <v>0.16666666666666666</v>
      </c>
      <c r="AZ10" s="78">
        <f t="shared" si="14"/>
        <v>8.3333333333333329E-2</v>
      </c>
    </row>
    <row r="11" spans="1:52" ht="63" customHeight="1" x14ac:dyDescent="0.35">
      <c r="A11" s="64"/>
      <c r="B11" s="64"/>
      <c r="C11" s="64"/>
      <c r="D11" s="122" t="s">
        <v>92</v>
      </c>
      <c r="E11" s="72" t="s">
        <v>141</v>
      </c>
      <c r="F11" s="118"/>
      <c r="G11" s="64"/>
      <c r="H11" s="64">
        <f t="shared" si="0"/>
        <v>17</v>
      </c>
      <c r="I11" s="70">
        <v>91</v>
      </c>
      <c r="J11" s="70">
        <v>96</v>
      </c>
      <c r="K11" s="70"/>
      <c r="L11" s="112">
        <v>46147</v>
      </c>
      <c r="M11" s="113">
        <v>46165</v>
      </c>
      <c r="N11" s="114">
        <v>46147</v>
      </c>
      <c r="O11" s="115">
        <v>46164</v>
      </c>
      <c r="P11" s="112">
        <v>46147</v>
      </c>
      <c r="Q11" s="112">
        <v>46149</v>
      </c>
      <c r="R11" s="112">
        <v>46150</v>
      </c>
      <c r="S11" s="112">
        <v>46153</v>
      </c>
      <c r="T11" s="112">
        <v>46153</v>
      </c>
      <c r="U11" s="112">
        <v>46160</v>
      </c>
      <c r="V11" s="112">
        <v>46160</v>
      </c>
      <c r="W11" s="114">
        <v>46163</v>
      </c>
      <c r="X11" s="107">
        <v>4</v>
      </c>
      <c r="Y11" s="64">
        <v>6</v>
      </c>
      <c r="Z11" s="64">
        <v>54</v>
      </c>
      <c r="AA11" s="64">
        <v>1</v>
      </c>
      <c r="AB11" s="64">
        <v>25</v>
      </c>
      <c r="AC11" s="64">
        <v>1</v>
      </c>
      <c r="AD11" s="64">
        <v>0</v>
      </c>
      <c r="AE11" s="64">
        <v>0</v>
      </c>
      <c r="AF11" s="65">
        <v>0</v>
      </c>
      <c r="AG11" s="65">
        <v>0</v>
      </c>
      <c r="AH11" s="65">
        <v>1</v>
      </c>
      <c r="AI11" s="65">
        <v>1</v>
      </c>
      <c r="AJ11" s="65">
        <v>0</v>
      </c>
      <c r="AK11" s="65">
        <v>0</v>
      </c>
      <c r="AL11" s="75"/>
      <c r="AM11" s="75">
        <f t="shared" si="1"/>
        <v>0.18681318681318682</v>
      </c>
      <c r="AN11" s="75">
        <f t="shared" si="2"/>
        <v>4.25</v>
      </c>
      <c r="AO11" s="75">
        <f t="shared" si="3"/>
        <v>2.8333333333333335</v>
      </c>
      <c r="AP11" s="75">
        <f t="shared" si="4"/>
        <v>0.30909090909090908</v>
      </c>
      <c r="AQ11" s="75">
        <f t="shared" si="5"/>
        <v>0.65384615384615385</v>
      </c>
      <c r="AR11" s="75">
        <f t="shared" si="6"/>
        <v>0.94117647058823528</v>
      </c>
      <c r="AS11" s="75">
        <f t="shared" si="7"/>
        <v>0.11764705882352941</v>
      </c>
      <c r="AT11" s="75">
        <f t="shared" si="8"/>
        <v>0.17647058823529413</v>
      </c>
      <c r="AU11" s="75">
        <f t="shared" si="9"/>
        <v>0.41176470588235292</v>
      </c>
      <c r="AV11" s="75">
        <f t="shared" si="10"/>
        <v>0.17647058823529413</v>
      </c>
      <c r="AW11" s="75">
        <f t="shared" si="11"/>
        <v>0.5</v>
      </c>
      <c r="AX11" s="76">
        <f t="shared" si="12"/>
        <v>5.8823529411764705E-2</v>
      </c>
      <c r="AY11" s="77">
        <f t="shared" si="13"/>
        <v>5.8823529411764705E-2</v>
      </c>
      <c r="AZ11" s="78">
        <f t="shared" si="14"/>
        <v>5.8823529411764705E-2</v>
      </c>
    </row>
    <row r="12" spans="1:52" ht="63" customHeight="1" x14ac:dyDescent="0.35">
      <c r="A12" s="64">
        <v>6</v>
      </c>
      <c r="B12" s="64" t="s">
        <v>49</v>
      </c>
      <c r="C12" s="64" t="s">
        <v>50</v>
      </c>
      <c r="D12" s="129"/>
      <c r="E12" s="72" t="s">
        <v>140</v>
      </c>
      <c r="F12" s="118" t="s">
        <v>129</v>
      </c>
      <c r="G12" s="64"/>
      <c r="H12" s="64">
        <f t="shared" si="0"/>
        <v>30</v>
      </c>
      <c r="I12" s="68">
        <v>163</v>
      </c>
      <c r="J12" s="68">
        <v>186</v>
      </c>
      <c r="K12" s="68">
        <v>254</v>
      </c>
      <c r="L12" s="104">
        <v>46094</v>
      </c>
      <c r="M12" s="105">
        <v>46108</v>
      </c>
      <c r="N12" s="104">
        <v>46094</v>
      </c>
      <c r="O12" s="105">
        <v>46107</v>
      </c>
      <c r="P12" s="104">
        <v>46094</v>
      </c>
      <c r="Q12" s="104">
        <v>46096</v>
      </c>
      <c r="R12" s="104">
        <v>46097</v>
      </c>
      <c r="S12" s="104">
        <v>46100</v>
      </c>
      <c r="T12" s="106">
        <v>46100</v>
      </c>
      <c r="U12" s="104">
        <v>46103</v>
      </c>
      <c r="V12" s="106">
        <v>46103</v>
      </c>
      <c r="W12" s="106">
        <v>46105</v>
      </c>
      <c r="X12" s="64">
        <v>12</v>
      </c>
      <c r="Y12" s="64">
        <v>14</v>
      </c>
      <c r="Z12" s="64">
        <v>95</v>
      </c>
      <c r="AA12" s="64">
        <v>3</v>
      </c>
      <c r="AB12" s="64">
        <v>36</v>
      </c>
      <c r="AC12" s="64">
        <v>2</v>
      </c>
      <c r="AD12" s="64">
        <v>0</v>
      </c>
      <c r="AE12" s="64">
        <v>1</v>
      </c>
      <c r="AF12" s="65">
        <v>0</v>
      </c>
      <c r="AG12" s="65">
        <v>1</v>
      </c>
      <c r="AH12" s="65">
        <v>1</v>
      </c>
      <c r="AI12" s="65">
        <v>1</v>
      </c>
      <c r="AJ12" s="65">
        <v>0</v>
      </c>
      <c r="AK12" s="65">
        <v>0</v>
      </c>
      <c r="AL12" s="75"/>
      <c r="AM12" s="75">
        <f t="shared" si="1"/>
        <v>0.18404907975460122</v>
      </c>
      <c r="AN12" s="75">
        <f t="shared" si="2"/>
        <v>2.5</v>
      </c>
      <c r="AO12" s="75">
        <f t="shared" si="3"/>
        <v>2</v>
      </c>
      <c r="AP12" s="75">
        <f t="shared" si="4"/>
        <v>0.30612244897959184</v>
      </c>
      <c r="AQ12" s="75">
        <f t="shared" si="5"/>
        <v>0.78947368421052633</v>
      </c>
      <c r="AR12" s="75">
        <f t="shared" si="6"/>
        <v>0.36666666666666664</v>
      </c>
      <c r="AS12" s="75">
        <f t="shared" si="7"/>
        <v>6.6666666666666666E-2</v>
      </c>
      <c r="AT12" s="75">
        <f t="shared" si="8"/>
        <v>0.1</v>
      </c>
      <c r="AU12" s="75">
        <f t="shared" si="9"/>
        <v>0.1</v>
      </c>
      <c r="AV12" s="75">
        <f t="shared" si="10"/>
        <v>6.6666666666666666E-2</v>
      </c>
      <c r="AW12" s="75">
        <f t="shared" si="11"/>
        <v>0.66666666666666663</v>
      </c>
      <c r="AX12" s="76">
        <f t="shared" si="12"/>
        <v>3.3333333333333333E-2</v>
      </c>
      <c r="AY12" s="77">
        <f t="shared" si="13"/>
        <v>6.6666666666666666E-2</v>
      </c>
      <c r="AZ12" s="78">
        <f t="shared" si="14"/>
        <v>3.3333333333333333E-2</v>
      </c>
    </row>
    <row r="13" spans="1:52" ht="63" customHeight="1" x14ac:dyDescent="0.35">
      <c r="A13" s="64"/>
      <c r="B13" s="64"/>
      <c r="C13" s="64"/>
      <c r="D13" s="130"/>
      <c r="E13" s="79" t="s">
        <v>139</v>
      </c>
      <c r="F13" s="118" t="s">
        <v>130</v>
      </c>
      <c r="G13" s="64" t="s">
        <v>88</v>
      </c>
      <c r="H13" s="64">
        <f t="shared" si="0"/>
        <v>43</v>
      </c>
      <c r="I13" s="64">
        <v>236</v>
      </c>
      <c r="J13" s="64">
        <v>306</v>
      </c>
      <c r="K13" s="64">
        <v>236</v>
      </c>
      <c r="L13" s="73">
        <v>46140</v>
      </c>
      <c r="M13" s="74">
        <v>46126</v>
      </c>
      <c r="N13" s="73">
        <v>46140</v>
      </c>
      <c r="O13" s="74">
        <v>46125</v>
      </c>
      <c r="P13" s="73">
        <v>46140</v>
      </c>
      <c r="Q13" s="73">
        <v>46141</v>
      </c>
      <c r="R13" s="73">
        <v>46142</v>
      </c>
      <c r="S13" s="73">
        <v>46144</v>
      </c>
      <c r="T13" s="81">
        <v>46145</v>
      </c>
      <c r="U13" s="73">
        <v>46151</v>
      </c>
      <c r="V13" s="81">
        <v>46151</v>
      </c>
      <c r="W13" s="81">
        <v>46154</v>
      </c>
      <c r="X13" s="64">
        <v>10</v>
      </c>
      <c r="Y13" s="64">
        <v>18</v>
      </c>
      <c r="Z13" s="64">
        <v>132</v>
      </c>
      <c r="AA13" s="64">
        <v>2</v>
      </c>
      <c r="AB13" s="64">
        <v>69</v>
      </c>
      <c r="AC13" s="64">
        <v>3</v>
      </c>
      <c r="AD13" s="64">
        <v>2</v>
      </c>
      <c r="AE13" s="64">
        <v>0</v>
      </c>
      <c r="AF13" s="65">
        <v>1</v>
      </c>
      <c r="AG13" s="65">
        <v>0</v>
      </c>
      <c r="AH13" s="65">
        <v>1</v>
      </c>
      <c r="AI13" s="65">
        <v>1</v>
      </c>
      <c r="AJ13" s="65">
        <v>1</v>
      </c>
      <c r="AK13" s="65">
        <v>0</v>
      </c>
      <c r="AL13" s="75"/>
      <c r="AM13" s="75">
        <f t="shared" si="1"/>
        <v>0.18220338983050846</v>
      </c>
      <c r="AN13" s="75">
        <f t="shared" si="2"/>
        <v>3.5833333333333335</v>
      </c>
      <c r="AO13" s="75">
        <f t="shared" si="3"/>
        <v>2.3888888888888888</v>
      </c>
      <c r="AP13" s="75">
        <f t="shared" si="4"/>
        <v>0.32089552238805968</v>
      </c>
      <c r="AQ13" s="75">
        <f t="shared" si="5"/>
        <v>0.59722222222222221</v>
      </c>
      <c r="AR13" s="75">
        <f t="shared" si="6"/>
        <v>0.32558139534883723</v>
      </c>
      <c r="AS13" s="75">
        <f t="shared" si="7"/>
        <v>2.3255813953488372E-2</v>
      </c>
      <c r="AT13" s="75">
        <f t="shared" si="8"/>
        <v>4.6511627906976744E-2</v>
      </c>
      <c r="AU13" s="75">
        <f t="shared" si="9"/>
        <v>0.13953488372093023</v>
      </c>
      <c r="AV13" s="75">
        <f t="shared" si="10"/>
        <v>6.9767441860465115E-2</v>
      </c>
      <c r="AW13" s="75">
        <f t="shared" si="11"/>
        <v>0.66666666666666663</v>
      </c>
      <c r="AX13" s="76">
        <f t="shared" si="12"/>
        <v>2.3255813953488372E-2</v>
      </c>
      <c r="AY13" s="77">
        <f t="shared" si="13"/>
        <v>4.6511627906976744E-2</v>
      </c>
      <c r="AZ13" s="78">
        <f t="shared" si="14"/>
        <v>2.3255813953488372E-2</v>
      </c>
    </row>
    <row r="14" spans="1:52" ht="63" customHeight="1" x14ac:dyDescent="0.35">
      <c r="A14" s="64">
        <v>7</v>
      </c>
      <c r="B14" s="64" t="s">
        <v>49</v>
      </c>
      <c r="C14" s="102" t="s">
        <v>50</v>
      </c>
      <c r="D14" s="127" t="s">
        <v>51</v>
      </c>
      <c r="E14" s="83" t="s">
        <v>131</v>
      </c>
      <c r="F14" s="118" t="s">
        <v>132</v>
      </c>
      <c r="G14" s="64" t="s">
        <v>88</v>
      </c>
      <c r="H14" s="64">
        <f t="shared" si="0"/>
        <v>53</v>
      </c>
      <c r="I14" s="64">
        <v>296</v>
      </c>
      <c r="J14" s="64">
        <v>334</v>
      </c>
      <c r="K14" s="64">
        <v>296</v>
      </c>
      <c r="L14" s="73">
        <v>46104</v>
      </c>
      <c r="M14" s="74">
        <v>46149</v>
      </c>
      <c r="N14" s="73">
        <v>46104</v>
      </c>
      <c r="O14" s="74">
        <v>46148</v>
      </c>
      <c r="P14" s="73">
        <v>46104</v>
      </c>
      <c r="Q14" s="73">
        <v>46105</v>
      </c>
      <c r="R14" s="73">
        <v>46106</v>
      </c>
      <c r="S14" s="73">
        <v>46113</v>
      </c>
      <c r="T14" s="81">
        <v>46114</v>
      </c>
      <c r="U14" s="73">
        <v>46137</v>
      </c>
      <c r="V14" s="81">
        <v>46138</v>
      </c>
      <c r="W14" s="73">
        <v>46147</v>
      </c>
      <c r="X14" s="64">
        <v>16</v>
      </c>
      <c r="Y14" s="64">
        <v>24</v>
      </c>
      <c r="Z14" s="64">
        <v>168</v>
      </c>
      <c r="AA14" s="64">
        <v>2</v>
      </c>
      <c r="AB14" s="64">
        <v>82</v>
      </c>
      <c r="AC14" s="64">
        <v>1</v>
      </c>
      <c r="AD14" s="64">
        <v>2</v>
      </c>
      <c r="AE14" s="64">
        <v>1</v>
      </c>
      <c r="AF14" s="65">
        <v>1</v>
      </c>
      <c r="AG14" s="65">
        <v>1</v>
      </c>
      <c r="AH14" s="65">
        <v>1</v>
      </c>
      <c r="AI14" s="65">
        <v>1</v>
      </c>
      <c r="AJ14" s="65">
        <v>0</v>
      </c>
      <c r="AK14" s="65">
        <v>0</v>
      </c>
      <c r="AL14" s="75"/>
      <c r="AM14" s="75">
        <f t="shared" si="1"/>
        <v>0.17905405405405406</v>
      </c>
      <c r="AN14" s="75">
        <f t="shared" si="2"/>
        <v>2.9444444444444446</v>
      </c>
      <c r="AO14" s="75">
        <f t="shared" si="3"/>
        <v>2.12</v>
      </c>
      <c r="AP14" s="75">
        <f t="shared" si="4"/>
        <v>0.31176470588235294</v>
      </c>
      <c r="AQ14" s="75">
        <f t="shared" si="5"/>
        <v>0.63855421686746983</v>
      </c>
      <c r="AR14" s="75">
        <f t="shared" si="6"/>
        <v>0.81132075471698117</v>
      </c>
      <c r="AS14" s="75">
        <f t="shared" si="7"/>
        <v>1.8867924528301886E-2</v>
      </c>
      <c r="AT14" s="75">
        <f t="shared" si="8"/>
        <v>0.13207547169811321</v>
      </c>
      <c r="AU14" s="75">
        <f t="shared" si="9"/>
        <v>0.43396226415094341</v>
      </c>
      <c r="AV14" s="75">
        <f t="shared" si="10"/>
        <v>0.16981132075471697</v>
      </c>
      <c r="AW14" s="75">
        <f t="shared" si="11"/>
        <v>0.75</v>
      </c>
      <c r="AX14" s="76">
        <f t="shared" si="12"/>
        <v>1.8867924528301886E-2</v>
      </c>
      <c r="AY14" s="77">
        <f t="shared" si="13"/>
        <v>5.6603773584905662E-2</v>
      </c>
      <c r="AZ14" s="78">
        <f t="shared" si="14"/>
        <v>1.8867924528301886E-2</v>
      </c>
    </row>
    <row r="15" spans="1:52" ht="63" customHeight="1" x14ac:dyDescent="0.35">
      <c r="A15" s="67"/>
      <c r="B15" s="67"/>
      <c r="C15" s="103"/>
      <c r="D15" s="128"/>
      <c r="E15" s="84" t="s">
        <v>104</v>
      </c>
      <c r="F15" s="118" t="s">
        <v>105</v>
      </c>
      <c r="G15" s="64"/>
      <c r="H15" s="64">
        <f t="shared" si="0"/>
        <v>13</v>
      </c>
      <c r="I15" s="64">
        <v>69</v>
      </c>
      <c r="J15" s="64">
        <v>96</v>
      </c>
      <c r="K15" s="64">
        <v>69</v>
      </c>
      <c r="L15" s="73">
        <v>46150</v>
      </c>
      <c r="M15" s="74">
        <v>46167</v>
      </c>
      <c r="N15" s="73">
        <v>46150</v>
      </c>
      <c r="O15" s="74">
        <v>46166</v>
      </c>
      <c r="P15" s="73">
        <v>46150</v>
      </c>
      <c r="Q15" s="73">
        <v>46161</v>
      </c>
      <c r="R15" s="73">
        <v>46151</v>
      </c>
      <c r="S15" s="73">
        <v>46153</v>
      </c>
      <c r="T15" s="81">
        <v>46153</v>
      </c>
      <c r="U15" s="73">
        <v>46161</v>
      </c>
      <c r="V15" s="81">
        <v>46160</v>
      </c>
      <c r="W15" s="73">
        <v>46165</v>
      </c>
      <c r="X15" s="64">
        <v>8</v>
      </c>
      <c r="Y15" s="64">
        <v>4</v>
      </c>
      <c r="Z15" s="64">
        <v>42</v>
      </c>
      <c r="AA15" s="64">
        <v>1</v>
      </c>
      <c r="AB15" s="64">
        <v>13</v>
      </c>
      <c r="AC15" s="64">
        <v>1</v>
      </c>
      <c r="AD15" s="64">
        <v>0</v>
      </c>
      <c r="AE15" s="64">
        <v>0</v>
      </c>
      <c r="AF15" s="65">
        <v>0</v>
      </c>
      <c r="AG15" s="65">
        <v>1</v>
      </c>
      <c r="AH15" s="65">
        <v>0</v>
      </c>
      <c r="AI15" s="65">
        <v>1</v>
      </c>
      <c r="AJ15" s="65">
        <v>0</v>
      </c>
      <c r="AK15" s="65">
        <v>0</v>
      </c>
      <c r="AL15" s="75"/>
      <c r="AM15" s="75">
        <f t="shared" si="1"/>
        <v>0.18840579710144928</v>
      </c>
      <c r="AN15" s="75">
        <f t="shared" si="2"/>
        <v>1.625</v>
      </c>
      <c r="AO15" s="75">
        <f t="shared" si="3"/>
        <v>3.25</v>
      </c>
      <c r="AP15" s="75">
        <f t="shared" si="4"/>
        <v>0.30232558139534882</v>
      </c>
      <c r="AQ15" s="75">
        <f t="shared" si="5"/>
        <v>0.9285714285714286</v>
      </c>
      <c r="AR15" s="75">
        <f t="shared" si="6"/>
        <v>1.1538461538461537</v>
      </c>
      <c r="AS15" s="75">
        <f t="shared" si="7"/>
        <v>0.84615384615384615</v>
      </c>
      <c r="AT15" s="75">
        <f t="shared" si="8"/>
        <v>0.15384615384615385</v>
      </c>
      <c r="AU15" s="75">
        <f t="shared" si="9"/>
        <v>0.61538461538461542</v>
      </c>
      <c r="AV15" s="75">
        <f t="shared" si="10"/>
        <v>0.38461538461538464</v>
      </c>
      <c r="AW15" s="75">
        <f t="shared" si="11"/>
        <v>0.5</v>
      </c>
      <c r="AX15" s="76">
        <f t="shared" si="12"/>
        <v>0</v>
      </c>
      <c r="AY15" s="77">
        <f t="shared" si="13"/>
        <v>7.6923076923076927E-2</v>
      </c>
      <c r="AZ15" s="78">
        <f t="shared" si="14"/>
        <v>7.6923076923076927E-2</v>
      </c>
    </row>
    <row r="16" spans="1:52" ht="63" customHeight="1" x14ac:dyDescent="0.35">
      <c r="A16" s="70">
        <v>8</v>
      </c>
      <c r="B16" s="70" t="s">
        <v>49</v>
      </c>
      <c r="C16" s="70" t="s">
        <v>50</v>
      </c>
      <c r="D16" s="85" t="s">
        <v>93</v>
      </c>
      <c r="E16" s="84" t="s">
        <v>94</v>
      </c>
      <c r="F16" s="118" t="s">
        <v>133</v>
      </c>
      <c r="G16" s="64" t="s">
        <v>88</v>
      </c>
      <c r="H16" s="64">
        <f t="shared" si="0"/>
        <v>38</v>
      </c>
      <c r="I16" s="64">
        <v>210</v>
      </c>
      <c r="J16" s="64">
        <v>255</v>
      </c>
      <c r="K16" s="64">
        <v>210</v>
      </c>
      <c r="L16" s="73">
        <v>46092</v>
      </c>
      <c r="M16" s="74">
        <v>46106</v>
      </c>
      <c r="N16" s="73">
        <v>46092</v>
      </c>
      <c r="O16" s="74">
        <v>46105</v>
      </c>
      <c r="P16" s="73">
        <v>46093</v>
      </c>
      <c r="Q16" s="73">
        <v>46095</v>
      </c>
      <c r="R16" s="73">
        <v>46093</v>
      </c>
      <c r="S16" s="73">
        <v>46096</v>
      </c>
      <c r="T16" s="81">
        <v>46096</v>
      </c>
      <c r="U16" s="73">
        <v>46101</v>
      </c>
      <c r="V16" s="81">
        <v>46102</v>
      </c>
      <c r="W16" s="81">
        <v>23</v>
      </c>
      <c r="X16" s="64">
        <v>16</v>
      </c>
      <c r="Y16" s="64">
        <v>12</v>
      </c>
      <c r="Z16" s="64">
        <v>125</v>
      </c>
      <c r="AA16" s="64">
        <v>1</v>
      </c>
      <c r="AB16" s="64">
        <v>55</v>
      </c>
      <c r="AC16" s="64">
        <v>1</v>
      </c>
      <c r="AD16" s="64">
        <v>0</v>
      </c>
      <c r="AE16" s="64">
        <v>0</v>
      </c>
      <c r="AF16" s="65">
        <v>0</v>
      </c>
      <c r="AG16" s="65">
        <v>0</v>
      </c>
      <c r="AH16" s="65">
        <v>1</v>
      </c>
      <c r="AI16" s="65">
        <v>1</v>
      </c>
      <c r="AJ16" s="65">
        <v>0</v>
      </c>
      <c r="AK16" s="65">
        <v>0</v>
      </c>
      <c r="AL16" s="75"/>
      <c r="AM16" s="75">
        <f t="shared" si="1"/>
        <v>0.18095238095238095</v>
      </c>
      <c r="AN16" s="75">
        <f t="shared" si="2"/>
        <v>2.375</v>
      </c>
      <c r="AO16" s="75">
        <f t="shared" si="3"/>
        <v>3.1666666666666665</v>
      </c>
      <c r="AP16" s="75">
        <f t="shared" si="4"/>
        <v>0.30158730158730157</v>
      </c>
      <c r="AQ16" s="75">
        <f t="shared" si="5"/>
        <v>0.6785714285714286</v>
      </c>
      <c r="AR16" s="75">
        <f t="shared" si="6"/>
        <v>-1212.3684210526317</v>
      </c>
      <c r="AS16" s="75">
        <f t="shared" si="7"/>
        <v>5.2631578947368418E-2</v>
      </c>
      <c r="AT16" s="75">
        <f t="shared" si="8"/>
        <v>7.8947368421052627E-2</v>
      </c>
      <c r="AU16" s="75">
        <f t="shared" si="9"/>
        <v>0.13157894736842105</v>
      </c>
      <c r="AV16" s="75">
        <f t="shared" si="10"/>
        <v>-1212.6052631578948</v>
      </c>
      <c r="AW16" s="75">
        <f t="shared" si="11"/>
        <v>0.5</v>
      </c>
      <c r="AX16" s="76">
        <f t="shared" si="12"/>
        <v>2.6315789473684209E-2</v>
      </c>
      <c r="AY16" s="77">
        <f t="shared" si="13"/>
        <v>2.6315789473684209E-2</v>
      </c>
      <c r="AZ16" s="78">
        <f t="shared" si="14"/>
        <v>2.6315789473684209E-2</v>
      </c>
    </row>
    <row r="17" spans="1:52" ht="63" customHeight="1" x14ac:dyDescent="0.35">
      <c r="A17" s="121">
        <v>9</v>
      </c>
      <c r="B17" s="121" t="s">
        <v>49</v>
      </c>
      <c r="C17" s="121" t="s">
        <v>50</v>
      </c>
      <c r="D17" s="126" t="s">
        <v>95</v>
      </c>
      <c r="E17" s="83" t="s">
        <v>55</v>
      </c>
      <c r="F17" s="118" t="s">
        <v>119</v>
      </c>
      <c r="G17" s="64"/>
      <c r="H17" s="64">
        <f t="shared" si="0"/>
        <v>6</v>
      </c>
      <c r="I17" s="64">
        <v>30</v>
      </c>
      <c r="J17" s="64">
        <v>43</v>
      </c>
      <c r="K17" s="64">
        <v>30</v>
      </c>
      <c r="L17" s="73">
        <v>46087</v>
      </c>
      <c r="M17" s="74">
        <v>46093</v>
      </c>
      <c r="N17" s="73">
        <v>46087</v>
      </c>
      <c r="O17" s="74">
        <v>46092</v>
      </c>
      <c r="P17" s="73">
        <v>46087</v>
      </c>
      <c r="Q17" s="73">
        <v>46088</v>
      </c>
      <c r="R17" s="73">
        <v>46087</v>
      </c>
      <c r="S17" s="73">
        <v>46088</v>
      </c>
      <c r="T17" s="81">
        <v>46088</v>
      </c>
      <c r="U17" s="73">
        <v>46090</v>
      </c>
      <c r="V17" s="81">
        <v>46090</v>
      </c>
      <c r="W17" s="81">
        <v>46091</v>
      </c>
      <c r="X17" s="66">
        <v>2</v>
      </c>
      <c r="Y17" s="66">
        <v>2</v>
      </c>
      <c r="Z17" s="66">
        <v>16</v>
      </c>
      <c r="AA17" s="66">
        <v>2</v>
      </c>
      <c r="AB17" s="66">
        <v>4</v>
      </c>
      <c r="AC17" s="66">
        <v>2</v>
      </c>
      <c r="AD17" s="66">
        <v>1</v>
      </c>
      <c r="AE17" s="66">
        <v>1</v>
      </c>
      <c r="AF17" s="65">
        <v>1</v>
      </c>
      <c r="AG17" s="65">
        <v>1</v>
      </c>
      <c r="AH17" s="65">
        <v>1</v>
      </c>
      <c r="AI17" s="65">
        <v>1</v>
      </c>
      <c r="AJ17" s="65">
        <v>0</v>
      </c>
      <c r="AK17" s="65">
        <v>0</v>
      </c>
      <c r="AL17" s="75"/>
      <c r="AM17" s="75">
        <f t="shared" si="1"/>
        <v>0.2</v>
      </c>
      <c r="AN17" s="75">
        <f t="shared" si="2"/>
        <v>2</v>
      </c>
      <c r="AO17" s="75">
        <f t="shared" si="3"/>
        <v>2</v>
      </c>
      <c r="AP17" s="75">
        <f t="shared" si="4"/>
        <v>0.33333333333333331</v>
      </c>
      <c r="AQ17" s="75">
        <f t="shared" si="5"/>
        <v>1</v>
      </c>
      <c r="AR17" s="75">
        <f t="shared" si="6"/>
        <v>0.66666666666666663</v>
      </c>
      <c r="AS17" s="75">
        <f t="shared" si="7"/>
        <v>0.16666666666666666</v>
      </c>
      <c r="AT17" s="75">
        <f t="shared" si="8"/>
        <v>0.16666666666666666</v>
      </c>
      <c r="AU17" s="75">
        <f t="shared" si="9"/>
        <v>0.33333333333333331</v>
      </c>
      <c r="AV17" s="75">
        <f t="shared" si="10"/>
        <v>0.16666666666666666</v>
      </c>
      <c r="AW17" s="75">
        <f t="shared" si="11"/>
        <v>0.75</v>
      </c>
      <c r="AX17" s="76">
        <f t="shared" si="12"/>
        <v>0.16666666666666666</v>
      </c>
      <c r="AY17" s="77">
        <f t="shared" si="13"/>
        <v>0.5</v>
      </c>
      <c r="AZ17" s="78">
        <f t="shared" si="14"/>
        <v>0.16666666666666666</v>
      </c>
    </row>
    <row r="18" spans="1:52" ht="63" customHeight="1" x14ac:dyDescent="0.35">
      <c r="A18" s="121"/>
      <c r="B18" s="121"/>
      <c r="C18" s="121"/>
      <c r="D18" s="126"/>
      <c r="E18" s="83" t="s">
        <v>96</v>
      </c>
      <c r="F18" s="118" t="s">
        <v>134</v>
      </c>
      <c r="G18" s="64"/>
      <c r="H18" s="64">
        <f t="shared" si="0"/>
        <v>45</v>
      </c>
      <c r="I18" s="64">
        <v>250</v>
      </c>
      <c r="J18" s="64">
        <v>293</v>
      </c>
      <c r="K18" s="64">
        <v>250</v>
      </c>
      <c r="L18" s="73">
        <v>46038</v>
      </c>
      <c r="M18" s="74">
        <v>46079</v>
      </c>
      <c r="N18" s="73">
        <v>46038</v>
      </c>
      <c r="O18" s="74">
        <v>46078</v>
      </c>
      <c r="P18" s="73">
        <v>46038</v>
      </c>
      <c r="Q18" s="73">
        <v>46039</v>
      </c>
      <c r="R18" s="73">
        <v>46039</v>
      </c>
      <c r="S18" s="73">
        <v>46047</v>
      </c>
      <c r="T18" s="81">
        <v>46048</v>
      </c>
      <c r="U18" s="73">
        <v>46067</v>
      </c>
      <c r="V18" s="81">
        <v>46068</v>
      </c>
      <c r="W18" s="81">
        <v>46077</v>
      </c>
      <c r="X18" s="64">
        <v>15</v>
      </c>
      <c r="Y18" s="64">
        <v>15</v>
      </c>
      <c r="Z18" s="64">
        <v>134</v>
      </c>
      <c r="AA18" s="64">
        <v>3</v>
      </c>
      <c r="AB18" s="64">
        <v>76</v>
      </c>
      <c r="AC18" s="64">
        <v>3</v>
      </c>
      <c r="AD18" s="64">
        <v>2</v>
      </c>
      <c r="AE18" s="64">
        <v>2</v>
      </c>
      <c r="AF18" s="65">
        <v>1</v>
      </c>
      <c r="AG18" s="65">
        <v>2</v>
      </c>
      <c r="AH18" s="65">
        <v>2</v>
      </c>
      <c r="AI18" s="65">
        <v>2</v>
      </c>
      <c r="AJ18" s="65">
        <v>0</v>
      </c>
      <c r="AK18" s="65">
        <v>2</v>
      </c>
      <c r="AL18" s="75"/>
      <c r="AM18" s="75">
        <f t="shared" si="1"/>
        <v>0.18</v>
      </c>
      <c r="AN18" s="75">
        <f t="shared" si="2"/>
        <v>2.6470588235294117</v>
      </c>
      <c r="AO18" s="75">
        <f t="shared" si="3"/>
        <v>2.6470588235294117</v>
      </c>
      <c r="AP18" s="75">
        <f t="shared" si="4"/>
        <v>0.32846715328467152</v>
      </c>
      <c r="AQ18" s="75">
        <f t="shared" si="5"/>
        <v>0.569620253164557</v>
      </c>
      <c r="AR18" s="75">
        <f t="shared" si="6"/>
        <v>0.8666666666666667</v>
      </c>
      <c r="AS18" s="75">
        <f t="shared" si="7"/>
        <v>2.2222222222222223E-2</v>
      </c>
      <c r="AT18" s="75">
        <f t="shared" si="8"/>
        <v>0.17777777777777778</v>
      </c>
      <c r="AU18" s="75">
        <f t="shared" si="9"/>
        <v>0.42222222222222222</v>
      </c>
      <c r="AV18" s="75">
        <f t="shared" si="10"/>
        <v>0.2</v>
      </c>
      <c r="AW18" s="75">
        <f t="shared" si="11"/>
        <v>0.71428571428571419</v>
      </c>
      <c r="AX18" s="76">
        <f t="shared" si="12"/>
        <v>4.4444444444444446E-2</v>
      </c>
      <c r="AY18" s="77">
        <f t="shared" si="13"/>
        <v>0.1111111111111111</v>
      </c>
      <c r="AZ18" s="78">
        <f t="shared" si="14"/>
        <v>4.4444444444444446E-2</v>
      </c>
    </row>
    <row r="19" spans="1:52" ht="63" customHeight="1" x14ac:dyDescent="0.35">
      <c r="A19" s="70">
        <v>10</v>
      </c>
      <c r="B19" s="70" t="s">
        <v>49</v>
      </c>
      <c r="C19" s="70" t="s">
        <v>50</v>
      </c>
      <c r="D19" s="86" t="s">
        <v>52</v>
      </c>
      <c r="E19" s="83" t="s">
        <v>5</v>
      </c>
      <c r="F19" s="118" t="s">
        <v>135</v>
      </c>
      <c r="G19" s="64" t="s">
        <v>88</v>
      </c>
      <c r="H19" s="64">
        <f t="shared" si="0"/>
        <v>22</v>
      </c>
      <c r="I19" s="64">
        <v>123</v>
      </c>
      <c r="J19" s="64">
        <v>145</v>
      </c>
      <c r="K19" s="64">
        <v>123</v>
      </c>
      <c r="L19" s="73">
        <v>46042</v>
      </c>
      <c r="M19" s="74">
        <v>46057</v>
      </c>
      <c r="N19" s="73">
        <v>46042</v>
      </c>
      <c r="O19" s="74">
        <v>46056</v>
      </c>
      <c r="P19" s="73">
        <v>46042</v>
      </c>
      <c r="Q19" s="73">
        <v>46043</v>
      </c>
      <c r="R19" s="73">
        <v>46043</v>
      </c>
      <c r="S19" s="73">
        <v>46045</v>
      </c>
      <c r="T19" s="81">
        <v>46045</v>
      </c>
      <c r="U19" s="81">
        <v>46050</v>
      </c>
      <c r="V19" s="81">
        <v>46049</v>
      </c>
      <c r="W19" s="81">
        <v>46054</v>
      </c>
      <c r="X19" s="64">
        <v>8</v>
      </c>
      <c r="Y19" s="64">
        <v>6</v>
      </c>
      <c r="Z19" s="64">
        <v>68</v>
      </c>
      <c r="AA19" s="64">
        <v>1</v>
      </c>
      <c r="AB19" s="64">
        <v>39</v>
      </c>
      <c r="AC19" s="64">
        <v>1</v>
      </c>
      <c r="AD19" s="64">
        <v>0</v>
      </c>
      <c r="AE19" s="64">
        <v>0</v>
      </c>
      <c r="AF19" s="65">
        <v>0</v>
      </c>
      <c r="AG19" s="65">
        <v>0</v>
      </c>
      <c r="AH19" s="65">
        <v>1</v>
      </c>
      <c r="AI19" s="65">
        <v>1</v>
      </c>
      <c r="AJ19" s="65">
        <v>0</v>
      </c>
      <c r="AK19" s="65">
        <v>0</v>
      </c>
      <c r="AL19" s="75"/>
      <c r="AM19" s="75">
        <f t="shared" si="1"/>
        <v>0.17886178861788618</v>
      </c>
      <c r="AN19" s="75">
        <f t="shared" si="2"/>
        <v>2.75</v>
      </c>
      <c r="AO19" s="75">
        <f t="shared" si="3"/>
        <v>3.6666666666666665</v>
      </c>
      <c r="AP19" s="75">
        <f t="shared" si="4"/>
        <v>0.3188405797101449</v>
      </c>
      <c r="AQ19" s="75">
        <f t="shared" si="5"/>
        <v>0.55000000000000004</v>
      </c>
      <c r="AR19" s="75">
        <f t="shared" si="6"/>
        <v>0.54545454545454541</v>
      </c>
      <c r="AS19" s="75">
        <f t="shared" si="7"/>
        <v>4.5454545454545456E-2</v>
      </c>
      <c r="AT19" s="75">
        <f t="shared" si="8"/>
        <v>9.0909090909090912E-2</v>
      </c>
      <c r="AU19" s="75">
        <f>((U19-T19)/H19)</f>
        <v>0.22727272727272727</v>
      </c>
      <c r="AV19" s="75">
        <f t="shared" si="10"/>
        <v>0.22727272727272727</v>
      </c>
      <c r="AW19" s="75">
        <f t="shared" si="11"/>
        <v>0.5</v>
      </c>
      <c r="AX19" s="76">
        <f t="shared" si="12"/>
        <v>4.5454545454545456E-2</v>
      </c>
      <c r="AY19" s="77">
        <f t="shared" si="13"/>
        <v>4.5454545454545456E-2</v>
      </c>
      <c r="AZ19" s="78">
        <f t="shared" si="14"/>
        <v>4.5454545454545456E-2</v>
      </c>
    </row>
    <row r="20" spans="1:52" ht="63" customHeight="1" x14ac:dyDescent="0.35">
      <c r="A20" s="68">
        <v>11</v>
      </c>
      <c r="B20" s="68" t="s">
        <v>49</v>
      </c>
      <c r="C20" s="68" t="s">
        <v>50</v>
      </c>
      <c r="D20" s="124" t="s">
        <v>97</v>
      </c>
      <c r="E20" s="87" t="s">
        <v>98</v>
      </c>
      <c r="F20" s="118" t="s">
        <v>120</v>
      </c>
      <c r="G20" s="64" t="s">
        <v>88</v>
      </c>
      <c r="H20" s="64">
        <f t="shared" si="0"/>
        <v>46</v>
      </c>
      <c r="I20" s="64">
        <v>256</v>
      </c>
      <c r="J20" s="64">
        <v>320</v>
      </c>
      <c r="K20" s="64">
        <v>256</v>
      </c>
      <c r="L20" s="73">
        <v>46130</v>
      </c>
      <c r="M20" s="74">
        <v>46142</v>
      </c>
      <c r="N20" s="81">
        <v>46130</v>
      </c>
      <c r="O20" s="82">
        <v>46141</v>
      </c>
      <c r="P20" s="81">
        <v>46130</v>
      </c>
      <c r="Q20" s="81">
        <v>46131</v>
      </c>
      <c r="R20" s="81">
        <v>46131</v>
      </c>
      <c r="S20" s="73">
        <v>46133</v>
      </c>
      <c r="T20" s="73">
        <v>46137</v>
      </c>
      <c r="U20" s="73">
        <v>46137</v>
      </c>
      <c r="V20" s="81">
        <v>46140</v>
      </c>
      <c r="W20" s="81">
        <v>46140</v>
      </c>
      <c r="X20" s="64">
        <v>22</v>
      </c>
      <c r="Y20" s="64">
        <v>18</v>
      </c>
      <c r="Z20" s="64">
        <v>138</v>
      </c>
      <c r="AA20" s="64">
        <v>2</v>
      </c>
      <c r="AB20" s="64">
        <v>71</v>
      </c>
      <c r="AC20" s="64">
        <v>2</v>
      </c>
      <c r="AD20" s="64">
        <v>2</v>
      </c>
      <c r="AE20" s="64">
        <v>1</v>
      </c>
      <c r="AF20" s="65">
        <v>1</v>
      </c>
      <c r="AG20" s="65">
        <v>2</v>
      </c>
      <c r="AH20" s="65">
        <v>4</v>
      </c>
      <c r="AI20" s="65">
        <v>2</v>
      </c>
      <c r="AJ20" s="65">
        <v>1</v>
      </c>
      <c r="AK20" s="65">
        <v>1</v>
      </c>
      <c r="AL20" s="75"/>
      <c r="AM20" s="75">
        <f t="shared" si="1"/>
        <v>0.1796875</v>
      </c>
      <c r="AN20" s="75">
        <f t="shared" si="2"/>
        <v>1.9166666666666667</v>
      </c>
      <c r="AO20" s="75">
        <f t="shared" si="3"/>
        <v>2.4210526315789473</v>
      </c>
      <c r="AP20" s="75">
        <f t="shared" si="4"/>
        <v>0.32857142857142857</v>
      </c>
      <c r="AQ20" s="75">
        <f t="shared" si="5"/>
        <v>0.63013698630136983</v>
      </c>
      <c r="AR20" s="75">
        <f t="shared" si="6"/>
        <v>0.21739130434782608</v>
      </c>
      <c r="AS20" s="75">
        <f t="shared" si="7"/>
        <v>2.1739130434782608E-2</v>
      </c>
      <c r="AT20" s="75">
        <f t="shared" si="8"/>
        <v>4.3478260869565216E-2</v>
      </c>
      <c r="AU20" s="75">
        <f t="shared" si="9"/>
        <v>0</v>
      </c>
      <c r="AV20" s="75">
        <f t="shared" si="10"/>
        <v>0</v>
      </c>
      <c r="AW20" s="75">
        <f t="shared" si="11"/>
        <v>0.77777777777777779</v>
      </c>
      <c r="AX20" s="76">
        <f t="shared" si="12"/>
        <v>8.6956521739130432E-2</v>
      </c>
      <c r="AY20" s="77">
        <f t="shared" si="13"/>
        <v>0.15217391304347827</v>
      </c>
      <c r="AZ20" s="78">
        <f t="shared" si="14"/>
        <v>4.3478260869565216E-2</v>
      </c>
    </row>
    <row r="21" spans="1:52" ht="63" customHeight="1" x14ac:dyDescent="0.35">
      <c r="A21" s="64"/>
      <c r="B21" s="64"/>
      <c r="C21" s="64"/>
      <c r="D21" s="124"/>
      <c r="E21" s="87" t="s">
        <v>99</v>
      </c>
      <c r="F21" s="118" t="s">
        <v>136</v>
      </c>
      <c r="G21" s="64" t="s">
        <v>88</v>
      </c>
      <c r="H21" s="64">
        <f t="shared" si="0"/>
        <v>45</v>
      </c>
      <c r="I21" s="64">
        <v>249</v>
      </c>
      <c r="J21" s="64">
        <v>290</v>
      </c>
      <c r="K21" s="64">
        <v>249</v>
      </c>
      <c r="L21" s="73">
        <v>46094</v>
      </c>
      <c r="M21" s="74">
        <v>46113</v>
      </c>
      <c r="N21" s="81">
        <v>46094</v>
      </c>
      <c r="O21" s="82">
        <v>46112</v>
      </c>
      <c r="P21" s="81">
        <v>46094</v>
      </c>
      <c r="Q21" s="73">
        <v>46095</v>
      </c>
      <c r="R21" s="73">
        <v>46095</v>
      </c>
      <c r="S21" s="73">
        <v>46098</v>
      </c>
      <c r="T21" s="73">
        <v>46099</v>
      </c>
      <c r="U21" s="73">
        <v>46106</v>
      </c>
      <c r="V21" s="73">
        <v>46107</v>
      </c>
      <c r="W21" s="81">
        <v>46111</v>
      </c>
      <c r="X21" s="66">
        <v>22</v>
      </c>
      <c r="Y21" s="66">
        <v>15</v>
      </c>
      <c r="Z21" s="66">
        <v>138</v>
      </c>
      <c r="AA21" s="66">
        <v>2</v>
      </c>
      <c r="AB21" s="66">
        <v>68</v>
      </c>
      <c r="AC21" s="66">
        <v>2</v>
      </c>
      <c r="AD21" s="66">
        <v>1</v>
      </c>
      <c r="AE21" s="66">
        <v>1</v>
      </c>
      <c r="AF21" s="65">
        <v>1</v>
      </c>
      <c r="AG21" s="65">
        <v>1</v>
      </c>
      <c r="AH21" s="65">
        <v>4</v>
      </c>
      <c r="AI21" s="65">
        <v>2</v>
      </c>
      <c r="AJ21" s="65">
        <v>1</v>
      </c>
      <c r="AK21" s="65">
        <v>0</v>
      </c>
      <c r="AL21" s="75"/>
      <c r="AM21" s="75">
        <f t="shared" si="1"/>
        <v>0.18072289156626506</v>
      </c>
      <c r="AN21" s="75">
        <f t="shared" si="2"/>
        <v>1.9565217391304348</v>
      </c>
      <c r="AO21" s="75">
        <f t="shared" si="3"/>
        <v>2.8125</v>
      </c>
      <c r="AP21" s="75">
        <f t="shared" si="4"/>
        <v>0.32142857142857145</v>
      </c>
      <c r="AQ21" s="75">
        <f t="shared" si="5"/>
        <v>0.6428571428571429</v>
      </c>
      <c r="AR21" s="75">
        <f t="shared" si="6"/>
        <v>0.37777777777777777</v>
      </c>
      <c r="AS21" s="75">
        <f t="shared" si="7"/>
        <v>2.2222222222222223E-2</v>
      </c>
      <c r="AT21" s="75">
        <f t="shared" si="8"/>
        <v>6.6666666666666666E-2</v>
      </c>
      <c r="AU21" s="75">
        <f t="shared" si="9"/>
        <v>0.15555555555555556</v>
      </c>
      <c r="AV21" s="75">
        <f t="shared" si="10"/>
        <v>8.8888888888888892E-2</v>
      </c>
      <c r="AW21" s="75">
        <f t="shared" si="11"/>
        <v>0.75</v>
      </c>
      <c r="AX21" s="76">
        <f t="shared" si="12"/>
        <v>8.8888888888888892E-2</v>
      </c>
      <c r="AY21" s="77">
        <f t="shared" si="13"/>
        <v>0.13333333333333333</v>
      </c>
      <c r="AZ21" s="78">
        <f t="shared" si="14"/>
        <v>4.4444444444444446E-2</v>
      </c>
    </row>
    <row r="22" spans="1:52" ht="63" customHeight="1" x14ac:dyDescent="0.35">
      <c r="A22" s="64"/>
      <c r="B22" s="64"/>
      <c r="C22" s="64"/>
      <c r="D22" s="125"/>
      <c r="E22" s="87" t="s">
        <v>100</v>
      </c>
      <c r="F22" s="118" t="s">
        <v>121</v>
      </c>
      <c r="G22" s="64"/>
      <c r="H22" s="64">
        <f t="shared" si="0"/>
        <v>5</v>
      </c>
      <c r="I22" s="64">
        <v>26</v>
      </c>
      <c r="J22" s="64">
        <v>45</v>
      </c>
      <c r="K22" s="64">
        <v>26</v>
      </c>
      <c r="L22" s="73">
        <v>46087</v>
      </c>
      <c r="M22" s="74">
        <v>46091</v>
      </c>
      <c r="N22" s="81">
        <v>46087</v>
      </c>
      <c r="O22" s="82">
        <v>46090</v>
      </c>
      <c r="P22" s="81">
        <v>46087</v>
      </c>
      <c r="Q22" s="73">
        <v>46088</v>
      </c>
      <c r="R22" s="73">
        <v>46088</v>
      </c>
      <c r="S22" s="73">
        <v>46089</v>
      </c>
      <c r="T22" s="73">
        <v>46088</v>
      </c>
      <c r="U22" s="73">
        <v>46089</v>
      </c>
      <c r="V22" s="73">
        <v>46089</v>
      </c>
      <c r="W22" s="81">
        <v>46089</v>
      </c>
      <c r="X22" s="66">
        <v>3</v>
      </c>
      <c r="Y22" s="66">
        <v>1</v>
      </c>
      <c r="Z22" s="66">
        <v>16</v>
      </c>
      <c r="AA22" s="66">
        <v>1</v>
      </c>
      <c r="AB22" s="66">
        <v>5</v>
      </c>
      <c r="AC22" s="66">
        <v>0</v>
      </c>
      <c r="AD22" s="66">
        <v>0</v>
      </c>
      <c r="AE22" s="66">
        <v>0</v>
      </c>
      <c r="AF22" s="65">
        <v>0</v>
      </c>
      <c r="AG22" s="65">
        <v>0</v>
      </c>
      <c r="AH22" s="65">
        <v>1</v>
      </c>
      <c r="AI22" s="65">
        <v>0</v>
      </c>
      <c r="AJ22" s="65">
        <v>0</v>
      </c>
      <c r="AK22" s="65">
        <v>0</v>
      </c>
      <c r="AL22" s="75"/>
      <c r="AM22" s="75">
        <f t="shared" si="1"/>
        <v>0.19230769230769232</v>
      </c>
      <c r="AN22" s="75">
        <f t="shared" si="2"/>
        <v>1.6666666666666667</v>
      </c>
      <c r="AO22" s="75">
        <f t="shared" si="3"/>
        <v>5</v>
      </c>
      <c r="AP22" s="75">
        <f t="shared" si="4"/>
        <v>0.29411764705882354</v>
      </c>
      <c r="AQ22" s="75">
        <f t="shared" si="5"/>
        <v>1</v>
      </c>
      <c r="AR22" s="75">
        <f t="shared" si="6"/>
        <v>0.4</v>
      </c>
      <c r="AS22" s="75">
        <f t="shared" si="7"/>
        <v>0.2</v>
      </c>
      <c r="AT22" s="75">
        <f t="shared" si="8"/>
        <v>0.2</v>
      </c>
      <c r="AU22" s="75">
        <f t="shared" si="9"/>
        <v>0.2</v>
      </c>
      <c r="AV22" s="75">
        <f t="shared" si="10"/>
        <v>0</v>
      </c>
      <c r="AW22" s="75">
        <f t="shared" si="11"/>
        <v>1</v>
      </c>
      <c r="AX22" s="76">
        <f t="shared" si="12"/>
        <v>0.2</v>
      </c>
      <c r="AY22" s="77">
        <f t="shared" si="13"/>
        <v>0.2</v>
      </c>
      <c r="AZ22" s="78">
        <f t="shared" si="14"/>
        <v>0</v>
      </c>
    </row>
    <row r="23" spans="1:52" ht="63" customHeight="1" x14ac:dyDescent="0.35">
      <c r="A23" s="64">
        <v>12</v>
      </c>
      <c r="B23" s="64" t="s">
        <v>49</v>
      </c>
      <c r="C23" s="64" t="s">
        <v>50</v>
      </c>
      <c r="D23" s="88" t="s">
        <v>53</v>
      </c>
      <c r="E23" s="72" t="s">
        <v>101</v>
      </c>
      <c r="F23" s="118" t="s">
        <v>122</v>
      </c>
      <c r="G23" s="64" t="s">
        <v>88</v>
      </c>
      <c r="H23" s="64">
        <f t="shared" si="0"/>
        <v>10</v>
      </c>
      <c r="I23" s="64">
        <v>54</v>
      </c>
      <c r="J23" s="64">
        <v>72</v>
      </c>
      <c r="K23" s="64">
        <v>54</v>
      </c>
      <c r="L23" s="73">
        <v>46154</v>
      </c>
      <c r="M23" s="74">
        <v>46157</v>
      </c>
      <c r="N23" s="73">
        <v>46154</v>
      </c>
      <c r="O23" s="82">
        <v>46157</v>
      </c>
      <c r="P23" s="73">
        <v>46154</v>
      </c>
      <c r="Q23" s="81">
        <v>46155</v>
      </c>
      <c r="R23" s="73">
        <v>46155</v>
      </c>
      <c r="S23" s="73">
        <v>46156</v>
      </c>
      <c r="T23" s="73">
        <v>46155</v>
      </c>
      <c r="U23" s="73">
        <v>46156</v>
      </c>
      <c r="V23" s="73">
        <v>46155</v>
      </c>
      <c r="W23" s="73">
        <v>46156</v>
      </c>
      <c r="X23" s="65">
        <v>2</v>
      </c>
      <c r="Y23" s="64">
        <v>2</v>
      </c>
      <c r="Z23" s="64">
        <v>32</v>
      </c>
      <c r="AA23" s="64">
        <v>1</v>
      </c>
      <c r="AB23" s="64">
        <v>16</v>
      </c>
      <c r="AC23" s="64">
        <v>1</v>
      </c>
      <c r="AD23" s="64">
        <v>0</v>
      </c>
      <c r="AE23" s="64">
        <v>0</v>
      </c>
      <c r="AF23" s="64">
        <v>0</v>
      </c>
      <c r="AG23" s="64">
        <v>0</v>
      </c>
      <c r="AH23" s="64">
        <v>2</v>
      </c>
      <c r="AI23" s="64">
        <v>1</v>
      </c>
      <c r="AJ23" s="64">
        <v>0</v>
      </c>
      <c r="AK23" s="64">
        <v>0</v>
      </c>
      <c r="AL23" s="77"/>
      <c r="AM23" s="75">
        <f t="shared" si="1"/>
        <v>0.18518518518518517</v>
      </c>
      <c r="AN23" s="75">
        <f t="shared" si="2"/>
        <v>5</v>
      </c>
      <c r="AO23" s="75">
        <f t="shared" si="3"/>
        <v>5</v>
      </c>
      <c r="AP23" s="75">
        <f t="shared" si="4"/>
        <v>0.30303030303030304</v>
      </c>
      <c r="AQ23" s="75">
        <f t="shared" si="5"/>
        <v>0.58823529411764708</v>
      </c>
      <c r="AR23" s="75">
        <f t="shared" si="6"/>
        <v>0.2</v>
      </c>
      <c r="AS23" s="75">
        <f t="shared" si="7"/>
        <v>0.1</v>
      </c>
      <c r="AT23" s="75">
        <f t="shared" si="8"/>
        <v>0.1</v>
      </c>
      <c r="AU23" s="75">
        <f t="shared" si="9"/>
        <v>0.1</v>
      </c>
      <c r="AV23" s="75">
        <f t="shared" si="10"/>
        <v>0.1</v>
      </c>
      <c r="AW23" s="75">
        <f t="shared" si="11"/>
        <v>0.66666666666666663</v>
      </c>
      <c r="AX23" s="76">
        <f t="shared" si="12"/>
        <v>0.2</v>
      </c>
      <c r="AY23" s="77">
        <f t="shared" si="13"/>
        <v>0.2</v>
      </c>
      <c r="AZ23" s="78">
        <f t="shared" si="14"/>
        <v>0.1</v>
      </c>
    </row>
    <row r="24" spans="1:52" ht="63" customHeight="1" x14ac:dyDescent="0.35">
      <c r="A24" s="64">
        <v>13</v>
      </c>
      <c r="B24" s="64" t="s">
        <v>49</v>
      </c>
      <c r="C24" s="64" t="s">
        <v>50</v>
      </c>
      <c r="D24" s="88" t="s">
        <v>102</v>
      </c>
      <c r="E24" s="72" t="s">
        <v>103</v>
      </c>
      <c r="F24" s="118" t="s">
        <v>123</v>
      </c>
      <c r="G24" s="64"/>
      <c r="H24" s="64">
        <f t="shared" si="0"/>
        <v>11</v>
      </c>
      <c r="I24" s="64">
        <v>61</v>
      </c>
      <c r="J24" s="64">
        <v>91</v>
      </c>
      <c r="K24" s="64">
        <v>61</v>
      </c>
      <c r="L24" s="73">
        <v>46154</v>
      </c>
      <c r="M24" s="74">
        <v>46164</v>
      </c>
      <c r="N24" s="73">
        <v>46154</v>
      </c>
      <c r="O24" s="74">
        <v>46163</v>
      </c>
      <c r="P24" s="73">
        <v>46154</v>
      </c>
      <c r="Q24" s="73">
        <v>46155</v>
      </c>
      <c r="R24" s="73">
        <v>46155</v>
      </c>
      <c r="S24" s="73">
        <v>46156</v>
      </c>
      <c r="T24" s="81">
        <v>46156</v>
      </c>
      <c r="U24" s="73">
        <v>46159</v>
      </c>
      <c r="V24" s="81">
        <v>46160</v>
      </c>
      <c r="W24" s="81">
        <v>46162</v>
      </c>
      <c r="X24" s="64">
        <v>4</v>
      </c>
      <c r="Y24" s="64">
        <v>1</v>
      </c>
      <c r="Z24" s="64">
        <v>37</v>
      </c>
      <c r="AA24" s="64">
        <v>0</v>
      </c>
      <c r="AB24" s="64">
        <v>19</v>
      </c>
      <c r="AC24" s="64">
        <v>0</v>
      </c>
      <c r="AD24" s="64">
        <v>0</v>
      </c>
      <c r="AE24" s="64">
        <v>0</v>
      </c>
      <c r="AF24" s="64">
        <v>0</v>
      </c>
      <c r="AG24" s="64">
        <v>0</v>
      </c>
      <c r="AH24" s="64">
        <v>1</v>
      </c>
      <c r="AI24" s="64">
        <v>0</v>
      </c>
      <c r="AJ24" s="64">
        <v>0</v>
      </c>
      <c r="AK24" s="64">
        <v>0</v>
      </c>
      <c r="AL24" s="77"/>
      <c r="AM24" s="75">
        <f t="shared" si="1"/>
        <v>0.18032786885245902</v>
      </c>
      <c r="AN24" s="75">
        <f t="shared" si="2"/>
        <v>2.75</v>
      </c>
      <c r="AO24" s="75">
        <f t="shared" si="3"/>
        <v>11</v>
      </c>
      <c r="AP24" s="75">
        <f t="shared" si="4"/>
        <v>0.29729729729729731</v>
      </c>
      <c r="AQ24" s="75">
        <f t="shared" si="5"/>
        <v>0.57894736842105265</v>
      </c>
      <c r="AR24" s="75">
        <f t="shared" si="6"/>
        <v>0.72727272727272729</v>
      </c>
      <c r="AS24" s="75">
        <f t="shared" si="7"/>
        <v>9.0909090909090912E-2</v>
      </c>
      <c r="AT24" s="75">
        <f t="shared" si="8"/>
        <v>9.0909090909090912E-2</v>
      </c>
      <c r="AU24" s="75">
        <f t="shared" si="9"/>
        <v>0.27272727272727271</v>
      </c>
      <c r="AV24" s="75">
        <f t="shared" si="10"/>
        <v>0.18181818181818182</v>
      </c>
      <c r="AW24" s="75">
        <f t="shared" si="11"/>
        <v>1</v>
      </c>
      <c r="AX24" s="76">
        <f t="shared" si="12"/>
        <v>9.0909090909090912E-2</v>
      </c>
      <c r="AY24" s="77">
        <f t="shared" si="13"/>
        <v>9.0909090909090912E-2</v>
      </c>
      <c r="AZ24" s="78">
        <f t="shared" si="14"/>
        <v>0</v>
      </c>
    </row>
    <row r="25" spans="1:52" ht="63" customHeight="1" x14ac:dyDescent="0.35">
      <c r="H25" s="69"/>
      <c r="AM25" s="75"/>
    </row>
    <row r="26" spans="1:52" ht="63" customHeight="1" x14ac:dyDescent="0.35">
      <c r="H26" s="69"/>
      <c r="AM26" s="75"/>
    </row>
    <row r="27" spans="1:52" ht="63" customHeight="1" x14ac:dyDescent="0.35">
      <c r="H27" s="69"/>
      <c r="AM27" s="75"/>
    </row>
    <row r="28" spans="1:52" ht="63" customHeight="1" x14ac:dyDescent="0.35">
      <c r="A28" s="64">
        <v>4</v>
      </c>
      <c r="B28" s="64" t="s">
        <v>49</v>
      </c>
      <c r="C28" s="64" t="s">
        <v>50</v>
      </c>
      <c r="D28" s="90" t="s">
        <v>86</v>
      </c>
      <c r="E28" s="79" t="s">
        <v>112</v>
      </c>
      <c r="F28" s="118" t="s">
        <v>113</v>
      </c>
      <c r="G28" s="64"/>
      <c r="H28" s="68">
        <f>ROUNDUP(I28/5.6,0)</f>
        <v>44</v>
      </c>
      <c r="I28" s="64">
        <v>241</v>
      </c>
      <c r="J28" s="64"/>
      <c r="K28" s="64"/>
      <c r="L28" s="73"/>
      <c r="M28" s="74"/>
      <c r="N28" s="73"/>
      <c r="O28" s="74"/>
      <c r="P28" s="73"/>
      <c r="Q28" s="73"/>
      <c r="R28" s="73"/>
      <c r="S28" s="73"/>
      <c r="T28" s="81"/>
      <c r="U28" s="73"/>
      <c r="V28" s="81"/>
      <c r="W28" s="81"/>
      <c r="X28" s="64"/>
      <c r="Y28" s="64"/>
      <c r="Z28" s="64"/>
      <c r="AA28" s="64"/>
      <c r="AB28" s="64"/>
      <c r="AC28" s="64"/>
      <c r="AD28" s="64"/>
      <c r="AE28" s="64"/>
      <c r="AF28" s="64"/>
      <c r="AG28" s="64"/>
      <c r="AH28" s="64"/>
      <c r="AI28" s="64"/>
      <c r="AJ28" s="64"/>
      <c r="AK28" s="64"/>
      <c r="AL28" s="77"/>
      <c r="AM28" s="75">
        <f t="shared" si="1"/>
        <v>0.18257261410788381</v>
      </c>
      <c r="AN28" s="77"/>
      <c r="AO28" s="77"/>
      <c r="AP28" s="77"/>
      <c r="AQ28" s="77"/>
      <c r="AR28" s="77"/>
      <c r="AS28" s="77"/>
      <c r="AT28" s="77"/>
      <c r="AU28" s="77"/>
      <c r="AV28" s="77"/>
      <c r="AW28" s="77"/>
      <c r="AX28" s="89"/>
      <c r="AY28" s="77"/>
      <c r="AZ28" s="78"/>
    </row>
    <row r="29" spans="1:52" ht="63" customHeight="1" x14ac:dyDescent="0.35">
      <c r="A29" s="64"/>
      <c r="B29" s="64"/>
      <c r="C29" s="64"/>
      <c r="D29" s="90"/>
      <c r="E29" s="79" t="s">
        <v>114</v>
      </c>
      <c r="F29" s="118" t="s">
        <v>117</v>
      </c>
      <c r="G29" s="64"/>
      <c r="H29" s="111">
        <f t="shared" ref="H29:H30" si="15">ROUNDUP(I29/5.6,0)</f>
        <v>33</v>
      </c>
      <c r="I29" s="64">
        <v>182</v>
      </c>
      <c r="J29" s="64"/>
      <c r="K29" s="64"/>
      <c r="L29" s="73"/>
      <c r="M29" s="74"/>
      <c r="N29" s="73"/>
      <c r="O29" s="74"/>
      <c r="P29" s="73"/>
      <c r="Q29" s="73"/>
      <c r="R29" s="73"/>
      <c r="S29" s="73"/>
      <c r="T29" s="81"/>
      <c r="U29" s="73"/>
      <c r="V29" s="81"/>
      <c r="W29" s="81"/>
      <c r="X29" s="64"/>
      <c r="Y29" s="64"/>
      <c r="Z29" s="64"/>
      <c r="AA29" s="64"/>
      <c r="AB29" s="64"/>
      <c r="AC29" s="64"/>
      <c r="AD29" s="64"/>
      <c r="AE29" s="64"/>
      <c r="AF29" s="64"/>
      <c r="AG29" s="64"/>
      <c r="AH29" s="64"/>
      <c r="AI29" s="64"/>
      <c r="AJ29" s="64"/>
      <c r="AK29" s="64"/>
      <c r="AL29" s="77"/>
      <c r="AM29" s="75">
        <f t="shared" si="1"/>
        <v>0.18131868131868131</v>
      </c>
      <c r="AN29" s="77"/>
      <c r="AO29" s="77"/>
      <c r="AP29" s="77"/>
      <c r="AQ29" s="77"/>
      <c r="AR29" s="77"/>
      <c r="AS29" s="77"/>
      <c r="AT29" s="77"/>
      <c r="AU29" s="77"/>
      <c r="AV29" s="77"/>
      <c r="AW29" s="77"/>
      <c r="AX29" s="89"/>
      <c r="AY29" s="77"/>
      <c r="AZ29" s="78"/>
    </row>
    <row r="30" spans="1:52" ht="63" customHeight="1" x14ac:dyDescent="0.35">
      <c r="A30" s="64"/>
      <c r="B30" s="64"/>
      <c r="C30" s="64"/>
      <c r="D30" s="90"/>
      <c r="E30" s="79" t="s">
        <v>115</v>
      </c>
      <c r="F30" s="118" t="s">
        <v>116</v>
      </c>
      <c r="G30" s="64"/>
      <c r="H30" s="111">
        <f t="shared" si="15"/>
        <v>20</v>
      </c>
      <c r="I30" s="64">
        <v>108</v>
      </c>
      <c r="J30" s="64"/>
      <c r="K30" s="64"/>
      <c r="L30" s="73"/>
      <c r="M30" s="74"/>
      <c r="N30" s="73"/>
      <c r="O30" s="74"/>
      <c r="P30" s="73"/>
      <c r="Q30" s="73"/>
      <c r="R30" s="73"/>
      <c r="S30" s="73"/>
      <c r="T30" s="81"/>
      <c r="U30" s="73"/>
      <c r="V30" s="81"/>
      <c r="W30" s="81"/>
      <c r="X30" s="64"/>
      <c r="Y30" s="64"/>
      <c r="Z30" s="64"/>
      <c r="AA30" s="64"/>
      <c r="AB30" s="64"/>
      <c r="AC30" s="64"/>
      <c r="AD30" s="64"/>
      <c r="AE30" s="64"/>
      <c r="AF30" s="64"/>
      <c r="AG30" s="64"/>
      <c r="AH30" s="64"/>
      <c r="AI30" s="64"/>
      <c r="AJ30" s="64"/>
      <c r="AK30" s="64"/>
      <c r="AL30" s="77"/>
      <c r="AM30" s="75">
        <f t="shared" si="1"/>
        <v>0.18518518518518517</v>
      </c>
      <c r="AN30" s="77"/>
      <c r="AO30" s="77"/>
      <c r="AP30" s="77"/>
      <c r="AQ30" s="77"/>
      <c r="AR30" s="77"/>
      <c r="AS30" s="77"/>
      <c r="AT30" s="77"/>
      <c r="AU30" s="77"/>
      <c r="AV30" s="77"/>
      <c r="AW30" s="77"/>
      <c r="AX30" s="89"/>
      <c r="AY30" s="77"/>
      <c r="AZ30" s="78"/>
    </row>
  </sheetData>
  <mergeCells count="10">
    <mergeCell ref="A17:A18"/>
    <mergeCell ref="B17:B18"/>
    <mergeCell ref="C17:C18"/>
    <mergeCell ref="D2:D3"/>
    <mergeCell ref="D20:D22"/>
    <mergeCell ref="D17:D18"/>
    <mergeCell ref="D14:D15"/>
    <mergeCell ref="D7:D10"/>
    <mergeCell ref="D5:D6"/>
    <mergeCell ref="D11:D13"/>
  </mergeCells>
  <pageMargins left="0.7" right="0.7" top="0.75" bottom="0.75" header="0.3" footer="0.3"/>
  <pageSetup orientation="portrait" r:id="rId1"/>
  <ignoredErrors>
    <ignoredError sqref="AU19 AW3"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B9" sqref="B9"/>
    </sheetView>
  </sheetViews>
  <sheetFormatPr defaultRowHeight="14.5" x14ac:dyDescent="0.35"/>
  <sheetData>
    <row r="1" spans="1:3" x14ac:dyDescent="0.35">
      <c r="A1" t="s">
        <v>36</v>
      </c>
      <c r="B1" t="s">
        <v>40</v>
      </c>
      <c r="C1" t="s">
        <v>41</v>
      </c>
    </row>
    <row r="2" spans="1:3" x14ac:dyDescent="0.35">
      <c r="A2" s="120">
        <v>0.18333333333333332</v>
      </c>
      <c r="B2" s="120">
        <v>0.32835820895522388</v>
      </c>
      <c r="C2" s="120">
        <v>0.6470588235294118</v>
      </c>
    </row>
    <row r="3" spans="1:3" x14ac:dyDescent="0.35">
      <c r="A3" s="120">
        <v>0.19047619047619047</v>
      </c>
      <c r="B3" s="120">
        <v>0.30769230769230771</v>
      </c>
      <c r="C3" s="120">
        <v>1.3333333333333333</v>
      </c>
    </row>
    <row r="4" spans="1:3" x14ac:dyDescent="0.35">
      <c r="A4" s="120">
        <v>0.2</v>
      </c>
      <c r="B4" s="120">
        <v>0.32142857142857145</v>
      </c>
      <c r="C4" s="120">
        <v>1</v>
      </c>
    </row>
    <row r="5" spans="1:3" x14ac:dyDescent="0.35">
      <c r="A5" s="120">
        <v>0.17948717948717949</v>
      </c>
      <c r="B5" s="120">
        <v>0.31818181818181818</v>
      </c>
      <c r="C5" s="120">
        <v>0.63636363636363635</v>
      </c>
    </row>
    <row r="6" spans="1:3" x14ac:dyDescent="0.35">
      <c r="A6" s="120">
        <v>0.18367346938775511</v>
      </c>
      <c r="B6" s="120">
        <v>0.32142857142857145</v>
      </c>
      <c r="C6" s="120">
        <v>0.69230769230769229</v>
      </c>
    </row>
    <row r="7" spans="1:3" x14ac:dyDescent="0.35">
      <c r="A7" s="120">
        <v>0.1875</v>
      </c>
      <c r="B7" s="120">
        <v>0.32432432432432434</v>
      </c>
      <c r="C7" s="120">
        <v>0.8571428571428571</v>
      </c>
    </row>
    <row r="8" spans="1:3" x14ac:dyDescent="0.35">
      <c r="A8" s="120">
        <v>0.18235294117647058</v>
      </c>
      <c r="B8" s="120">
        <v>0.30693069306930693</v>
      </c>
      <c r="C8" s="120">
        <v>0.73809523809523814</v>
      </c>
    </row>
    <row r="9" spans="1:3" x14ac:dyDescent="0.35">
      <c r="A9" s="120">
        <v>0.17948717948717949</v>
      </c>
      <c r="B9" s="120">
        <v>0.32558139534883723</v>
      </c>
      <c r="C9" s="120">
        <v>0.60869565217391308</v>
      </c>
    </row>
    <row r="10" spans="1:3" x14ac:dyDescent="0.35">
      <c r="A10" s="120">
        <v>0.17910447761194029</v>
      </c>
      <c r="B10" s="120">
        <v>0.30769230769230771</v>
      </c>
      <c r="C10" s="120">
        <v>0.70588235294117652</v>
      </c>
    </row>
    <row r="11" spans="1:3" x14ac:dyDescent="0.35">
      <c r="A11" s="120">
        <v>0.18681318681318682</v>
      </c>
      <c r="B11" s="120">
        <v>0.30909090909090908</v>
      </c>
      <c r="C11" s="120">
        <v>0.65384615384615385</v>
      </c>
    </row>
    <row r="12" spans="1:3" x14ac:dyDescent="0.35">
      <c r="A12" s="120">
        <v>0.18404907975460122</v>
      </c>
      <c r="B12" s="120">
        <v>0.30612244897959184</v>
      </c>
      <c r="C12" s="120">
        <v>0.78947368421052633</v>
      </c>
    </row>
    <row r="13" spans="1:3" x14ac:dyDescent="0.35">
      <c r="A13" s="120">
        <v>0.18220338983050846</v>
      </c>
      <c r="B13" s="120">
        <v>0.32089552238805968</v>
      </c>
      <c r="C13" s="120">
        <v>0.59722222222222221</v>
      </c>
    </row>
    <row r="14" spans="1:3" x14ac:dyDescent="0.35">
      <c r="A14" s="120">
        <v>0.17905405405405406</v>
      </c>
      <c r="B14" s="120">
        <v>0.31176470588235294</v>
      </c>
      <c r="C14" s="120">
        <v>0.63855421686746983</v>
      </c>
    </row>
    <row r="15" spans="1:3" x14ac:dyDescent="0.35">
      <c r="A15" s="120">
        <v>0.18840579710144928</v>
      </c>
      <c r="B15" s="120">
        <v>0.30232558139534882</v>
      </c>
      <c r="C15" s="120">
        <v>0.9285714285714286</v>
      </c>
    </row>
    <row r="16" spans="1:3" x14ac:dyDescent="0.35">
      <c r="A16" s="120">
        <v>0.18095238095238095</v>
      </c>
      <c r="B16" s="120">
        <v>0.30158730158730157</v>
      </c>
      <c r="C16" s="120">
        <v>0.6785714285714286</v>
      </c>
    </row>
    <row r="17" spans="1:3" x14ac:dyDescent="0.35">
      <c r="A17" s="120">
        <v>0.2</v>
      </c>
      <c r="B17" s="120">
        <v>0.33333333333333331</v>
      </c>
      <c r="C17" s="120">
        <v>1</v>
      </c>
    </row>
    <row r="18" spans="1:3" x14ac:dyDescent="0.35">
      <c r="A18" s="120">
        <v>0.18</v>
      </c>
      <c r="B18" s="120">
        <v>0.32846715328467152</v>
      </c>
      <c r="C18" s="120">
        <v>0.569620253164557</v>
      </c>
    </row>
    <row r="19" spans="1:3" x14ac:dyDescent="0.35">
      <c r="A19" s="120">
        <v>0.17886178861788618</v>
      </c>
      <c r="B19" s="120">
        <v>0.3188405797101449</v>
      </c>
      <c r="C19" s="120">
        <v>0.55000000000000004</v>
      </c>
    </row>
    <row r="20" spans="1:3" x14ac:dyDescent="0.35">
      <c r="A20" s="120">
        <v>0.1796875</v>
      </c>
      <c r="B20" s="120">
        <v>0.32857142857142857</v>
      </c>
      <c r="C20" s="120">
        <v>0.63013698630136983</v>
      </c>
    </row>
    <row r="21" spans="1:3" x14ac:dyDescent="0.35">
      <c r="A21" s="120">
        <v>0.18072289156626506</v>
      </c>
      <c r="B21" s="120">
        <v>0.32142857142857145</v>
      </c>
      <c r="C21" s="120">
        <v>0.6428571428571429</v>
      </c>
    </row>
    <row r="22" spans="1:3" x14ac:dyDescent="0.35">
      <c r="A22" s="120">
        <v>0.19230769230769232</v>
      </c>
      <c r="B22" s="120">
        <v>0.29411764705882354</v>
      </c>
      <c r="C22" s="120">
        <v>1</v>
      </c>
    </row>
    <row r="23" spans="1:3" x14ac:dyDescent="0.35">
      <c r="A23" s="120">
        <v>0.18518518518518517</v>
      </c>
      <c r="B23" s="120">
        <v>0.30303030303030304</v>
      </c>
      <c r="C23" s="120">
        <v>0.58823529411764708</v>
      </c>
    </row>
    <row r="24" spans="1:3" x14ac:dyDescent="0.35">
      <c r="A24" s="120">
        <v>0.18032786885245902</v>
      </c>
      <c r="B24" s="120">
        <v>0.29729729729729731</v>
      </c>
      <c r="C24" s="120">
        <v>0.57894736842105265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G2" sqref="G2:I2"/>
    </sheetView>
  </sheetViews>
  <sheetFormatPr defaultRowHeight="14.5" x14ac:dyDescent="0.35"/>
  <sheetData>
    <row r="1" spans="1:9" x14ac:dyDescent="0.35">
      <c r="A1" s="120" t="s">
        <v>36</v>
      </c>
      <c r="B1" s="120" t="s">
        <v>40</v>
      </c>
      <c r="C1" s="120" t="s">
        <v>41</v>
      </c>
      <c r="G1" t="s">
        <v>36</v>
      </c>
      <c r="H1" t="s">
        <v>40</v>
      </c>
      <c r="I1" t="s">
        <v>41</v>
      </c>
    </row>
    <row r="2" spans="1:9" x14ac:dyDescent="0.35">
      <c r="A2" s="120">
        <v>0.18333333333333332</v>
      </c>
      <c r="B2" s="120">
        <v>0.33333333333333331</v>
      </c>
      <c r="C2" s="120">
        <v>0.62857142857142856</v>
      </c>
      <c r="G2" s="120">
        <v>0.18333333333333332</v>
      </c>
      <c r="H2" s="120">
        <v>0.33333333333333331</v>
      </c>
      <c r="I2" s="120">
        <v>0.62857142857142856</v>
      </c>
    </row>
    <row r="3" spans="1:9" x14ac:dyDescent="0.35">
      <c r="A3" s="120">
        <v>0.19047619047619047</v>
      </c>
      <c r="B3" s="120">
        <v>0.33333333333333331</v>
      </c>
      <c r="C3" s="120">
        <v>1</v>
      </c>
      <c r="G3" s="120">
        <v>0.19047619047619047</v>
      </c>
      <c r="H3" s="120">
        <v>0.33333333333333331</v>
      </c>
      <c r="I3" s="120">
        <v>1</v>
      </c>
    </row>
    <row r="4" spans="1:9" x14ac:dyDescent="0.35">
      <c r="A4" s="120">
        <v>0.2</v>
      </c>
      <c r="B4" s="120">
        <v>0.32142857142857145</v>
      </c>
      <c r="C4" s="120">
        <v>1</v>
      </c>
      <c r="G4" s="120">
        <v>0.2</v>
      </c>
      <c r="H4" s="120">
        <v>0.32142857142857145</v>
      </c>
      <c r="I4" s="120">
        <v>1</v>
      </c>
    </row>
    <row r="5" spans="1:9" x14ac:dyDescent="0.35">
      <c r="A5" s="120">
        <v>0.17948717948717949</v>
      </c>
      <c r="B5" s="120">
        <v>0.31818181818181818</v>
      </c>
      <c r="C5" s="120">
        <v>0.63636363636363635</v>
      </c>
      <c r="G5" s="120">
        <v>0.17948717948717949</v>
      </c>
      <c r="H5" s="120">
        <v>0.31818181818181818</v>
      </c>
      <c r="I5" s="120">
        <v>0.63636363636363635</v>
      </c>
    </row>
    <row r="6" spans="1:9" x14ac:dyDescent="0.35">
      <c r="A6" s="120">
        <v>0.18367346938775511</v>
      </c>
      <c r="B6" s="120">
        <v>0.33333333333333331</v>
      </c>
      <c r="C6" s="120">
        <v>0.6428571428571429</v>
      </c>
      <c r="G6" s="120">
        <v>0.18367346938775511</v>
      </c>
      <c r="H6" s="120">
        <v>0.33333333333333331</v>
      </c>
      <c r="I6" s="120">
        <v>0.6428571428571429</v>
      </c>
    </row>
    <row r="7" spans="1:9" x14ac:dyDescent="0.35">
      <c r="A7" s="120">
        <v>0.1875</v>
      </c>
      <c r="B7" s="120">
        <v>0.32432432432432434</v>
      </c>
      <c r="C7" s="120">
        <v>0.8571428571428571</v>
      </c>
      <c r="G7" s="120">
        <v>0.1875</v>
      </c>
      <c r="H7" s="120">
        <v>0.32432432432432434</v>
      </c>
      <c r="I7" s="120">
        <v>0.8571428571428571</v>
      </c>
    </row>
    <row r="8" spans="1:9" x14ac:dyDescent="0.35">
      <c r="A8" s="120">
        <v>0.18235294117647058</v>
      </c>
      <c r="B8" s="120">
        <v>0.30693069306930693</v>
      </c>
      <c r="C8" s="120">
        <v>0.73809523809523814</v>
      </c>
      <c r="G8" s="120">
        <v>0.18235294117647058</v>
      </c>
      <c r="H8" s="120">
        <v>0.30693069306930693</v>
      </c>
      <c r="I8" s="120">
        <v>0.73809523809523814</v>
      </c>
    </row>
    <row r="9" spans="1:9" x14ac:dyDescent="0.35">
      <c r="A9" s="120">
        <v>0.17948717948717949</v>
      </c>
      <c r="B9" s="120">
        <v>0.35</v>
      </c>
      <c r="C9" s="120">
        <v>0.53846153846153844</v>
      </c>
      <c r="G9" s="120">
        <v>0.17948717948717949</v>
      </c>
      <c r="H9" s="120">
        <v>0.32558139534883723</v>
      </c>
      <c r="I9" s="120">
        <v>0.60869565217391308</v>
      </c>
    </row>
    <row r="10" spans="1:9" x14ac:dyDescent="0.35">
      <c r="A10" s="120">
        <v>0.17910447761194029</v>
      </c>
      <c r="B10" s="120">
        <v>0.34285714285714286</v>
      </c>
      <c r="C10" s="120">
        <v>0.5714285714285714</v>
      </c>
      <c r="G10" s="120">
        <v>0.17910447761194029</v>
      </c>
      <c r="H10" s="120">
        <v>0.30769230769230771</v>
      </c>
      <c r="I10" s="120">
        <v>0.70588235294117652</v>
      </c>
    </row>
    <row r="11" spans="1:9" x14ac:dyDescent="0.35">
      <c r="A11" s="120">
        <v>0.18681318681318682</v>
      </c>
      <c r="B11" s="120">
        <v>0.30909090909090908</v>
      </c>
      <c r="C11" s="120">
        <v>0.65384615384615385</v>
      </c>
      <c r="G11" s="120">
        <v>0.18681318681318682</v>
      </c>
      <c r="H11" s="120">
        <v>0.30909090909090908</v>
      </c>
      <c r="I11" s="120">
        <v>0.65384615384615385</v>
      </c>
    </row>
    <row r="12" spans="1:9" x14ac:dyDescent="0.35">
      <c r="A12" s="120">
        <v>0.18404907975460122</v>
      </c>
      <c r="B12" s="120">
        <v>0.30612244897959184</v>
      </c>
      <c r="C12" s="120">
        <v>0.78947368421052633</v>
      </c>
      <c r="G12" s="120">
        <v>0.18404907975460122</v>
      </c>
      <c r="H12" s="120">
        <v>0.30612244897959184</v>
      </c>
      <c r="I12" s="120">
        <v>0.78947368421052633</v>
      </c>
    </row>
    <row r="13" spans="1:9" x14ac:dyDescent="0.35">
      <c r="A13" s="120">
        <v>0.18220338983050846</v>
      </c>
      <c r="B13" s="120">
        <v>0.32089552238805968</v>
      </c>
      <c r="C13" s="120">
        <v>0.59722222222222221</v>
      </c>
      <c r="G13" s="120">
        <v>0.18220338983050846</v>
      </c>
      <c r="H13" s="120">
        <v>0.32089552238805968</v>
      </c>
      <c r="I13" s="120">
        <v>0.59722222222222221</v>
      </c>
    </row>
    <row r="14" spans="1:9" x14ac:dyDescent="0.35">
      <c r="A14" s="120">
        <v>0.17905405405405406</v>
      </c>
      <c r="B14" s="120">
        <v>0.31176470588235294</v>
      </c>
      <c r="C14" s="120">
        <v>0.63855421686746983</v>
      </c>
      <c r="G14" s="120">
        <v>0.17905405405405406</v>
      </c>
      <c r="H14" s="120">
        <v>0.31176470588235294</v>
      </c>
      <c r="I14" s="120">
        <v>0.63855421686746983</v>
      </c>
    </row>
    <row r="15" spans="1:9" x14ac:dyDescent="0.35">
      <c r="A15" s="120">
        <v>0.18840579710144928</v>
      </c>
      <c r="B15" s="120">
        <v>0.30232558139534882</v>
      </c>
      <c r="C15" s="120">
        <v>0.9285714285714286</v>
      </c>
      <c r="G15" s="120">
        <v>0.18840579710144928</v>
      </c>
      <c r="H15" s="120">
        <v>0.30232558139534882</v>
      </c>
      <c r="I15" s="120">
        <v>0.9285714285714286</v>
      </c>
    </row>
    <row r="16" spans="1:9" x14ac:dyDescent="0.35">
      <c r="A16" s="120">
        <v>0.18095238095238095</v>
      </c>
      <c r="B16" s="120">
        <v>0.30158730158730157</v>
      </c>
      <c r="C16" s="120">
        <v>0.6785714285714286</v>
      </c>
      <c r="G16" s="120">
        <v>0.18095238095238095</v>
      </c>
      <c r="H16" s="120">
        <v>0.30158730158730157</v>
      </c>
      <c r="I16" s="120">
        <v>0.6785714285714286</v>
      </c>
    </row>
    <row r="17" spans="1:9" x14ac:dyDescent="0.35">
      <c r="A17" s="120">
        <v>0.2</v>
      </c>
      <c r="B17" s="120">
        <v>0.33333333333333331</v>
      </c>
      <c r="C17" s="120">
        <v>1</v>
      </c>
      <c r="G17" s="120">
        <v>0.2</v>
      </c>
      <c r="H17" s="120">
        <v>0.33333333333333331</v>
      </c>
      <c r="I17" s="120">
        <v>1</v>
      </c>
    </row>
    <row r="18" spans="1:9" x14ac:dyDescent="0.35">
      <c r="A18" s="120">
        <v>0.18</v>
      </c>
      <c r="B18" s="120">
        <v>0.32846715328467152</v>
      </c>
      <c r="C18" s="120">
        <v>0.569620253164557</v>
      </c>
      <c r="G18" s="120">
        <v>0.18</v>
      </c>
      <c r="H18" s="120">
        <v>0.32846715328467152</v>
      </c>
      <c r="I18" s="120">
        <v>0.569620253164557</v>
      </c>
    </row>
    <row r="19" spans="1:9" x14ac:dyDescent="0.35">
      <c r="A19" s="120">
        <v>0.17886178861788618</v>
      </c>
      <c r="B19" s="120">
        <v>0.3188405797101449</v>
      </c>
      <c r="C19" s="120">
        <v>0.55000000000000004</v>
      </c>
      <c r="G19" s="120">
        <v>0.17886178861788618</v>
      </c>
      <c r="H19" s="120">
        <v>0.3188405797101449</v>
      </c>
      <c r="I19" s="120">
        <v>0.55000000000000004</v>
      </c>
    </row>
    <row r="20" spans="1:9" x14ac:dyDescent="0.35">
      <c r="A20" s="120">
        <v>0.1796875</v>
      </c>
      <c r="B20" s="120">
        <v>0.32857142857142857</v>
      </c>
      <c r="C20" s="120">
        <v>0.63013698630136983</v>
      </c>
      <c r="G20" s="120">
        <v>0.1796875</v>
      </c>
      <c r="H20" s="120">
        <v>0.32857142857142857</v>
      </c>
      <c r="I20" s="120">
        <v>0.63013698630136983</v>
      </c>
    </row>
    <row r="21" spans="1:9" x14ac:dyDescent="0.35">
      <c r="A21" s="120">
        <v>0.18072289156626506</v>
      </c>
      <c r="B21" s="120">
        <v>0.32142857142857145</v>
      </c>
      <c r="C21" s="120">
        <v>0.6428571428571429</v>
      </c>
      <c r="G21" s="120">
        <v>0.18072289156626506</v>
      </c>
      <c r="H21" s="120">
        <v>0.32142857142857145</v>
      </c>
      <c r="I21" s="120">
        <v>0.6428571428571429</v>
      </c>
    </row>
    <row r="22" spans="1:9" x14ac:dyDescent="0.35">
      <c r="A22" s="120">
        <v>0.19230769230769232</v>
      </c>
      <c r="B22" s="120">
        <v>0.29411764705882354</v>
      </c>
      <c r="C22" s="120">
        <v>1</v>
      </c>
      <c r="G22" s="120">
        <v>0.19230769230769232</v>
      </c>
      <c r="H22" s="120">
        <v>0.29411764705882354</v>
      </c>
      <c r="I22" s="120">
        <v>1</v>
      </c>
    </row>
    <row r="23" spans="1:9" x14ac:dyDescent="0.35">
      <c r="A23" s="120">
        <v>0.18518518518518517</v>
      </c>
      <c r="B23" s="120">
        <v>0.30303030303030304</v>
      </c>
      <c r="C23" s="120">
        <v>0.58823529411764708</v>
      </c>
      <c r="G23" s="120">
        <v>0.18518518518518517</v>
      </c>
      <c r="H23" s="120">
        <v>0.30303030303030304</v>
      </c>
      <c r="I23" s="120">
        <v>0.58823529411764708</v>
      </c>
    </row>
    <row r="24" spans="1:9" x14ac:dyDescent="0.35">
      <c r="A24" s="120">
        <v>0.18032786885245902</v>
      </c>
      <c r="B24" s="120">
        <v>0.26829268292682928</v>
      </c>
      <c r="C24" s="120">
        <v>0.73333333333333328</v>
      </c>
      <c r="G24" s="120">
        <v>0.18032786885245902</v>
      </c>
      <c r="H24" s="120">
        <v>0.26829268292682928</v>
      </c>
      <c r="I24" s="120">
        <v>0.73333333333333328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C1" sqref="C1:C1048576"/>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7" sqref="A27"/>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E10" sqref="E10"/>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zoomScale="90" zoomScaleNormal="90" workbookViewId="0">
      <selection activeCell="A4" sqref="A4"/>
    </sheetView>
  </sheetViews>
  <sheetFormatPr defaultColWidth="8.7265625" defaultRowHeight="14.5" x14ac:dyDescent="0.35"/>
  <cols>
    <col min="1" max="16384" width="8.7265625" style="45"/>
  </cols>
  <sheetData>
    <row r="1" spans="1:7" ht="15.5" x14ac:dyDescent="0.35">
      <c r="A1" s="62" t="s">
        <v>42</v>
      </c>
      <c r="B1" s="62" t="s">
        <v>45</v>
      </c>
      <c r="C1" s="62" t="s">
        <v>46</v>
      </c>
      <c r="E1" s="46"/>
      <c r="F1" s="47"/>
      <c r="G1" s="47"/>
    </row>
    <row r="2" spans="1:7" x14ac:dyDescent="0.35">
      <c r="A2" s="63">
        <v>1.1818181818181819</v>
      </c>
      <c r="B2" s="63">
        <v>0.45454545454545453</v>
      </c>
      <c r="C2" s="63">
        <v>0.21212121212121213</v>
      </c>
    </row>
    <row r="3" spans="1:7" x14ac:dyDescent="0.35">
      <c r="A3" s="63">
        <v>0.9375</v>
      </c>
      <c r="B3" s="63">
        <v>0.3125</v>
      </c>
      <c r="C3" s="63">
        <v>0.1875</v>
      </c>
    </row>
    <row r="4" spans="1:7" x14ac:dyDescent="0.35">
      <c r="A4" s="63">
        <v>0.78048780487804881</v>
      </c>
      <c r="B4" s="63">
        <v>0.34146341463414637</v>
      </c>
      <c r="C4" s="63">
        <v>0.17073170731707318</v>
      </c>
    </row>
    <row r="5" spans="1:7" x14ac:dyDescent="0.35">
      <c r="A5" s="63">
        <v>0.5625</v>
      </c>
      <c r="B5" s="63">
        <v>0.25</v>
      </c>
      <c r="C5" s="63">
        <v>0.15625</v>
      </c>
    </row>
    <row r="6" spans="1:7" x14ac:dyDescent="0.35">
      <c r="A6" s="63">
        <v>0.5</v>
      </c>
      <c r="B6" s="63">
        <v>0.1875</v>
      </c>
      <c r="C6" s="63">
        <v>0.1875</v>
      </c>
    </row>
    <row r="7" spans="1:7" x14ac:dyDescent="0.35">
      <c r="A7" s="63">
        <v>0.76190476190476186</v>
      </c>
      <c r="B7" s="63">
        <v>0.2857142857142857</v>
      </c>
      <c r="C7" s="63">
        <v>0.16666666666666666</v>
      </c>
    </row>
    <row r="8" spans="1:7" x14ac:dyDescent="0.35">
      <c r="A8" s="63">
        <v>0.6</v>
      </c>
      <c r="B8" s="63">
        <v>0.2</v>
      </c>
      <c r="C8" s="63">
        <v>0.1</v>
      </c>
    </row>
    <row r="9" spans="1:7" x14ac:dyDescent="0.35">
      <c r="A9" s="63">
        <v>0.8</v>
      </c>
      <c r="B9" s="63">
        <v>0.3</v>
      </c>
      <c r="C9" s="63">
        <v>0.2</v>
      </c>
    </row>
    <row r="10" spans="1:7" x14ac:dyDescent="0.35">
      <c r="A10" s="63">
        <v>0.43478260869565216</v>
      </c>
      <c r="B10" s="63">
        <v>0.14130434782608695</v>
      </c>
      <c r="C10" s="63">
        <v>0.11956521739130435</v>
      </c>
    </row>
    <row r="11" spans="1:7" x14ac:dyDescent="0.35">
      <c r="A11" s="63">
        <v>0.36585365853658536</v>
      </c>
      <c r="B11" s="63">
        <v>0.14634146341463414</v>
      </c>
      <c r="C11" s="63">
        <v>9.7560975609756101E-2</v>
      </c>
    </row>
    <row r="12" spans="1:7" x14ac:dyDescent="0.35">
      <c r="A12" s="63">
        <v>0.8</v>
      </c>
      <c r="B12" s="63">
        <v>0.3</v>
      </c>
      <c r="C12" s="63">
        <v>0.16666666666666666</v>
      </c>
    </row>
    <row r="13" spans="1:7" x14ac:dyDescent="0.35">
      <c r="A13" s="63">
        <v>0.47368421052631576</v>
      </c>
      <c r="B13" s="63">
        <v>0.21052631578947367</v>
      </c>
      <c r="C13" s="63">
        <v>0.10526315789473684</v>
      </c>
    </row>
    <row r="14" spans="1:7" x14ac:dyDescent="0.35">
      <c r="A14" s="63">
        <v>0.8</v>
      </c>
      <c r="B14" s="63">
        <v>0.4</v>
      </c>
      <c r="C14" s="63">
        <v>0.1</v>
      </c>
    </row>
    <row r="15" spans="1:7" x14ac:dyDescent="0.35">
      <c r="A15" s="63">
        <v>0.83333333333333337</v>
      </c>
      <c r="B15" s="63">
        <v>0.5</v>
      </c>
      <c r="C15" s="63">
        <v>0.33333333333333331</v>
      </c>
    </row>
    <row r="16" spans="1:7" x14ac:dyDescent="0.35">
      <c r="A16" s="63">
        <v>1</v>
      </c>
      <c r="B16" s="63">
        <v>0.2</v>
      </c>
      <c r="C16" s="63">
        <v>0.2</v>
      </c>
    </row>
    <row r="17" spans="1:3" x14ac:dyDescent="0.35">
      <c r="A17" s="63">
        <v>1.6</v>
      </c>
      <c r="B17" s="63">
        <v>0.4</v>
      </c>
      <c r="C17" s="63">
        <v>0.2</v>
      </c>
    </row>
    <row r="18" spans="1:3" x14ac:dyDescent="0.35">
      <c r="A18" s="63">
        <v>1.4</v>
      </c>
      <c r="B18" s="63">
        <v>0.4</v>
      </c>
      <c r="C18" s="63">
        <v>0.4</v>
      </c>
    </row>
    <row r="19" spans="1:3" x14ac:dyDescent="0.35">
      <c r="A19" s="63">
        <v>0.6071428571428571</v>
      </c>
      <c r="B19" s="63">
        <v>0.25</v>
      </c>
      <c r="C19" s="63">
        <v>0.16071428571428573</v>
      </c>
    </row>
    <row r="20" spans="1:3" x14ac:dyDescent="0.35">
      <c r="A20" s="63">
        <v>1.04</v>
      </c>
      <c r="B20" s="63">
        <v>0.36</v>
      </c>
      <c r="C20" s="63">
        <v>0.16</v>
      </c>
    </row>
    <row r="21" spans="1:3" x14ac:dyDescent="0.35">
      <c r="A21" s="61">
        <v>0.75</v>
      </c>
      <c r="B21" s="61">
        <v>0.25</v>
      </c>
      <c r="C21" s="61">
        <v>0.16666666666666666</v>
      </c>
    </row>
    <row r="22" spans="1:3" x14ac:dyDescent="0.35">
      <c r="A22" s="48">
        <v>0.81481481481481477</v>
      </c>
      <c r="B22" s="48">
        <v>0.37037037037037035</v>
      </c>
      <c r="C22" s="48">
        <v>0.14814814814814814</v>
      </c>
    </row>
    <row r="23" spans="1:3" x14ac:dyDescent="0.35">
      <c r="A23" s="48">
        <v>0.66666666666666663</v>
      </c>
      <c r="B23" s="48">
        <v>0.25</v>
      </c>
      <c r="C23" s="48">
        <v>0.16666666666666666</v>
      </c>
    </row>
    <row r="24" spans="1:3" x14ac:dyDescent="0.35">
      <c r="A24" s="48">
        <v>0.66666666666666663</v>
      </c>
      <c r="B24" s="48">
        <v>0.16666666666666666</v>
      </c>
      <c r="C24" s="48">
        <v>0.16666666666666666</v>
      </c>
    </row>
    <row r="25" spans="1:3" x14ac:dyDescent="0.35">
      <c r="A25" s="48">
        <v>0.81818181818181823</v>
      </c>
      <c r="B25" s="48">
        <v>0.36363636363636365</v>
      </c>
      <c r="C25" s="48">
        <v>0.18181818181818182</v>
      </c>
    </row>
    <row r="26" spans="1:3" x14ac:dyDescent="0.35">
      <c r="A26" s="48">
        <v>0.92307692307692313</v>
      </c>
      <c r="B26" s="48">
        <v>0.38461538461538464</v>
      </c>
      <c r="C26" s="48">
        <v>0.23076923076923078</v>
      </c>
    </row>
    <row r="27" spans="1:3" x14ac:dyDescent="0.35">
      <c r="A27" s="48">
        <v>0.90909090909090906</v>
      </c>
      <c r="B27" s="48">
        <v>0.45454545454545453</v>
      </c>
      <c r="C27" s="48">
        <v>0.18181818181818182</v>
      </c>
    </row>
    <row r="28" spans="1:3" x14ac:dyDescent="0.35">
      <c r="A28" s="48">
        <v>0.8571428571428571</v>
      </c>
      <c r="B28" s="48">
        <v>0.2857142857142857</v>
      </c>
      <c r="C28" s="48">
        <v>0.2857142857142857</v>
      </c>
    </row>
    <row r="29" spans="1:3" x14ac:dyDescent="0.35">
      <c r="A29" s="48">
        <v>0.8</v>
      </c>
      <c r="B29" s="48">
        <v>0.3</v>
      </c>
      <c r="C29" s="48">
        <v>0.1</v>
      </c>
    </row>
    <row r="30" spans="1:3" x14ac:dyDescent="0.35">
      <c r="A30" s="48">
        <v>0.91428571428571426</v>
      </c>
      <c r="B30" s="48">
        <v>0.4</v>
      </c>
      <c r="C30" s="48">
        <v>0.2</v>
      </c>
    </row>
    <row r="31" spans="1:3" x14ac:dyDescent="0.35">
      <c r="A31" s="48">
        <v>1</v>
      </c>
      <c r="B31" s="48">
        <v>0.25</v>
      </c>
      <c r="C31" s="48">
        <v>0.25</v>
      </c>
    </row>
    <row r="32" spans="1:3" x14ac:dyDescent="0.35">
      <c r="A32" s="48">
        <v>0.625</v>
      </c>
      <c r="B32" s="48">
        <v>0.25</v>
      </c>
      <c r="C32" s="48">
        <v>0.125</v>
      </c>
    </row>
    <row r="33" spans="1:23" x14ac:dyDescent="0.35">
      <c r="A33" s="48">
        <v>0.8</v>
      </c>
      <c r="B33" s="48">
        <v>0.3</v>
      </c>
      <c r="C33" s="48">
        <v>0.2</v>
      </c>
    </row>
    <row r="34" spans="1:23" x14ac:dyDescent="0.35">
      <c r="A34" s="48">
        <v>0.91666666666666663</v>
      </c>
      <c r="B34" s="48">
        <v>0.45833333333333331</v>
      </c>
      <c r="C34" s="48">
        <v>0.16666666666666666</v>
      </c>
    </row>
    <row r="35" spans="1:23" x14ac:dyDescent="0.35">
      <c r="A35" s="48">
        <v>0.5625</v>
      </c>
      <c r="B35" s="48">
        <v>0.25</v>
      </c>
      <c r="C35" s="48">
        <v>0.125</v>
      </c>
    </row>
    <row r="36" spans="1:23" x14ac:dyDescent="0.35">
      <c r="A36" s="48">
        <v>0.81818181818181823</v>
      </c>
      <c r="B36" s="48">
        <v>0.27272727272727271</v>
      </c>
      <c r="C36" s="48">
        <v>0.27272727272727271</v>
      </c>
    </row>
    <row r="37" spans="1:23" x14ac:dyDescent="0.35">
      <c r="A37" s="48">
        <v>0.77777777777777779</v>
      </c>
      <c r="B37" s="48">
        <v>0.33333333333333331</v>
      </c>
      <c r="C37" s="48">
        <v>0.22222222222222221</v>
      </c>
    </row>
    <row r="42" spans="1:23" x14ac:dyDescent="0.35">
      <c r="N42" s="45" t="s">
        <v>77</v>
      </c>
    </row>
    <row r="43" spans="1:23" x14ac:dyDescent="0.35">
      <c r="N43" s="45" t="s">
        <v>42</v>
      </c>
      <c r="O43" s="45" t="s">
        <v>78</v>
      </c>
      <c r="P43" s="49" t="s">
        <v>83</v>
      </c>
    </row>
    <row r="46" spans="1:23" x14ac:dyDescent="0.35">
      <c r="O46" s="50" t="s">
        <v>58</v>
      </c>
      <c r="P46" s="50" t="s">
        <v>80</v>
      </c>
      <c r="Q46" s="51" t="s">
        <v>45</v>
      </c>
      <c r="R46" s="51" t="s">
        <v>46</v>
      </c>
      <c r="T46" s="45" t="s">
        <v>58</v>
      </c>
      <c r="U46" s="45" t="s">
        <v>80</v>
      </c>
      <c r="V46" s="45" t="s">
        <v>45</v>
      </c>
      <c r="W46" s="45" t="s">
        <v>46</v>
      </c>
    </row>
    <row r="47" spans="1:23" x14ac:dyDescent="0.35">
      <c r="O47" s="52" t="s">
        <v>60</v>
      </c>
      <c r="P47" s="53">
        <v>0.80800000000000005</v>
      </c>
      <c r="Q47" s="54">
        <v>0.30499999999999999</v>
      </c>
      <c r="R47" s="54">
        <v>0.1837</v>
      </c>
      <c r="T47" s="45" t="s">
        <v>60</v>
      </c>
      <c r="U47" s="45">
        <v>0.81499999999999995</v>
      </c>
      <c r="V47" s="45">
        <v>0.29680000000000001</v>
      </c>
      <c r="W47" s="45">
        <v>0.17169999999999999</v>
      </c>
    </row>
    <row r="48" spans="1:23" x14ac:dyDescent="0.35">
      <c r="O48" s="52" t="s">
        <v>61</v>
      </c>
      <c r="P48" s="55">
        <f>(P49-P50)/6</f>
        <v>0.18883333333333333</v>
      </c>
      <c r="Q48" s="55">
        <f t="shared" ref="Q48" si="0">(Q49-Q50)/6</f>
        <v>9.4233333333333336E-2</v>
      </c>
      <c r="R48" s="55">
        <f>(R49-R50)/6</f>
        <v>6.051666666666667E-2</v>
      </c>
      <c r="T48" s="45" t="s">
        <v>61</v>
      </c>
      <c r="U48" s="45">
        <v>0.24883333333333332</v>
      </c>
      <c r="V48" s="45">
        <v>0.10171666666666666</v>
      </c>
      <c r="W48" s="45">
        <v>5.2800000000000007E-2</v>
      </c>
    </row>
    <row r="49" spans="15:23" x14ac:dyDescent="0.35">
      <c r="O49" s="52" t="s">
        <v>62</v>
      </c>
      <c r="P49" s="56">
        <v>1.375</v>
      </c>
      <c r="Q49" s="57">
        <v>0.5877</v>
      </c>
      <c r="R49" s="57">
        <v>0.36530000000000001</v>
      </c>
      <c r="T49" s="45" t="s">
        <v>62</v>
      </c>
      <c r="U49" s="45">
        <v>1.5609999999999999</v>
      </c>
      <c r="V49" s="45">
        <v>0.60199999999999998</v>
      </c>
      <c r="W49" s="45">
        <v>0.3301</v>
      </c>
    </row>
    <row r="50" spans="15:23" x14ac:dyDescent="0.35">
      <c r="O50" s="52" t="s">
        <v>63</v>
      </c>
      <c r="P50" s="56">
        <v>0.24199999999999999</v>
      </c>
      <c r="Q50" s="57">
        <v>2.23E-2</v>
      </c>
      <c r="R50" s="57">
        <v>2.2000000000000001E-3</v>
      </c>
      <c r="T50" s="45" t="s">
        <v>63</v>
      </c>
      <c r="U50" s="45">
        <v>6.8000000000000005E-2</v>
      </c>
      <c r="V50" s="45">
        <v>-8.3000000000000001E-3</v>
      </c>
      <c r="W50" s="45">
        <v>1.3299999999999999E-2</v>
      </c>
    </row>
    <row r="51" spans="15:23" x14ac:dyDescent="0.35">
      <c r="O51" s="58"/>
      <c r="P51" s="58"/>
      <c r="Q51" s="58"/>
      <c r="R51" s="58"/>
    </row>
    <row r="52" spans="15:23" x14ac:dyDescent="0.35">
      <c r="O52" s="58"/>
      <c r="P52" s="58"/>
      <c r="Q52" s="58"/>
      <c r="R52" s="58"/>
    </row>
    <row r="53" spans="15:23" x14ac:dyDescent="0.35">
      <c r="O53" s="58"/>
      <c r="P53" s="58"/>
      <c r="Q53" s="58"/>
      <c r="R53" s="58"/>
    </row>
    <row r="54" spans="15:23" x14ac:dyDescent="0.35">
      <c r="O54" s="50" t="s">
        <v>64</v>
      </c>
      <c r="P54" s="50" t="s">
        <v>80</v>
      </c>
      <c r="Q54" s="58"/>
      <c r="R54" s="58"/>
    </row>
    <row r="55" spans="15:23" x14ac:dyDescent="0.35">
      <c r="O55" s="52" t="s">
        <v>60</v>
      </c>
      <c r="P55" s="59">
        <f>P47-R55</f>
        <v>0.72720000000000007</v>
      </c>
      <c r="Q55" s="58"/>
      <c r="R55" s="58">
        <f>P47*10%</f>
        <v>8.0800000000000011E-2</v>
      </c>
    </row>
    <row r="56" spans="15:23" x14ac:dyDescent="0.35">
      <c r="O56" s="52" t="s">
        <v>61</v>
      </c>
      <c r="P56" s="52">
        <v>0.25</v>
      </c>
      <c r="Q56" s="58"/>
      <c r="R56" s="58"/>
    </row>
    <row r="57" spans="15:23" x14ac:dyDescent="0.35">
      <c r="O57" s="58"/>
      <c r="P57" s="58"/>
      <c r="Q57" s="58"/>
      <c r="R57" s="58"/>
    </row>
    <row r="58" spans="15:23" x14ac:dyDescent="0.35">
      <c r="O58" s="58"/>
      <c r="P58" s="58"/>
      <c r="Q58" s="58"/>
      <c r="R58" s="58"/>
    </row>
    <row r="59" spans="15:23" x14ac:dyDescent="0.35">
      <c r="O59" s="50" t="s">
        <v>65</v>
      </c>
      <c r="P59" s="50" t="s">
        <v>80</v>
      </c>
      <c r="Q59" s="51" t="s">
        <v>45</v>
      </c>
      <c r="R59" s="51" t="s">
        <v>46</v>
      </c>
    </row>
    <row r="60" spans="15:23" x14ac:dyDescent="0.35">
      <c r="O60" s="52" t="s">
        <v>60</v>
      </c>
      <c r="P60" s="60">
        <f>0.15 + 1.327*Q60+ 1.378*R60</f>
        <v>0.72928000000000004</v>
      </c>
      <c r="Q60" s="60">
        <v>0.26</v>
      </c>
      <c r="R60" s="60">
        <v>0.17</v>
      </c>
    </row>
    <row r="61" spans="15:23" x14ac:dyDescent="0.35">
      <c r="O61" s="52" t="s">
        <v>61</v>
      </c>
      <c r="P61" s="52">
        <v>0.25</v>
      </c>
      <c r="Q61" s="52">
        <v>0.1</v>
      </c>
      <c r="R61" s="52">
        <v>0.5</v>
      </c>
    </row>
    <row r="62" spans="15:23" x14ac:dyDescent="0.35">
      <c r="O62" s="52" t="s">
        <v>66</v>
      </c>
      <c r="P62" s="52">
        <f>P60+(3*P61)</f>
        <v>1.4792800000000002</v>
      </c>
      <c r="Q62" s="52">
        <f t="shared" ref="Q62:R62" si="1">Q60+(3*Q61)</f>
        <v>0.56000000000000005</v>
      </c>
      <c r="R62" s="52">
        <f t="shared" si="1"/>
        <v>1.67</v>
      </c>
    </row>
    <row r="63" spans="15:23" x14ac:dyDescent="0.35">
      <c r="O63" s="52" t="s">
        <v>67</v>
      </c>
      <c r="P63" s="52">
        <f>P60-(3*P61)</f>
        <v>-2.0719999999999961E-2</v>
      </c>
      <c r="Q63" s="52">
        <f t="shared" ref="Q63:R63" si="2">Q60-(3*Q61)</f>
        <v>-4.0000000000000036E-2</v>
      </c>
      <c r="R63" s="52">
        <f t="shared" si="2"/>
        <v>-1.33</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topLeftCell="A45" zoomScale="85" zoomScaleNormal="85" workbookViewId="0">
      <selection activeCell="P58" sqref="P58"/>
    </sheetView>
  </sheetViews>
  <sheetFormatPr defaultColWidth="8.7265625" defaultRowHeight="14.5" x14ac:dyDescent="0.35"/>
  <cols>
    <col min="1" max="16384" width="8.7265625" style="45"/>
  </cols>
  <sheetData>
    <row r="1" spans="1:5" x14ac:dyDescent="0.35">
      <c r="A1" s="45" t="s">
        <v>42</v>
      </c>
      <c r="B1" s="45" t="s">
        <v>43</v>
      </c>
      <c r="C1" s="45" t="s">
        <v>44</v>
      </c>
      <c r="D1" s="45" t="s">
        <v>45</v>
      </c>
      <c r="E1" s="45" t="s">
        <v>46</v>
      </c>
    </row>
    <row r="2" spans="1:5" x14ac:dyDescent="0.35">
      <c r="A2" s="45">
        <v>0.75</v>
      </c>
      <c r="B2" s="45">
        <v>8.3333333333333329E-2</v>
      </c>
      <c r="C2" s="45">
        <v>8.3333333333333329E-2</v>
      </c>
      <c r="D2" s="45">
        <v>0.25</v>
      </c>
      <c r="E2" s="45">
        <v>0.16666666666666666</v>
      </c>
    </row>
    <row r="3" spans="1:5" x14ac:dyDescent="0.35">
      <c r="A3" s="45">
        <v>0.81481481481481477</v>
      </c>
      <c r="B3" s="45">
        <v>0.1111111111111111</v>
      </c>
      <c r="C3" s="45">
        <v>0.1111111111111111</v>
      </c>
      <c r="D3" s="45">
        <v>0.37037037037037035</v>
      </c>
      <c r="E3" s="45">
        <v>0.14814814814814814</v>
      </c>
    </row>
    <row r="4" spans="1:5" x14ac:dyDescent="0.35">
      <c r="A4" s="45">
        <v>0.66666666666666663</v>
      </c>
      <c r="B4" s="45">
        <v>4.1666666666666664E-2</v>
      </c>
      <c r="C4" s="45">
        <v>8.3333333333333329E-2</v>
      </c>
      <c r="D4" s="45">
        <v>0.25</v>
      </c>
      <c r="E4" s="45">
        <v>0.16666666666666666</v>
      </c>
    </row>
    <row r="5" spans="1:5" x14ac:dyDescent="0.35">
      <c r="A5" s="45">
        <v>0.66666666666666663</v>
      </c>
      <c r="B5" s="45">
        <v>0.16666666666666666</v>
      </c>
      <c r="C5" s="45">
        <v>0.16666666666666666</v>
      </c>
      <c r="D5" s="45">
        <v>0.16666666666666666</v>
      </c>
      <c r="E5" s="45">
        <v>0.16666666666666666</v>
      </c>
    </row>
    <row r="6" spans="1:5" x14ac:dyDescent="0.35">
      <c r="A6" s="45">
        <v>0.81818181818181823</v>
      </c>
      <c r="B6" s="45">
        <v>0.13636363636363635</v>
      </c>
      <c r="C6" s="45">
        <v>9.0909090909090912E-2</v>
      </c>
      <c r="D6" s="45">
        <v>0.36363636363636365</v>
      </c>
      <c r="E6" s="45">
        <v>0.18181818181818182</v>
      </c>
    </row>
    <row r="7" spans="1:5" x14ac:dyDescent="0.35">
      <c r="A7" s="45">
        <v>0.92307692307692313</v>
      </c>
      <c r="B7" s="45">
        <v>0.15384615384615385</v>
      </c>
      <c r="C7" s="45">
        <v>0.15384615384615385</v>
      </c>
      <c r="D7" s="45">
        <v>0.38461538461538464</v>
      </c>
      <c r="E7" s="45">
        <v>0.23076923076923078</v>
      </c>
    </row>
    <row r="8" spans="1:5" x14ac:dyDescent="0.35">
      <c r="A8" s="45">
        <v>0.90909090909090906</v>
      </c>
      <c r="B8" s="45">
        <v>9.0909090909090912E-2</v>
      </c>
      <c r="C8" s="45">
        <v>9.0909090909090912E-2</v>
      </c>
      <c r="D8" s="45">
        <v>0.45454545454545453</v>
      </c>
      <c r="E8" s="45">
        <v>0.18181818181818182</v>
      </c>
    </row>
    <row r="9" spans="1:5" x14ac:dyDescent="0.35">
      <c r="A9" s="45">
        <v>0.8571428571428571</v>
      </c>
      <c r="B9" s="45">
        <v>0.14285714285714285</v>
      </c>
      <c r="C9" s="45">
        <v>0.14285714285714285</v>
      </c>
      <c r="D9" s="45">
        <v>0.2857142857142857</v>
      </c>
      <c r="E9" s="45">
        <v>0.2857142857142857</v>
      </c>
    </row>
    <row r="10" spans="1:5" x14ac:dyDescent="0.35">
      <c r="A10" s="45">
        <v>0.8</v>
      </c>
      <c r="B10" s="45">
        <v>0.1</v>
      </c>
      <c r="C10" s="45">
        <v>0.1</v>
      </c>
      <c r="D10" s="45">
        <v>0.3</v>
      </c>
      <c r="E10" s="45">
        <v>0.1</v>
      </c>
    </row>
    <row r="11" spans="1:5" x14ac:dyDescent="0.35">
      <c r="A11" s="45">
        <v>0.91428571428571426</v>
      </c>
      <c r="B11" s="45">
        <v>8.5714285714285715E-2</v>
      </c>
      <c r="C11" s="45">
        <v>8.5714285714285715E-2</v>
      </c>
      <c r="D11" s="45">
        <v>0.4</v>
      </c>
      <c r="E11" s="45">
        <v>0.2</v>
      </c>
    </row>
    <row r="12" spans="1:5" x14ac:dyDescent="0.35">
      <c r="A12" s="45">
        <v>1</v>
      </c>
      <c r="B12" s="45">
        <v>0.25</v>
      </c>
      <c r="C12" s="45">
        <v>0.25</v>
      </c>
      <c r="D12" s="45">
        <v>0.25</v>
      </c>
      <c r="E12" s="45">
        <v>0.25</v>
      </c>
    </row>
    <row r="13" spans="1:5" x14ac:dyDescent="0.35">
      <c r="A13" s="45">
        <v>0.625</v>
      </c>
      <c r="B13" s="45">
        <v>0.125</v>
      </c>
      <c r="C13" s="45">
        <v>0.125</v>
      </c>
      <c r="D13" s="45">
        <v>0.25</v>
      </c>
      <c r="E13" s="45">
        <v>0.125</v>
      </c>
    </row>
    <row r="14" spans="1:5" x14ac:dyDescent="0.35">
      <c r="A14" s="45">
        <v>0.8</v>
      </c>
      <c r="B14" s="45">
        <v>0.1</v>
      </c>
      <c r="C14" s="45">
        <v>-2.9</v>
      </c>
      <c r="D14" s="45">
        <v>0.3</v>
      </c>
      <c r="E14" s="45">
        <v>0.2</v>
      </c>
    </row>
    <row r="15" spans="1:5" x14ac:dyDescent="0.35">
      <c r="A15" s="45">
        <v>0.91666666666666663</v>
      </c>
      <c r="B15" s="45">
        <v>8.3333333333333329E-2</v>
      </c>
      <c r="C15" s="45">
        <v>8.3333333333333329E-2</v>
      </c>
      <c r="D15" s="45">
        <v>0.45833333333333331</v>
      </c>
      <c r="E15" s="45">
        <v>0.16666666666666666</v>
      </c>
    </row>
    <row r="16" spans="1:5" x14ac:dyDescent="0.35">
      <c r="A16" s="45">
        <v>0.5625</v>
      </c>
      <c r="B16" s="45">
        <v>6.25E-2</v>
      </c>
      <c r="C16" s="45">
        <v>0.125</v>
      </c>
      <c r="D16" s="45">
        <v>0.25</v>
      </c>
      <c r="E16" s="45">
        <v>0.125</v>
      </c>
    </row>
    <row r="17" spans="1:5" x14ac:dyDescent="0.35">
      <c r="A17" s="45">
        <v>0.81818181818181823</v>
      </c>
      <c r="B17" s="45">
        <v>9.0909090909090912E-2</v>
      </c>
      <c r="C17" s="45">
        <v>9.0909090909090912E-2</v>
      </c>
      <c r="D17" s="45">
        <v>0.27272727272727271</v>
      </c>
      <c r="E17" s="45">
        <v>0.27272727272727271</v>
      </c>
    </row>
    <row r="18" spans="1:5" x14ac:dyDescent="0.35">
      <c r="A18" s="45">
        <v>0.77777777777777779</v>
      </c>
      <c r="B18" s="45">
        <v>0.1111111111111111</v>
      </c>
      <c r="C18" s="45">
        <v>0.1111111111111111</v>
      </c>
      <c r="D18" s="45">
        <v>0.33333333333333331</v>
      </c>
      <c r="E18" s="45">
        <v>0.22222222222222221</v>
      </c>
    </row>
    <row r="19" spans="1:5" x14ac:dyDescent="0.35">
      <c r="A19" s="45">
        <v>1.1818181818181819</v>
      </c>
      <c r="B19" s="45">
        <v>0.12121212121212122</v>
      </c>
      <c r="C19" s="45">
        <v>9.0909090909090912E-2</v>
      </c>
      <c r="D19" s="45">
        <v>0.45454545454545453</v>
      </c>
      <c r="E19" s="45">
        <v>0.21212121212121213</v>
      </c>
    </row>
    <row r="20" spans="1:5" x14ac:dyDescent="0.35">
      <c r="A20" s="45">
        <v>0.9375</v>
      </c>
      <c r="B20" s="45">
        <v>0.125</v>
      </c>
      <c r="C20" s="45">
        <v>0.125</v>
      </c>
      <c r="D20" s="45">
        <v>0.3125</v>
      </c>
      <c r="E20" s="45">
        <v>0.1875</v>
      </c>
    </row>
    <row r="21" spans="1:5" x14ac:dyDescent="0.35">
      <c r="A21" s="45">
        <v>0.78048780487804881</v>
      </c>
      <c r="B21" s="45">
        <v>0.14634146341463414</v>
      </c>
      <c r="C21" s="45">
        <v>7.3170731707317069E-2</v>
      </c>
      <c r="D21" s="45">
        <v>0.34146341463414637</v>
      </c>
      <c r="E21" s="45">
        <v>0.17073170731707318</v>
      </c>
    </row>
    <row r="22" spans="1:5" x14ac:dyDescent="0.35">
      <c r="A22" s="45">
        <v>0.5625</v>
      </c>
      <c r="B22" s="45">
        <v>6.25E-2</v>
      </c>
      <c r="C22" s="45">
        <v>6.25E-2</v>
      </c>
      <c r="D22" s="45">
        <v>0.25</v>
      </c>
      <c r="E22" s="45">
        <v>0.15625</v>
      </c>
    </row>
    <row r="23" spans="1:5" x14ac:dyDescent="0.35">
      <c r="A23" s="45">
        <v>0.5</v>
      </c>
      <c r="B23" s="45">
        <v>6.25E-2</v>
      </c>
      <c r="C23" s="45">
        <v>6.25E-2</v>
      </c>
      <c r="D23" s="45">
        <v>0.1875</v>
      </c>
      <c r="E23" s="45">
        <v>0.1875</v>
      </c>
    </row>
    <row r="24" spans="1:5" x14ac:dyDescent="0.35">
      <c r="A24" s="45">
        <v>0.76190476190476186</v>
      </c>
      <c r="B24" s="45">
        <v>9.5238095238095233E-2</v>
      </c>
      <c r="C24" s="45">
        <v>9.5238095238095233E-2</v>
      </c>
      <c r="D24" s="45">
        <v>0.2857142857142857</v>
      </c>
      <c r="E24" s="45">
        <v>0.16666666666666666</v>
      </c>
    </row>
    <row r="25" spans="1:5" x14ac:dyDescent="0.35">
      <c r="A25" s="45">
        <v>0.6</v>
      </c>
      <c r="B25" s="45">
        <v>0.1</v>
      </c>
      <c r="C25" s="45">
        <v>0.1</v>
      </c>
      <c r="D25" s="45">
        <v>0.2</v>
      </c>
      <c r="E25" s="45">
        <v>0.1</v>
      </c>
    </row>
    <row r="26" spans="1:5" x14ac:dyDescent="0.35">
      <c r="A26" s="45">
        <v>0.8</v>
      </c>
      <c r="B26" s="45">
        <v>0.1</v>
      </c>
      <c r="C26" s="45">
        <v>0.1</v>
      </c>
      <c r="D26" s="45">
        <v>0.3</v>
      </c>
      <c r="E26" s="45">
        <v>0.2</v>
      </c>
    </row>
    <row r="27" spans="1:5" x14ac:dyDescent="0.35">
      <c r="A27" s="45">
        <v>0.43478260869565216</v>
      </c>
      <c r="B27" s="45">
        <v>8.6956521739130432E-2</v>
      </c>
      <c r="C27" s="45">
        <v>6.5217391304347824E-2</v>
      </c>
      <c r="D27" s="45">
        <v>0.14130434782608695</v>
      </c>
      <c r="E27" s="45">
        <v>0.11956521739130435</v>
      </c>
    </row>
    <row r="28" spans="1:5" x14ac:dyDescent="0.35">
      <c r="A28" s="45">
        <v>0.36585365853658536</v>
      </c>
      <c r="B28" s="45">
        <v>7.3170731707317069E-2</v>
      </c>
      <c r="C28" s="45">
        <v>7.3170731707317069E-2</v>
      </c>
      <c r="D28" s="45">
        <v>0.14634146341463414</v>
      </c>
      <c r="E28" s="45">
        <v>9.7560975609756101E-2</v>
      </c>
    </row>
    <row r="29" spans="1:5" x14ac:dyDescent="0.35">
      <c r="A29" s="45">
        <v>0.8</v>
      </c>
      <c r="B29" s="45">
        <v>6.6666666666666666E-2</v>
      </c>
      <c r="C29" s="45">
        <v>6.6666666666666666E-2</v>
      </c>
      <c r="D29" s="45">
        <v>0.3</v>
      </c>
      <c r="E29" s="45">
        <v>0.16666666666666666</v>
      </c>
    </row>
    <row r="30" spans="1:5" x14ac:dyDescent="0.35">
      <c r="A30" s="45">
        <v>0.47368421052631576</v>
      </c>
      <c r="B30" s="45">
        <v>7.8947368421052627E-2</v>
      </c>
      <c r="C30" s="45">
        <v>5.2631578947368418E-2</v>
      </c>
      <c r="D30" s="45">
        <v>0.21052631578947367</v>
      </c>
      <c r="E30" s="45">
        <v>0.10526315789473684</v>
      </c>
    </row>
    <row r="31" spans="1:5" x14ac:dyDescent="0.35">
      <c r="A31" s="45">
        <v>0.8</v>
      </c>
      <c r="B31" s="45">
        <v>0.1</v>
      </c>
      <c r="C31" s="45">
        <v>0.1</v>
      </c>
      <c r="D31" s="45">
        <v>0.4</v>
      </c>
      <c r="E31" s="45">
        <v>0.1</v>
      </c>
    </row>
    <row r="32" spans="1:5" x14ac:dyDescent="0.35">
      <c r="A32" s="45">
        <v>0.83333333333333337</v>
      </c>
      <c r="B32" s="45">
        <v>0.16666666666666666</v>
      </c>
      <c r="C32" s="45">
        <v>0.16666666666666666</v>
      </c>
      <c r="D32" s="45">
        <v>0.5</v>
      </c>
      <c r="E32" s="45">
        <v>0.33333333333333331</v>
      </c>
    </row>
    <row r="33" spans="1:18" x14ac:dyDescent="0.35">
      <c r="A33" s="45">
        <v>1</v>
      </c>
      <c r="B33" s="45">
        <v>0.2</v>
      </c>
      <c r="C33" s="45">
        <v>0.2</v>
      </c>
      <c r="D33" s="45">
        <v>0.2</v>
      </c>
      <c r="E33" s="45">
        <v>0.2</v>
      </c>
    </row>
    <row r="34" spans="1:18" x14ac:dyDescent="0.35">
      <c r="A34" s="45">
        <v>1.6</v>
      </c>
      <c r="B34" s="45">
        <v>0.2</v>
      </c>
      <c r="C34" s="45">
        <v>0.2</v>
      </c>
      <c r="D34" s="45">
        <v>0.4</v>
      </c>
      <c r="E34" s="45">
        <v>0.2</v>
      </c>
    </row>
    <row r="35" spans="1:18" x14ac:dyDescent="0.35">
      <c r="A35" s="45">
        <v>1.4</v>
      </c>
      <c r="B35" s="45">
        <v>0.2</v>
      </c>
      <c r="C35" s="45">
        <v>0.2</v>
      </c>
      <c r="D35" s="45">
        <v>0.4</v>
      </c>
      <c r="E35" s="45">
        <v>0.4</v>
      </c>
    </row>
    <row r="36" spans="1:18" x14ac:dyDescent="0.35">
      <c r="A36" s="45">
        <v>0.6071428571428571</v>
      </c>
      <c r="B36" s="45">
        <v>7.1428571428571425E-2</v>
      </c>
      <c r="C36" s="45">
        <v>8.9285714285714288E-2</v>
      </c>
      <c r="D36" s="45">
        <v>0.25</v>
      </c>
      <c r="E36" s="45">
        <v>0.16071428571428573</v>
      </c>
    </row>
    <row r="37" spans="1:18" x14ac:dyDescent="0.35">
      <c r="A37" s="45">
        <v>1.04</v>
      </c>
      <c r="B37" s="45">
        <v>0.04</v>
      </c>
      <c r="C37" s="45">
        <v>0.08</v>
      </c>
      <c r="D37" s="45">
        <v>0.36</v>
      </c>
      <c r="E37" s="45">
        <v>0.16</v>
      </c>
    </row>
    <row r="44" spans="1:18" x14ac:dyDescent="0.35">
      <c r="K44" s="45" t="s">
        <v>77</v>
      </c>
    </row>
    <row r="45" spans="1:18" x14ac:dyDescent="0.35">
      <c r="K45" s="45" t="s">
        <v>42</v>
      </c>
      <c r="L45" s="45" t="s">
        <v>78</v>
      </c>
      <c r="M45" s="49" t="s">
        <v>84</v>
      </c>
    </row>
    <row r="47" spans="1:18" x14ac:dyDescent="0.35">
      <c r="D47" s="45" t="s">
        <v>77</v>
      </c>
      <c r="N47" s="50" t="s">
        <v>58</v>
      </c>
      <c r="O47" s="50" t="s">
        <v>80</v>
      </c>
      <c r="P47" s="51" t="s">
        <v>43</v>
      </c>
      <c r="Q47" s="51" t="s">
        <v>45</v>
      </c>
      <c r="R47" s="51" t="s">
        <v>46</v>
      </c>
    </row>
    <row r="48" spans="1:18" x14ac:dyDescent="0.35">
      <c r="D48" s="45" t="s">
        <v>42</v>
      </c>
      <c r="E48" s="45" t="s">
        <v>78</v>
      </c>
      <c r="F48" s="49" t="s">
        <v>85</v>
      </c>
      <c r="N48" s="52" t="s">
        <v>60</v>
      </c>
      <c r="O48" s="53">
        <v>0.80800000000000005</v>
      </c>
      <c r="P48" s="53">
        <v>0.112</v>
      </c>
      <c r="Q48" s="54">
        <v>0.30499999999999999</v>
      </c>
      <c r="R48" s="54">
        <v>0.1837</v>
      </c>
    </row>
    <row r="49" spans="14:18" x14ac:dyDescent="0.35">
      <c r="N49" s="52" t="s">
        <v>61</v>
      </c>
      <c r="O49" s="55">
        <f>(O50-O51)/6</f>
        <v>0.18883333333333333</v>
      </c>
      <c r="P49" s="55">
        <f>(P50-P51)/6</f>
        <v>3.3566666666666668E-2</v>
      </c>
      <c r="Q49" s="55">
        <f>(Q50-Q51)/6</f>
        <v>9.4516666666666679E-2</v>
      </c>
      <c r="R49" s="55">
        <f>(R50-R51)/6</f>
        <v>6.0599999999999994E-2</v>
      </c>
    </row>
    <row r="50" spans="14:18" x14ac:dyDescent="0.35">
      <c r="N50" s="52" t="s">
        <v>62</v>
      </c>
      <c r="O50" s="56">
        <v>1.375</v>
      </c>
      <c r="P50" s="45">
        <v>0.2127</v>
      </c>
      <c r="Q50" s="57">
        <v>0.58850000000000002</v>
      </c>
      <c r="R50" s="57">
        <v>0.36549999999999999</v>
      </c>
    </row>
    <row r="51" spans="14:18" x14ac:dyDescent="0.35">
      <c r="N51" s="52" t="s">
        <v>63</v>
      </c>
      <c r="O51" s="56">
        <v>0.24199999999999999</v>
      </c>
      <c r="P51" s="45">
        <v>1.1299999999999999E-2</v>
      </c>
      <c r="Q51" s="57">
        <v>2.1399999999999999E-2</v>
      </c>
      <c r="R51" s="57">
        <v>1.9E-3</v>
      </c>
    </row>
    <row r="52" spans="14:18" x14ac:dyDescent="0.35">
      <c r="N52" s="58"/>
      <c r="O52" s="58"/>
      <c r="P52" s="58"/>
      <c r="Q52" s="58"/>
    </row>
    <row r="53" spans="14:18" x14ac:dyDescent="0.35">
      <c r="N53" s="58"/>
      <c r="O53" s="58"/>
      <c r="P53" s="58"/>
      <c r="Q53" s="58"/>
    </row>
    <row r="54" spans="14:18" x14ac:dyDescent="0.35">
      <c r="N54" s="58"/>
      <c r="O54" s="58"/>
      <c r="P54" s="58"/>
      <c r="Q54" s="58"/>
    </row>
    <row r="55" spans="14:18" x14ac:dyDescent="0.35">
      <c r="N55" s="50" t="s">
        <v>64</v>
      </c>
      <c r="O55" s="50" t="s">
        <v>80</v>
      </c>
      <c r="P55" s="58"/>
      <c r="Q55" s="58"/>
    </row>
    <row r="56" spans="14:18" x14ac:dyDescent="0.35">
      <c r="N56" s="52" t="s">
        <v>60</v>
      </c>
      <c r="O56" s="59">
        <f>O48-Q56</f>
        <v>0.72720000000000007</v>
      </c>
      <c r="P56" s="58"/>
      <c r="Q56" s="58">
        <f>O48*10%</f>
        <v>8.0800000000000011E-2</v>
      </c>
    </row>
    <row r="57" spans="14:18" x14ac:dyDescent="0.35">
      <c r="N57" s="52" t="s">
        <v>61</v>
      </c>
      <c r="O57" s="52">
        <v>0.25</v>
      </c>
      <c r="P57" s="58"/>
      <c r="Q57" s="58"/>
    </row>
    <row r="58" spans="14:18" x14ac:dyDescent="0.35">
      <c r="N58" s="58"/>
      <c r="O58" s="58"/>
      <c r="P58" s="58"/>
      <c r="Q58" s="58"/>
    </row>
    <row r="59" spans="14:18" x14ac:dyDescent="0.35">
      <c r="N59" s="58"/>
      <c r="O59" s="58"/>
      <c r="P59" s="58"/>
      <c r="Q59" s="58"/>
    </row>
    <row r="60" spans="14:18" x14ac:dyDescent="0.35">
      <c r="N60" s="50" t="s">
        <v>65</v>
      </c>
      <c r="O60" s="50" t="s">
        <v>80</v>
      </c>
      <c r="P60" s="51" t="s">
        <v>43</v>
      </c>
      <c r="Q60" s="51" t="s">
        <v>45</v>
      </c>
      <c r="R60" s="51" t="s">
        <v>46</v>
      </c>
    </row>
    <row r="61" spans="14:18" x14ac:dyDescent="0.35">
      <c r="N61" s="52" t="s">
        <v>60</v>
      </c>
      <c r="O61" s="60">
        <f>0.057 + (2.133*P61) + (1.397*Q61) + (0.469*R61)</f>
        <v>0.93593000000000015</v>
      </c>
      <c r="P61" s="60">
        <v>0.2</v>
      </c>
      <c r="Q61" s="60">
        <v>0.26</v>
      </c>
      <c r="R61" s="60">
        <v>0.19</v>
      </c>
    </row>
    <row r="62" spans="14:18" x14ac:dyDescent="0.35">
      <c r="N62" s="52" t="s">
        <v>61</v>
      </c>
      <c r="O62" s="52">
        <v>0.25</v>
      </c>
      <c r="P62" s="45">
        <v>0.1</v>
      </c>
      <c r="Q62" s="52">
        <v>0.1</v>
      </c>
      <c r="R62" s="52">
        <v>0.5</v>
      </c>
    </row>
    <row r="63" spans="14:18" x14ac:dyDescent="0.35">
      <c r="N63" s="52" t="s">
        <v>66</v>
      </c>
      <c r="O63" s="52">
        <f>O61+(3*O62)</f>
        <v>1.6859300000000002</v>
      </c>
      <c r="P63" s="52">
        <f>P61+(3*P62)</f>
        <v>0.5</v>
      </c>
      <c r="Q63" s="52">
        <f t="shared" ref="Q63:R63" si="0">Q61+(3*Q62)</f>
        <v>0.56000000000000005</v>
      </c>
      <c r="R63" s="52">
        <f t="shared" si="0"/>
        <v>1.69</v>
      </c>
    </row>
    <row r="64" spans="14:18" x14ac:dyDescent="0.35">
      <c r="N64" s="52" t="s">
        <v>67</v>
      </c>
      <c r="O64" s="52">
        <f>O61-(3*O62)</f>
        <v>0.18593000000000015</v>
      </c>
      <c r="P64" s="52">
        <f>P61-(3*P62)</f>
        <v>-0.10000000000000003</v>
      </c>
      <c r="Q64" s="52">
        <f t="shared" ref="Q64:R64" si="1">Q61-(3*Q62)</f>
        <v>-4.0000000000000036E-2</v>
      </c>
      <c r="R64" s="52">
        <f t="shared" si="1"/>
        <v>-1.31</v>
      </c>
    </row>
    <row r="68" spans="14:17" x14ac:dyDescent="0.35">
      <c r="N68" s="50" t="s">
        <v>65</v>
      </c>
      <c r="O68" s="50" t="s">
        <v>80</v>
      </c>
      <c r="P68" s="51" t="s">
        <v>43</v>
      </c>
      <c r="Q68" s="51" t="s">
        <v>45</v>
      </c>
    </row>
    <row r="69" spans="14:17" x14ac:dyDescent="0.35">
      <c r="N69" s="52" t="s">
        <v>60</v>
      </c>
      <c r="O69" s="60">
        <f>0.0749 + (2.44*P69)+ (1.509*Q69)</f>
        <v>0.72144999999999992</v>
      </c>
      <c r="P69" s="60">
        <v>9.8000000000000004E-2</v>
      </c>
      <c r="Q69" s="60">
        <v>0.27</v>
      </c>
    </row>
    <row r="70" spans="14:17" x14ac:dyDescent="0.35">
      <c r="N70" s="52" t="s">
        <v>61</v>
      </c>
      <c r="O70" s="52">
        <v>0.25</v>
      </c>
      <c r="P70" s="45">
        <v>0.1</v>
      </c>
      <c r="Q70" s="52">
        <v>0.1</v>
      </c>
    </row>
    <row r="71" spans="14:17" x14ac:dyDescent="0.35">
      <c r="N71" s="52" t="s">
        <v>66</v>
      </c>
      <c r="O71" s="52">
        <f>O69+(3*O70)</f>
        <v>1.4714499999999999</v>
      </c>
      <c r="P71" s="52">
        <f>P69+(3*P70)</f>
        <v>0.39800000000000002</v>
      </c>
      <c r="Q71" s="52">
        <f t="shared" ref="Q71" si="2">Q69+(3*Q70)</f>
        <v>0.57000000000000006</v>
      </c>
    </row>
    <row r="72" spans="14:17" x14ac:dyDescent="0.35">
      <c r="N72" s="52" t="s">
        <v>67</v>
      </c>
      <c r="O72" s="52">
        <f>O69-(3*O70)</f>
        <v>-2.8550000000000075E-2</v>
      </c>
      <c r="P72" s="52">
        <f>P69-(3*P70)</f>
        <v>-0.20200000000000004</v>
      </c>
      <c r="Q72" s="52">
        <f t="shared" ref="Q72" si="3">Q69-(3*Q70)</f>
        <v>-3.0000000000000027E-2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DC JantoMay</vt:lpstr>
      <vt:lpstr>Sheet2</vt:lpstr>
      <vt:lpstr>Sheet1</vt:lpstr>
      <vt:lpstr>PPM Prod</vt:lpstr>
      <vt:lpstr>PPM CT </vt:lpstr>
      <vt:lpstr>PPM DRE</vt:lpstr>
      <vt:lpstr>Merge CT 2&amp;3</vt:lpstr>
      <vt:lpstr>Combine CT 2&amp;3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2026-06-08T08:42:32Z</dcterms:modified>
</cp:coreProperties>
</file>