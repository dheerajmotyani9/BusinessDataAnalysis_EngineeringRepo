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Estimation\"/>
    </mc:Choice>
  </mc:AlternateContent>
  <bookViews>
    <workbookView xWindow="0" yWindow="0" windowWidth="19200" windowHeight="7190" firstSheet="6" activeTab="9"/>
  </bookViews>
  <sheets>
    <sheet name="Guidelines" sheetId="15" r:id="rId1"/>
    <sheet name="Version History" sheetId="12" r:id="rId2"/>
    <sheet name="Master" sheetId="13" r:id="rId3"/>
    <sheet name="Baseline Productivity " sheetId="14" r:id="rId4"/>
    <sheet name="Anusharavan Estimation" sheetId="16" r:id="rId5"/>
    <sheet name="Bharosa Estimation" sheetId="18" r:id="rId6"/>
    <sheet name="Material Testing Estimation" sheetId="21" r:id="rId7"/>
    <sheet name="FHTC Estimation" sheetId="23" r:id="rId8"/>
    <sheet name="O&amp;M Estimation" sheetId="17" r:id="rId9"/>
    <sheet name="DHARA CR Estimation" sheetId="9" r:id="rId10"/>
    <sheet name="NIRMAL CR Estimation" sheetId="10" r:id="rId11"/>
    <sheet name="Sahbhagita CR" sheetId="4" r:id="rId12"/>
    <sheet name="CMMI Doc Estimation" sheetId="19" r:id="rId13"/>
    <sheet name="Cube Testing Estimation" sheetId="20" r:id="rId14"/>
  </sheets>
  <externalReferences>
    <externalReference r:id="rId15"/>
    <externalReference r:id="rId16"/>
  </externalReferences>
  <definedNames>
    <definedName name="ACE" localSheetId="4">Master!#REF!</definedName>
    <definedName name="ACE" localSheetId="7">Master!#REF!</definedName>
    <definedName name="ACE">Master!#REF!</definedName>
    <definedName name="AGILE_1" localSheetId="4">Master!#REF!</definedName>
    <definedName name="AGILE_1" localSheetId="7">Master!#REF!</definedName>
    <definedName name="AGILE_1">Master!#REF!</definedName>
    <definedName name="AGILE_2" localSheetId="4">Master!#REF!</definedName>
    <definedName name="AGILE_2" localSheetId="7">Master!#REF!</definedName>
    <definedName name="AGILE_2">Master!#REF!</definedName>
    <definedName name="AUT" localSheetId="4">Master!#REF!</definedName>
    <definedName name="AUT" localSheetId="7">Master!#REF!</definedName>
    <definedName name="AUT">Master!#REF!</definedName>
    <definedName name="Automation" localSheetId="4">Master!#REF!</definedName>
    <definedName name="Automation" localSheetId="7">Master!#REF!</definedName>
    <definedName name="Automation">Master!#REF!</definedName>
    <definedName name="Code_element">Master!$A$4:$B$4</definedName>
    <definedName name="DACL" localSheetId="4">Master!#REF!</definedName>
    <definedName name="DACL" localSheetId="7">Master!#REF!</definedName>
    <definedName name="DACL">Master!#REF!</definedName>
    <definedName name="Data" localSheetId="4">Master!#REF!</definedName>
    <definedName name="Data" localSheetId="7">Master!#REF!</definedName>
    <definedName name="Data">Master!#REF!</definedName>
    <definedName name="Data_Modeling" localSheetId="4">Master!#REF!</definedName>
    <definedName name="Data_Modeling" localSheetId="7">Master!#REF!</definedName>
    <definedName name="Data_Modeling">Master!#REF!</definedName>
    <definedName name="Development">Master!$A$3:$A$28</definedName>
    <definedName name="Enhancement_and_customization">Master!$B$3:$B$21</definedName>
    <definedName name="GEN_AI" localSheetId="4">Master!#REF!</definedName>
    <definedName name="GEN_AI" localSheetId="7">Master!#REF!</definedName>
    <definedName name="GEN_AI">Master!#REF!</definedName>
    <definedName name="GLBS" localSheetId="4">Master!#REF!</definedName>
    <definedName name="GLBS" localSheetId="7">Master!#REF!</definedName>
    <definedName name="GLBS">Master!#REF!</definedName>
    <definedName name="Infra_Setup">Master!$A$7:$B$7</definedName>
    <definedName name="Ingestion">Master!$A$6:$B$6</definedName>
    <definedName name="IOT" localSheetId="4">Master!#REF!</definedName>
    <definedName name="IOT" localSheetId="7">Master!#REF!</definedName>
    <definedName name="IOT">Master!#REF!</definedName>
    <definedName name="Marktek" localSheetId="4">Master!#REF!</definedName>
    <definedName name="Marktek" localSheetId="7">Master!#REF!</definedName>
    <definedName name="Marktek">Master!#REF!</definedName>
    <definedName name="MSDA" localSheetId="4">Master!#REF!</definedName>
    <definedName name="MSDA" localSheetId="7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 localSheetId="4">Master!#REF!</definedName>
    <definedName name="Scalable_development" localSheetId="7">Master!#REF!</definedName>
    <definedName name="Scalable_development">Master!#REF!</definedName>
    <definedName name="Screen">Master!$A$3:$B$3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6" l="1"/>
  <c r="G9" i="16" l="1"/>
  <c r="G10" i="16"/>
  <c r="G8" i="18"/>
  <c r="G11" i="16" l="1"/>
  <c r="G9" i="4"/>
  <c r="G10" i="4"/>
  <c r="G11" i="4"/>
  <c r="G12" i="4"/>
  <c r="G8" i="4"/>
  <c r="G8" i="10"/>
  <c r="G17" i="4" l="1"/>
  <c r="G15" i="9" l="1"/>
  <c r="G9" i="23"/>
  <c r="G10" i="23"/>
  <c r="G11" i="23"/>
  <c r="G8" i="23"/>
  <c r="G9" i="10"/>
  <c r="G10" i="10"/>
  <c r="G11" i="10"/>
  <c r="G12" i="10"/>
  <c r="G13" i="10"/>
  <c r="G14" i="10"/>
  <c r="G15" i="10"/>
  <c r="G16" i="10"/>
  <c r="G17" i="10"/>
  <c r="G8" i="17"/>
  <c r="G19" i="10" l="1"/>
  <c r="G13" i="23"/>
  <c r="G9" i="21"/>
  <c r="G10" i="21"/>
  <c r="G11" i="21"/>
  <c r="G12" i="21"/>
  <c r="G13" i="21"/>
  <c r="G14" i="21"/>
  <c r="G15" i="21"/>
  <c r="G16" i="21"/>
  <c r="G17" i="21"/>
  <c r="G18" i="21"/>
  <c r="G8" i="21"/>
  <c r="G9" i="20"/>
  <c r="G10" i="20"/>
  <c r="G11" i="20"/>
  <c r="G8" i="20"/>
  <c r="G8" i="19"/>
  <c r="N31" i="23"/>
  <c r="D21" i="23" s="1"/>
  <c r="D20" i="23"/>
  <c r="J28" i="23" a="1"/>
  <c r="J28" i="23" s="1"/>
  <c r="I28" i="23" a="1"/>
  <c r="I28" i="23" s="1"/>
  <c r="E18" i="23" a="1"/>
  <c r="E18" i="23" s="1"/>
  <c r="H26" i="23" a="1"/>
  <c r="H26" i="23" s="1"/>
  <c r="J22" i="23" a="1"/>
  <c r="J22" i="23" s="1"/>
  <c r="I22" i="23" a="1"/>
  <c r="I22" i="23" s="1"/>
  <c r="J20" i="23" a="1"/>
  <c r="J20" i="23" s="1"/>
  <c r="I20" i="23" a="1"/>
  <c r="I20" i="23" s="1"/>
  <c r="H20" i="23" a="1"/>
  <c r="H20" i="23" s="1"/>
  <c r="J19" i="23" a="1"/>
  <c r="J19" i="23" s="1"/>
  <c r="I19" i="23" a="1"/>
  <c r="I19" i="23" s="1"/>
  <c r="H18" i="23" a="1"/>
  <c r="H18" i="23" s="1"/>
  <c r="H17" i="23" a="1"/>
  <c r="H17" i="23" s="1"/>
  <c r="J10" i="23" a="1"/>
  <c r="J10" i="23" s="1"/>
  <c r="I10" i="23" a="1"/>
  <c r="I10" i="23" s="1"/>
  <c r="H10" i="23" a="1"/>
  <c r="H10" i="23" s="1"/>
  <c r="G13" i="20" l="1"/>
  <c r="G19" i="21"/>
  <c r="D24" i="23"/>
  <c r="E26" i="23" s="1"/>
  <c r="N31" i="21"/>
  <c r="D26" i="21" s="1"/>
  <c r="J28" i="21" a="1"/>
  <c r="J28" i="21" s="1"/>
  <c r="I28" i="21" a="1"/>
  <c r="I28" i="21" s="1"/>
  <c r="H26" i="21" a="1"/>
  <c r="H26" i="21" s="1"/>
  <c r="J22" i="21" a="1"/>
  <c r="J22" i="21" s="1"/>
  <c r="I22" i="21" a="1"/>
  <c r="I22" i="21" s="1"/>
  <c r="J20" i="21" a="1"/>
  <c r="J20" i="21" s="1"/>
  <c r="I20" i="21" a="1"/>
  <c r="I20" i="21" s="1"/>
  <c r="H20" i="21" a="1"/>
  <c r="H20" i="21" s="1"/>
  <c r="J19" i="21" a="1"/>
  <c r="J19" i="21" s="1"/>
  <c r="I19" i="21" a="1"/>
  <c r="I19" i="21" s="1"/>
  <c r="H18" i="21" a="1"/>
  <c r="H18" i="21" s="1"/>
  <c r="D25" i="21"/>
  <c r="H17" i="21" a="1"/>
  <c r="H17" i="21" s="1"/>
  <c r="E23" i="21" a="1"/>
  <c r="E23" i="21" s="1"/>
  <c r="J10" i="21" a="1"/>
  <c r="J10" i="21" s="1"/>
  <c r="I10" i="21" a="1"/>
  <c r="I10" i="21" s="1"/>
  <c r="H10" i="21" a="1"/>
  <c r="H10" i="21" s="1"/>
  <c r="N31" i="20"/>
  <c r="D18" i="20" s="1"/>
  <c r="J28" i="20" a="1"/>
  <c r="J28" i="20" s="1"/>
  <c r="I28" i="20" a="1"/>
  <c r="I28" i="20" s="1"/>
  <c r="H26" i="20" a="1"/>
  <c r="H26" i="20" s="1"/>
  <c r="D17" i="20"/>
  <c r="E15" i="20" a="1"/>
  <c r="E15" i="20" s="1"/>
  <c r="J22" i="20" a="1"/>
  <c r="J22" i="20" s="1"/>
  <c r="I22" i="20" a="1"/>
  <c r="I22" i="20" s="1"/>
  <c r="H20" i="20" a="1"/>
  <c r="H20" i="20" s="1"/>
  <c r="J20" i="20" a="1"/>
  <c r="J20" i="20" s="1"/>
  <c r="I20" i="20" a="1"/>
  <c r="I20" i="20" s="1"/>
  <c r="H18" i="20" a="1"/>
  <c r="H18" i="20" s="1"/>
  <c r="J19" i="20" a="1"/>
  <c r="J19" i="20" s="1"/>
  <c r="I19" i="20" a="1"/>
  <c r="I19" i="20" s="1"/>
  <c r="H17" i="20" a="1"/>
  <c r="H17" i="20" s="1"/>
  <c r="J10" i="20" a="1"/>
  <c r="J10" i="20" s="1"/>
  <c r="I10" i="20" a="1"/>
  <c r="I10" i="20" s="1"/>
  <c r="H10" i="20" a="1"/>
  <c r="H10" i="20" s="1"/>
  <c r="G9" i="19"/>
  <c r="G10" i="19"/>
  <c r="G11" i="19"/>
  <c r="G12" i="19"/>
  <c r="G13" i="19"/>
  <c r="G14" i="19"/>
  <c r="G15" i="19"/>
  <c r="G16" i="19"/>
  <c r="G17" i="19"/>
  <c r="G19" i="19" l="1"/>
  <c r="D26" i="23"/>
  <c r="D29" i="21"/>
  <c r="E31" i="21" s="1"/>
  <c r="D21" i="20"/>
  <c r="D23" i="20" s="1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E28" i="17" a="1"/>
  <c r="E28" i="17" s="1"/>
  <c r="D30" i="17"/>
  <c r="N31" i="19"/>
  <c r="D26" i="19" s="1"/>
  <c r="D25" i="19"/>
  <c r="E23" i="19" a="1"/>
  <c r="E23" i="19" s="1"/>
  <c r="J28" i="19" a="1"/>
  <c r="J28" i="19" s="1"/>
  <c r="I28" i="19" a="1"/>
  <c r="I28" i="19" s="1"/>
  <c r="H28" i="19" a="1"/>
  <c r="H28" i="19" s="1"/>
  <c r="J22" i="19" a="1"/>
  <c r="J22" i="19" s="1"/>
  <c r="I22" i="19" a="1"/>
  <c r="I22" i="19" s="1"/>
  <c r="H22" i="19" a="1"/>
  <c r="H22" i="19" s="1"/>
  <c r="J20" i="19" a="1"/>
  <c r="J20" i="19" s="1"/>
  <c r="I20" i="19" a="1"/>
  <c r="I20" i="19" s="1"/>
  <c r="H20" i="19" a="1"/>
  <c r="H20" i="19" s="1"/>
  <c r="J19" i="19" a="1"/>
  <c r="J19" i="19" s="1"/>
  <c r="I19" i="19" a="1"/>
  <c r="I19" i="19" s="1"/>
  <c r="H19" i="19" a="1"/>
  <c r="H19" i="19" s="1"/>
  <c r="J10" i="19" a="1"/>
  <c r="J10" i="19" s="1"/>
  <c r="I10" i="19" a="1"/>
  <c r="I10" i="19" s="1"/>
  <c r="H10" i="19" a="1"/>
  <c r="H10" i="19" s="1"/>
  <c r="G9" i="18"/>
  <c r="G10" i="18"/>
  <c r="G11" i="18"/>
  <c r="G12" i="18"/>
  <c r="G13" i="18"/>
  <c r="G14" i="18"/>
  <c r="G15" i="18"/>
  <c r="G24" i="17" l="1"/>
  <c r="G17" i="18"/>
  <c r="D31" i="21"/>
  <c r="E23" i="20"/>
  <c r="D29" i="19"/>
  <c r="E31" i="19" s="1"/>
  <c r="E18" i="9" a="1"/>
  <c r="E18" i="9" s="1"/>
  <c r="H8" i="9" a="1"/>
  <c r="H8" i="9" s="1"/>
  <c r="I8" i="9" a="1"/>
  <c r="I8" i="9" s="1"/>
  <c r="J8" i="9" a="1"/>
  <c r="J8" i="9" s="1"/>
  <c r="N31" i="4"/>
  <c r="D27" i="4" s="1"/>
  <c r="N31" i="10"/>
  <c r="D34" i="10" s="1"/>
  <c r="N31" i="9"/>
  <c r="D21" i="9" s="1"/>
  <c r="D26" i="4"/>
  <c r="E24" i="4" a="1"/>
  <c r="E24" i="4" s="1"/>
  <c r="J22" i="4" a="1"/>
  <c r="J22" i="4" s="1"/>
  <c r="I22" i="4" a="1"/>
  <c r="I22" i="4" s="1"/>
  <c r="H22" i="4" a="1"/>
  <c r="H22" i="4" s="1"/>
  <c r="J13" i="4" a="1"/>
  <c r="J13" i="4" s="1"/>
  <c r="I13" i="4" a="1"/>
  <c r="I13" i="4" s="1"/>
  <c r="H13" i="4" a="1"/>
  <c r="H13" i="4" s="1"/>
  <c r="J11" i="4" a="1"/>
  <c r="J11" i="4" s="1"/>
  <c r="I11" i="4" a="1"/>
  <c r="I11" i="4" s="1"/>
  <c r="H11" i="4" a="1"/>
  <c r="H11" i="4" s="1"/>
  <c r="D31" i="19" l="1"/>
  <c r="D30" i="4"/>
  <c r="E32" i="4" s="1"/>
  <c r="N31" i="16"/>
  <c r="D17" i="16" s="1"/>
  <c r="N31" i="17"/>
  <c r="D31" i="17" s="1"/>
  <c r="N31" i="18"/>
  <c r="D27" i="18" s="1"/>
  <c r="D32" i="4" l="1"/>
  <c r="D26" i="18"/>
  <c r="E24" i="18" a="1"/>
  <c r="E24" i="18" s="1"/>
  <c r="J27" i="18" a="1"/>
  <c r="J27" i="18" s="1"/>
  <c r="I27" i="18" a="1"/>
  <c r="I27" i="18" s="1"/>
  <c r="H27" i="18" a="1"/>
  <c r="H27" i="18" s="1"/>
  <c r="J21" i="18" a="1"/>
  <c r="J21" i="18" s="1"/>
  <c r="I21" i="18" a="1"/>
  <c r="I21" i="18" s="1"/>
  <c r="H21" i="18" a="1"/>
  <c r="H21" i="18" s="1"/>
  <c r="J19" i="18" a="1"/>
  <c r="J19" i="18" s="1"/>
  <c r="I19" i="18" a="1"/>
  <c r="I19" i="18" s="1"/>
  <c r="H19" i="18" a="1"/>
  <c r="H19" i="18" s="1"/>
  <c r="J18" i="18" a="1"/>
  <c r="J18" i="18" s="1"/>
  <c r="I18" i="18" a="1"/>
  <c r="I18" i="18" s="1"/>
  <c r="H18" i="18" a="1"/>
  <c r="H18" i="18" s="1"/>
  <c r="J9" i="18" a="1"/>
  <c r="J9" i="18" s="1"/>
  <c r="I9" i="18" a="1"/>
  <c r="I9" i="18" s="1"/>
  <c r="H9" i="18" a="1"/>
  <c r="H9" i="18" s="1"/>
  <c r="H27" i="17" a="1"/>
  <c r="H27" i="17" s="1"/>
  <c r="I27" i="17" a="1"/>
  <c r="I27" i="17" s="1"/>
  <c r="J27" i="17" a="1"/>
  <c r="J27" i="17" s="1"/>
  <c r="D30" i="18" l="1"/>
  <c r="E32" i="18" l="1"/>
  <c r="D32" i="18"/>
  <c r="J21" i="17" l="1" a="1"/>
  <c r="J21" i="17" s="1"/>
  <c r="I21" i="17" a="1"/>
  <c r="I21" i="17" s="1"/>
  <c r="H21" i="17" a="1"/>
  <c r="H21" i="17" s="1"/>
  <c r="J19" i="17" a="1"/>
  <c r="J19" i="17" s="1"/>
  <c r="I19" i="17" a="1"/>
  <c r="I19" i="17" s="1"/>
  <c r="H19" i="17" a="1"/>
  <c r="H19" i="17" s="1"/>
  <c r="J18" i="17" a="1"/>
  <c r="J18" i="17" s="1"/>
  <c r="I18" i="17" a="1"/>
  <c r="I18" i="17" s="1"/>
  <c r="H18" i="17" a="1"/>
  <c r="H18" i="17" s="1"/>
  <c r="J9" i="17" a="1"/>
  <c r="J9" i="17" s="1"/>
  <c r="I9" i="17" a="1"/>
  <c r="I9" i="17" s="1"/>
  <c r="H9" i="17" a="1"/>
  <c r="H9" i="17" s="1"/>
  <c r="D34" i="17" l="1"/>
  <c r="E36" i="17" s="1"/>
  <c r="D36" i="17" l="1"/>
  <c r="D16" i="16" l="1"/>
  <c r="E14" i="16" a="1"/>
  <c r="E14" i="16" s="1"/>
  <c r="J22" i="16" a="1"/>
  <c r="J22" i="16" s="1"/>
  <c r="I22" i="16" a="1"/>
  <c r="I22" i="16" s="1"/>
  <c r="H22" i="16" a="1"/>
  <c r="H22" i="16" s="1"/>
  <c r="J21" i="16" a="1"/>
  <c r="J21" i="16" s="1"/>
  <c r="I21" i="16" a="1"/>
  <c r="I21" i="16" s="1"/>
  <c r="H21" i="16" a="1"/>
  <c r="H21" i="16" s="1"/>
  <c r="J19" i="16" a="1"/>
  <c r="J19" i="16" s="1"/>
  <c r="I19" i="16" a="1"/>
  <c r="I19" i="16" s="1"/>
  <c r="H19" i="16" a="1"/>
  <c r="H19" i="16" s="1"/>
  <c r="J18" i="16" a="1"/>
  <c r="J18" i="16" s="1"/>
  <c r="I18" i="16" a="1"/>
  <c r="I18" i="16" s="1"/>
  <c r="H18" i="16" a="1"/>
  <c r="H18" i="16" s="1"/>
  <c r="J9" i="16" a="1"/>
  <c r="J9" i="16" s="1"/>
  <c r="I9" i="16" a="1"/>
  <c r="I9" i="16" s="1"/>
  <c r="H9" i="16" a="1"/>
  <c r="H9" i="16" s="1"/>
  <c r="D20" i="16" l="1"/>
  <c r="E22" i="16" s="1"/>
  <c r="D33" i="10"/>
  <c r="E31" i="10" a="1"/>
  <c r="E31" i="10" s="1"/>
  <c r="J22" i="10" a="1"/>
  <c r="J22" i="10" s="1"/>
  <c r="I22" i="10" a="1"/>
  <c r="I22" i="10" s="1"/>
  <c r="H22" i="10" a="1"/>
  <c r="H22" i="10" s="1"/>
  <c r="J13" i="10" a="1"/>
  <c r="J13" i="10" s="1"/>
  <c r="I13" i="10" a="1"/>
  <c r="I13" i="10" s="1"/>
  <c r="H13" i="10" a="1"/>
  <c r="H13" i="10" s="1"/>
  <c r="J11" i="10" a="1"/>
  <c r="J11" i="10" s="1"/>
  <c r="I11" i="10" a="1"/>
  <c r="I11" i="10" s="1"/>
  <c r="H11" i="10" a="1"/>
  <c r="H11" i="10" s="1"/>
  <c r="D20" i="9"/>
  <c r="J23" i="9" a="1"/>
  <c r="J23" i="9" s="1"/>
  <c r="I23" i="9" a="1"/>
  <c r="I23" i="9" s="1"/>
  <c r="H23" i="9" a="1"/>
  <c r="H23" i="9" s="1"/>
  <c r="J22" i="9" a="1"/>
  <c r="J22" i="9" s="1"/>
  <c r="I22" i="9" a="1"/>
  <c r="I22" i="9" s="1"/>
  <c r="H22" i="9" a="1"/>
  <c r="H22" i="9" s="1"/>
  <c r="J20" i="9" a="1"/>
  <c r="J20" i="9" s="1"/>
  <c r="I20" i="9" a="1"/>
  <c r="I20" i="9" s="1"/>
  <c r="H20" i="9" a="1"/>
  <c r="H20" i="9" s="1"/>
  <c r="J19" i="9" a="1"/>
  <c r="J19" i="9" s="1"/>
  <c r="I19" i="9" a="1"/>
  <c r="I19" i="9" s="1"/>
  <c r="H19" i="9" a="1"/>
  <c r="H19" i="9" s="1"/>
  <c r="J10" i="9" a="1"/>
  <c r="J10" i="9" s="1"/>
  <c r="I10" i="9" a="1"/>
  <c r="I10" i="9" s="1"/>
  <c r="H10" i="9" a="1"/>
  <c r="H10" i="9" s="1"/>
  <c r="D24" i="9" l="1"/>
  <c r="E26" i="9" s="1"/>
  <c r="D22" i="16"/>
  <c r="D37" i="10"/>
  <c r="D26" i="9" l="1"/>
  <c r="E39" i="10"/>
  <c r="D39" i="10"/>
</calcChain>
</file>

<file path=xl/sharedStrings.xml><?xml version="1.0" encoding="utf-8"?>
<sst xmlns="http://schemas.openxmlformats.org/spreadsheetml/2006/main" count="778" uniqueCount="274">
  <si>
    <t>Size</t>
  </si>
  <si>
    <t>VAF 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</si>
  <si>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</si>
  <si>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</si>
  <si>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</si>
  <si>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</si>
  <si>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</si>
  <si>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</si>
  <si>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</si>
  <si>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</si>
  <si>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</si>
  <si>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</si>
  <si>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</si>
  <si>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</si>
  <si>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</si>
  <si>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Factor</t>
  </si>
  <si>
    <t>Rating</t>
  </si>
  <si>
    <t>Facilitate Change</t>
  </si>
  <si>
    <t>Low</t>
  </si>
  <si>
    <t>High</t>
  </si>
  <si>
    <t>Productivity</t>
  </si>
  <si>
    <t>Unit</t>
  </si>
  <si>
    <t>O&amp;M Billing - GM</t>
  </si>
  <si>
    <t>O&amp;M Billing - Contractor</t>
  </si>
  <si>
    <t>Bharosa - Factory Testing Web</t>
  </si>
  <si>
    <t>Bharosa - Factory Testing Mobile</t>
  </si>
  <si>
    <t>Type Of work</t>
  </si>
  <si>
    <t>New Development</t>
  </si>
  <si>
    <t>Project Name</t>
  </si>
  <si>
    <t>Remark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</si>
  <si>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</si>
  <si>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</si>
  <si>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</si>
  <si>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</si>
  <si>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</si>
  <si>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</si>
  <si>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</si>
  <si>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</si>
  <si>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</si>
  <si>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1*1+3*1+5*0 =4</t>
  </si>
  <si>
    <t>Value added factors</t>
  </si>
  <si>
    <t>Total Size</t>
  </si>
  <si>
    <t>Total</t>
  </si>
  <si>
    <t>Point</t>
  </si>
  <si>
    <t>Effort</t>
  </si>
  <si>
    <t>Man hours</t>
  </si>
  <si>
    <t>VAF</t>
  </si>
  <si>
    <t>Risk contingency</t>
  </si>
  <si>
    <t>Project Management</t>
  </si>
  <si>
    <t>Total effort</t>
  </si>
  <si>
    <t>Permissible Range(Man hours)</t>
  </si>
  <si>
    <t>WTP Report Parameter Changes</t>
  </si>
  <si>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</si>
  <si>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</si>
  <si>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</si>
  <si>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</si>
  <si>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</si>
  <si>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</si>
  <si>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</si>
  <si>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</si>
  <si>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Estimation Elements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</si>
  <si>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</si>
  <si>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</si>
  <si>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</si>
  <si>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</si>
  <si>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</si>
  <si>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</si>
  <si>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</si>
  <si>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</si>
  <si>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</si>
  <si>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</si>
  <si>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</si>
  <si>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</si>
  <si>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</si>
  <si>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</si>
  <si>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 xml:space="preserve">5 - Very Strong Influence </t>
  </si>
  <si>
    <t>Medium</t>
  </si>
  <si>
    <t xml:space="preserve">4 - Strong Influence 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</si>
  <si>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</si>
  <si>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</si>
  <si>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</si>
  <si>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</si>
  <si>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</si>
  <si>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</si>
  <si>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</si>
  <si>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</si>
  <si>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</si>
  <si>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</si>
  <si>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</si>
  <si>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</si>
  <si>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</si>
  <si>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</si>
  <si>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</si>
  <si>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</si>
  <si>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</si>
  <si>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</si>
  <si>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 xml:space="preserve">Development &amp; Enhancement </t>
  </si>
  <si>
    <t>Point / per hour</t>
  </si>
  <si>
    <t>1  Point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</si>
  <si>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</si>
  <si>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</si>
  <si>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</si>
  <si>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</si>
  <si>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</si>
  <si>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</si>
  <si>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r>
      <rPr>
        <b/>
        <sz val="10"/>
        <color theme="1"/>
        <rFont val="Aptos Display"/>
      </rPr>
      <t>Elements</t>
    </r>
    <r>
      <rPr>
        <sz val="10"/>
        <color theme="1"/>
        <rFont val="Aptos Display"/>
      </rPr>
      <t xml:space="preserve">
Label
Graph
Tile
Grid
Pop-up
Drop Down
Data Entery Field
Button
Custom Built element</t>
    </r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</si>
  <si>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</si>
  <si>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</si>
  <si>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</si>
  <si>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</si>
  <si>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</si>
  <si>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</si>
  <si>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</si>
  <si>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</si>
  <si>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</si>
  <si>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</si>
  <si>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</si>
  <si>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</si>
  <si>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</si>
  <si>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</si>
  <si>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</si>
  <si>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</si>
  <si>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3 to 5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</si>
  <si>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</si>
  <si>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</si>
  <si>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</si>
  <si>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</si>
  <si>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</si>
  <si>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</si>
  <si>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</si>
  <si>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</si>
  <si>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</si>
  <si>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</si>
  <si>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</si>
  <si>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</si>
  <si>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</si>
  <si>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</si>
  <si>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</si>
  <si>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</si>
  <si>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</si>
  <si>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</si>
  <si>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</si>
  <si>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</si>
  <si>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r>
      <rPr>
        <b/>
        <sz val="10"/>
        <color theme="1"/>
        <rFont val="Aptos Display"/>
      </rPr>
      <t>Code element</t>
    </r>
    <r>
      <rPr>
        <sz val="10"/>
        <color theme="1"/>
        <rFont val="Aptos Display"/>
      </rPr>
      <t xml:space="preserve">
Data Tranformation
Data Pre-processing
Custom Build element
API creation for UI\UX
API Integration</t>
    </r>
  </si>
  <si>
    <t>Module + sub Module</t>
  </si>
  <si>
    <t>Total Count</t>
  </si>
  <si>
    <t>Total Planned effort</t>
  </si>
  <si>
    <t>Add New Vendor to Empanelled List</t>
  </si>
  <si>
    <t>Create API and Service for Inspector</t>
  </si>
  <si>
    <t>View Factory Testing Summary Dashboard</t>
  </si>
  <si>
    <t>TOTAL DHARA CR ESTIMATION</t>
  </si>
  <si>
    <t>Nirmal - Change Request - Beneficiary Report</t>
  </si>
  <si>
    <t>Yes</t>
  </si>
  <si>
    <t>Anusharavan - UI/UX Redesign</t>
  </si>
  <si>
    <t>Redesigning Inner Pages of Jal Rekha</t>
  </si>
  <si>
    <t>Anusharavan - RFI Module</t>
  </si>
  <si>
    <t>RFI : MBR Changes for Schemes</t>
  </si>
  <si>
    <t>Anusharavan - RFI Reports</t>
  </si>
  <si>
    <t>TOTAL BHAROSA ESTIMATION</t>
  </si>
  <si>
    <t>O&amp;M Billing - Security</t>
  </si>
  <si>
    <t>TOTAL O&amp;M BILLING ESTIMATION (CYCLE 3)</t>
  </si>
  <si>
    <t>CMMI Doc - Documentation</t>
  </si>
  <si>
    <t>Data Collection for Cycle 3</t>
  </si>
  <si>
    <t>Data collection sheet template; Module-wise data entry (Requirement, Design, Coding, Testing efforts); Defect data capture (Review defects, Internal testing, UAT, Production); Metrics calculation (Productivity, DRE, Cycle Time); Data validation rules; No of input fields: 15-20; Exit scenario: 2 (Save, Submit); No of Validations: 10+; API Integrations: 2-3; Business rules: Metrics formula validation across multiple module data stores; Reports: Data Collection Summary Report</t>
  </si>
  <si>
    <t>Baseline 2 and RCA Documentation</t>
  </si>
  <si>
    <t>Baseline 2 document creation; AS-IS metrics compilation (Productivity mean, DRE, Cycle Time); Statistical control charts (UCL, LCL); RCA (Root Cause Analysis) using 5-Why; Target metrics definition; No of input fields: 10-15; Exit scenario: 2 (Save, Approve); No of Validations: 5-10; Business rules: Statistical analysis across historical data stores; Reports: Baseline document with charts; Data Migration: Historical data aggregation</t>
  </si>
  <si>
    <t>Document Creation &amp; CMMI Review Meeting</t>
  </si>
  <si>
    <t>Document creation (Baseline, RCA, Action Plan); Review meeting scheduling and conduct; Meeting minutes documentation; Feedback incorporation; Stakeholder approval; No of input fields: 10-15; Exit scenario: 2-3 (Save, Review, Approve); No of Validations: 5-10; API Integrations: 2 (document store, notification); Business rules: Document version control; Reports: Meeting minutes, Action item tracker</t>
  </si>
  <si>
    <t>CMMI Documentation for Cycle 2</t>
  </si>
  <si>
    <t>Cycle 2 data collection sheet completion; Metrics calculation (Productivity: 0.1407, DRE: 0.8776, Cycle Time: 1.877); Defect data compilation; CMMI L5 format compliance; Document review and approval; No of input fields: 15-20; Exit scenario: 2 (Save, Approve); No of Validations: 10+; Business rules: CMMI L5 standards compliance across multiple data sources; Reports: Cycle 2 comprehensive report</t>
  </si>
  <si>
    <t>RCA, Action Plan, Artifact, DC Sheet</t>
  </si>
  <si>
    <t>RCA document (Fishbone diagram, 5-Why); Action Plan (Actions, Owners, Timelines); Artifacts repository (Design docs, Checklists, Test plans); DC Sheet update; Traceability matrix; No of input fields: 15-20; Exit scenario: 2-3 (Save, Upload, Approve); No of Validations: 5-10; API Integrations: 2-3 (artifact store, document mgmt); Business rules: Action tracking logic across stores; Reports: RCA report, Action plan tracker</t>
  </si>
  <si>
    <t>SEPG Meeting &amp; Induction Training</t>
  </si>
  <si>
    <t>SEPG meeting agenda and conduct; Induction training delivery (20+ attendees); Training materials (QPM, CAR, OPP); Attendance tracking; Feedback collection; No of input fields: 10-15; Exit scenario: 2 (Save, Complete); No of Validations: 3-5; API Integrations: 2 (training portal, notification); Business rules: Training completion tracking; Reports: Training attendance, Feedback summary</t>
  </si>
  <si>
    <t>CMMI L5 Document (5 Why Analysis)</t>
  </si>
  <si>
    <t>5 Why Analysis for defects; Root cause identification (Requirement, Design, Code, Testing); Preventive actions definition; Implementation plan; Closure tracking; No of input fields: 10-15; Exit scenario: 2 (Save, Approve); No of Validations: 5-10; API Integrations: 2; Business rules: RCA methodology; Reports: 5 Why Analysis document</t>
  </si>
  <si>
    <t>CMMI L5 Cycle 2 Document &amp; DRE Defect Sheet</t>
  </si>
  <si>
    <t>Cycle 2 comprehensive document; DRE Defect Sheet (Review defects: 31, Design: 28, Code: 44, Internal: 52, UAT: 12); DRE calculation per module; Statistical analysis (Mean: 0.8776, UCL: 1.1238, LCL: 0.6315); Outlier identification; DRE target setting (0.85); No of input fields: 15-20; Exit scenario: 2 (Save, Approve); No of Validations: 10+; Business rules: DRE calculation logic across defect data stores; Reports: DRE analysis report with charts</t>
  </si>
  <si>
    <t>CMMI L5 Estimation Sheet for All Modules</t>
  </si>
  <si>
    <t>Estimation sheet for 8 modules (Dhara, Master, Nirmal, Sopan, FHTC, Bharosa, O&amp;M Billing, Sahbhagita); FP calculation (Low, Medium, High complexity); VAF factor rating (14 factors); Effort calculation with contingency; Permissible range calculation (±5%); Formula validation; No of input fields: 20+; Exit scenario: 2 (Save, Finalize); No of Validations: 10+; API Integrations: Not applicable; Business rules: Complex FP calculation logic with VAF across all module stores; Reports: Estimation summary report</t>
  </si>
  <si>
    <t>Requirement, Code, Design Defects Update</t>
  </si>
  <si>
    <t>Requirement Review Defects update (total: 31); Design Review Defects update (total: 28); Code Review Defects update (total: 44); Defect severity categorization (Critical, High, Medium, Low); Defect trend analysis; Artifact linkage; No of input fields: 10-15; Exit scenario: 2 (Save, Finalize); No of Validations: 5-10; API Integrations: 2-3; Business rules: Defect categorization logic; Reports: Defect trend analysis report with charts</t>
  </si>
  <si>
    <t>TOTAL CMMI DOCUMENTATION ESTIMATION</t>
  </si>
  <si>
    <t>Bharosa/Anusharavan RFI - Cube Testing</t>
  </si>
  <si>
    <t>Cube Testing Requirement Gathering Sessions</t>
  </si>
  <si>
    <t>Stakeholder interviews (Civil Engineers, Lab Technicians, GM); Business requirements documentation; Functional requirements capture (Form fields, Validations, Workflows); Requirement review meetings; Stakeholder sign-off; No of input fields: Not applicable; Exit scenario: Not applicable; No of Validations: Not applicable; Business rules: Requirements documentation standards; Reports: BRD (Business Requirements Document)</t>
  </si>
  <si>
    <t>Cube Testing Requirement Analysis</t>
  </si>
  <si>
    <t>Requirement analysis document; Use cases (Sample registration, Curing, 7-day test, 28-day test, Result approval); Data model definition (Cube ID, Sample Date, Curing Period, Test Date, Compressive Strength, Pass/Fail); User roles definition; Integration points identification; No of input fields: Not applicable; Exit scenario: Not applicable; No of Validations: Not applicable; Business rules: Data model design across RFI and Component integration points; Reports: Functional Specification Document</t>
  </si>
  <si>
    <t>Wireframe Creation - Web Screens</t>
  </si>
  <si>
    <t>Wireframes for web (Cube Sample Registration, Test Entry Form, TPIA Verification, GM Approval Dashboard, Test Reports); Form fields, buttons, navigation flow included; Responsive design specification; Stakeholder review and approval; No of input fields: Web form wireframes show 10-15 fields; Exit scenario: Wireframes show 2-3 exits; No of Validations: Wireframes indicate 5-10 validation points; Business rules: UI/UX design standards</t>
  </si>
  <si>
    <t>Wireframe Creation - Mobile Screens</t>
  </si>
  <si>
    <t>Wireframes for mobile (Sample Collection, Test Result Entry, Photo Upload, History); Mobile-optimized layout (5-7 inch screens); Material Design guidelines; Offline-first design; Inspector approval; No of input fields: Mobile wireframes show 8-12 fields; Exit scenario: Wireframes show 2 exits; mobile App-UI: Screen wireframes with 2-4 internal components</t>
  </si>
  <si>
    <t>TOTAL CUBE TESTING ESTIMATION</t>
  </si>
  <si>
    <t>Material Testing - GM/Contractor Login</t>
  </si>
  <si>
    <t>GM Forward to SQC Assignment</t>
  </si>
  <si>
    <t>Forward button; SQC notification; Request queue management; Status update to "Pending SQC"; Workflow history; No of input fields: &lt;10; Exit scenario: 2; No of Validations: 3-5; API Integrations: 2-3; Business rules: Workflow routing logic; Notification service</t>
  </si>
  <si>
    <t>SQC Assign to FE for Testing</t>
  </si>
  <si>
    <t>SQC request queue; FE dropdown with workload; Assignment notification; Status update to "Assigned to FE"; Reassignment option; No of input fields: 8-10; Exit scenario: 2 (Assign, Reassign); No of Validations: 5-10; API Integrations: 2-3; Business rules: FE availability logic; Assignment history</t>
  </si>
  <si>
    <t>Material Testing Web Report "Pending At PIU"</t>
  </si>
  <si>
    <t>Report interface; Filter by Scheme/Date/Material/Contractor; Columns (Request ID, Component, Material, Quantity, Vendor, Days Pending, FE); Color-coded aging (Green &lt;5 days, Yellow 5-10, Red &gt;10); Export to Excel/PDF; No of input fields: 10-15 (filters); Exit scenario: 2 (View, Export); No of Validations: 5-10; API Integrations: 2-3; Reports: Tabular report with 2-3 data sources</t>
  </si>
  <si>
    <t>Insert API Development and Validation</t>
  </si>
  <si>
    <t>Insert API creation (POST /api/v1/material-test/create); JSON payload validation; Postman test cases; Database value verification; HTTP status codes; No of input fields: Not applicable; Exit scenario: Not applicable; No of Validations: 10+ (API validation); API Integrations: 1 core insert API; Business rules: Data insertion logic; API response &lt;2s</t>
  </si>
  <si>
    <t>Test Case Creation - Contractor Workflow</t>
  </si>
  <si>
    <t>Test cases (Request creation, GM approval/rejection, SQC assignment, FE submission); Positive/negative/boundary scenarios; Test data preparation (50+ scenarios); Expected vs actual results; Traceability matrix; No of input fields: Not applicable; Exit scenario: Not applicable; No of Validations: Test coverage for 10+ validation scenarios; Reports: Test execution report</t>
  </si>
  <si>
    <t>Fetch Functions (ESR, Scheme, User Lists)</t>
  </si>
  <si>
    <t>Function fn_get_esr_details (ESR info by scheme_id); Function fn_get_scheme_list (147 schemes with filters); Function fn_get_esr_list (ESR master); Function fn_get_user_list (users by role); Performance &lt;1s; Null handling; No of input fields: Not applicable; Exit scenario: Not applicable; No of Validations: 5-10; API Integrations: 4 functions; Business rules: Data retrieval logic</t>
  </si>
  <si>
    <t>Material Testing - FE Login</t>
  </si>
  <si>
    <t>FE Material Testing at Geofenced Location</t>
  </si>
  <si>
    <t>GPS capture before test entry; Geofence validation (within 50m); Warning if outside geofence; Submission block on fail; GPS accuracy ±10m; No of input fields: 10-15 (test entry form); Exit scenario: 2 (Submit, Cancel); No of Validations: 10+; API Integrations: 3-5 (GPS, geofence, submit); Business rules: Location-based validation; mobile App-UI: Screen with external GPS component</t>
  </si>
  <si>
    <t>Mobile FE UI Design and API Integration</t>
  </si>
  <si>
    <t>Mobile UI wireframes (Login, Assignment List, Test Entry, Photo Upload, History); API integration (Get Assignments, Submit Result, Upload Photo, Sync); Token authentication; Response time &lt;3s on 3G; Offline queue; No of input fields: Varies by screen; Exit scenario: 2-3 per screen; No of Validations: 5-10; API Integrations: 5+; Business rules: Offline-first design; mobile App-UI: Material Design with 2-4 internal components</t>
  </si>
  <si>
    <t>Sync API for Multiple Dropdowns</t>
  </si>
  <si>
    <t>Sync API for master data (Material types, Test parameters, Vendors, Schemes, Components); Triggered on FE login and daily auto-sync; Incremental sync for changed records; Compressed JSON; Offline cache expiry: 7 days; Manual refresh; No of input fields: Not applicable; Exit scenario: 1 (Sync); No of Validations: 5-10; API Integrations: 1 sync API with multiple data sources; Business rules: Sync logic with compression</t>
  </si>
  <si>
    <t>Test Case Creation - FE Workflow</t>
  </si>
  <si>
    <t>Test cases (FE login, Assignment view, Geofence validation, Test result entry, Offline mode, Sync, Photo upload); Device compatibility (Android 8+, iOS 13+); Network scenarios (4G, 3G, 2G, Offline); Test execution report; No of input fields: Not applicable; Exit scenario: Not applicable; No of Validations: Test coverage for 10+ scenarios; mobile App-UI: Test scenarios for mobile components; Reports: Test execution report</t>
  </si>
  <si>
    <t>TOTAL MATERIAL TESTING ESTIMATION</t>
  </si>
  <si>
    <t>Nirmal - Change Request - WTP, OHT, Beneficiary Report</t>
  </si>
  <si>
    <t>Parameter modification fields; Report template restructure; New parameter field addition; Validation rules; Version control; Backward compatibility; No of input fields: 10-15; Exit scenario: 2; No of Validations: 5-10; Prefilled fields: 10-30; API Integrations: 2-3; Business rules: Parameter dependency across data stores</t>
  </si>
  <si>
    <t>Nirmal Reports (Beneficiary, OHT, WTP, RawWater)</t>
  </si>
  <si>
    <t>4 report types accessible; Beneficiary Report (household-level); OHT Report (tank water quality); WTP Report (treated water); RawWater Report (source water); Consistent layout and filters; No of input fields: 8-10 (filters); Exit scenario: 2 (View, Export); No of Validations: 5-10; API Integrations: 3-5; Reports: 4 report types, 2-3 data sources each</t>
  </si>
  <si>
    <t>2 Additional Drill-down Levels (OHT, WTP, RawWater)</t>
  </si>
  <si>
    <t>Drill-down Level 1: Scheme → Level 2: Component → Level 3: Sample → Level 4: Parameter; Breadcrumb navigation; Filter persistence; Export all levels; Navigation &lt;2s; No of input fields: Not applicable; Exit scenario: 4 (drill-down levels); No of Validations: 5-10; API Integrations: 3-5; Reports: Multi-level drill-down with 3+ data sources</t>
  </si>
  <si>
    <t>Beneficiary Water Test Report - Parameter Level Changes</t>
  </si>
  <si>
    <t>Parameter-level details (pH, TDS, Chlorine, E.coli, Turbidity); Each parameter shows (Value, Unit, Standard Range, Pass/Fail); Failed parameters highlighted red; Parameter-wise trend chart; Export includes all parameters; No of input fields: 10-15; Exit scenario: 2; No of Validations: 10+; API Integrations: 2-3; Reports: Parameter-level report with charts</t>
  </si>
  <si>
    <t>Action Remarks Addition (Contractor and GM)</t>
  </si>
  <si>
    <t>"Action Remarks" field in drill-down reports; Contractor/GM can add remarks; Remarks display with user, role, timestamp; Character limit: 500; Remarks searchable and exportable; Chat box UI for remarks; No of input fields: 1 (remarks field); Exit scenario: 2 (Save, Cancel); No of Validations: 3-5; API Integrations: 2; Business rules: Remarks thread management</t>
  </si>
  <si>
    <t>2 Additional Drill-down Levels (Beneficiary)</t>
  </si>
  <si>
    <t>Drill-down Level 1: Scheme → Level 2: Village → Level 3: Household → Level 4: Sample → Level 5: Parameter; Each level maintains filters; Breadcrumb available; Export includes all levels; Navigation &lt;2s; No of input fields: Not applicable; Exit scenario: 5 (drill-down levels); No of Validations: 5-10; API Integrations: 3-5; Reports: Multi-level with 3+ data sources</t>
  </si>
  <si>
    <t>Nirmal - Change Request - Reports</t>
  </si>
  <si>
    <t>Increased Component Filter in Existing Reports</t>
  </si>
  <si>
    <t>Component filter dropdown (Intake, WTP, OHT, ESR, Beneficiary, Pipeline); Multi-select filter; Reports refresh by components; "Select All" and "Clear All" options; Filter persistence; URL parameters for bookmarking; No of input fields: 1 (multi-select dropdown); Exit scenario: 2; No of Validations: 3-5; API Integrations: 2; Business rules: Component filtering logic</t>
  </si>
  <si>
    <t>OHT with OHT-Village Mapping in Reports</t>
  </si>
  <si>
    <t>OHT reports display associated villages; One-to-many relationship (1 OHT → multiple villages); Click on OHT drills to village list; Village list shows population, households, taps; Export includes OHT-village mapping; Data accuracy verified with Master; No of input fields: Not applicable; Exit scenario: 2; No of Validations: 3-5; API Integrations: 2-3; Reports: OHT-village relationship report</t>
  </si>
  <si>
    <t>UI Changes - Link Button Click and Chat Box for Action Remarks</t>
  </si>
  <si>
    <t>Link button opens drill-down (new tab or modal); Action Remarks UI as chatbox; Chatbox shows thread (Contractor → GM → Contractor); New drill-down "Still Pending Test Cases" report; Pending highlighted red; UI responsive; No of input fields: Not applicable; Exit scenario: 2-3; No of Validations: 3-5; API Integrations: 2-3; mobile App-UI: Responsive UI with chat component</t>
  </si>
  <si>
    <t>Action button opens popup table; Popup shows (Sample ID, Collection Date, Test Status, Previous Remarks); Contractor popup allows new remarks; GM popup allows approval/rejection; Popup includes Save, Cancel, Close; AJAX save (no page refresh); No of input fields: 5-10 (popup form); Exit scenario: 3 (Save, Cancel, Close); No of Validations: 5-10; API Integrations: 2; Business rules: Popup data management</t>
  </si>
  <si>
    <t>TOTAL NIRMAL ESTIMATION (CYCLE 3)</t>
  </si>
  <si>
    <t>FHTC - GM / Contractor Reports</t>
  </si>
  <si>
    <t>FHTC - CR - FE / Reports</t>
  </si>
  <si>
    <t>New Web Page Creation / Modification</t>
  </si>
  <si>
    <t>TOTAL FHTC ESTIMATION (CYCLE 3)</t>
  </si>
  <si>
    <t>Dhara CR - Change Request - Dhara Reports</t>
  </si>
  <si>
    <t>Dhara CR - Security Vulnerability</t>
  </si>
  <si>
    <t>TOTAL DHARA CR ESTIMATION (CYCLE 3)</t>
  </si>
  <si>
    <t>Sahbhagita - Sahbhagita Reports</t>
  </si>
  <si>
    <t>Video Functionality Updates (Size and Format)</t>
  </si>
  <si>
    <t>Video file size limit increased to 50MB; Supported formats expanded (MP4, AVI, MOV, MKV, WebM); Video compression (70% size reduction); Upload progress indicator; Video thumbnail generated; Video playback in browser; Preview before upload; No of input fields: 1 (video upload); Exit scenario: 2 (Upload, Cancel); No of Validations: 5-10; API Integrations: 3-4 (upload, compression, storage, thumbnail); Business rules: Video validation and compression logic</t>
  </si>
  <si>
    <t>Sahbhagita - Change Request - GM / PM</t>
  </si>
  <si>
    <t>Village-wise Triggers - Get_VillageForApproval Function</t>
  </si>
  <si>
    <t>Database function Get_VillageForApproval created; Function returns villages pending approval with survey count; Report displays village-wise pending approvals; Click on village drills to survey list; Function performance &lt;1s; Integration with approval workflow; No of input fields: Not applicable; Exit scenario: Not applicable; No of Validations: 5-10; Business rules: Village approval logic; Reports: Village-wise approval report</t>
  </si>
  <si>
    <t>ISA Dependent on Scheme and District Service</t>
  </si>
  <si>
    <t>New service: ISA_Dependency_Service; Filter flow implementation: PIU → Scheme → District → ISA → Village; API endpoint: /api/v1/sahbhagita/get-isa-by-scheme-district; Service validates hierarchical relationships; Tested with all 147 schemes; Service response &lt;2s; No of input fields: Not applicable; Exit scenario: Not applicable; No of Validations: 10+; API Integrations: 1 core service with 5+ integration points; Business rules: Complex hierarchy validation across multiple data stores</t>
  </si>
  <si>
    <t>Update Sahbhagita ISA Bill Form</t>
  </si>
  <si>
    <t>ISA Bill Form updated with Scheme and District linkage; ISA dropdown filtered by Scheme-District; Bill amount auto-calculation based on activity count; Supporting document upload (PDF, 10MB); Submit and Save as Draft buttons; Bill submission triggers approval workflow; No of input fields: 15-20; Exit scenario: 2-3 (Submit, Save Draft, Cancel); No of Validations: 5-10; Prefilled fields: 30-50; API Integrations: 2-3; Business rules: Bill calculation logic; Data Migration: Form schema update</t>
  </si>
  <si>
    <t>TOTAL SAHBHAGITA ESTIMATION (CYCLE 3)</t>
  </si>
  <si>
    <t>RFI Report - Pending Status, In Progress &amp; Send for Approval Status</t>
  </si>
  <si>
    <t>GM Login. Basic Details &amp; Assign Components to Concerned Role</t>
  </si>
  <si>
    <t>Review and Visualize Generated Compliance Report</t>
  </si>
  <si>
    <t>Inspector Login to Factory Testing &amp; Fetch Component Details</t>
  </si>
  <si>
    <t>Fill Details on Mobile App &amp; Upload Doc, Images, and Videos</t>
  </si>
  <si>
    <t>Bharosa - CR Reports View</t>
  </si>
  <si>
    <t>Bharosa Change requests and report level changes</t>
  </si>
  <si>
    <t>Development</t>
  </si>
  <si>
    <t>Jal Rekha</t>
  </si>
  <si>
    <t>Bharosa Module</t>
  </si>
  <si>
    <t>Contractor Request to GM Approval &amp; Reject</t>
  </si>
  <si>
    <t>Request form (Component, Material, Quantity, Vendor, Test parameters); Request details view; Approve/Reject buttons; Mandatory remarks for rejection; GM notification; Status tracking; Draft functionality; No of input fields: &lt;10; Exit scenario: 2(Submit, Save Draft); No of Validations: 5-10; Business rules: Request validation across data stores: 3 ; Workflow: Contractor → GM</t>
  </si>
  <si>
    <t>FHTC Survey Page UI Changes &amp; Samagra Multiple Family ID Issue Resolution</t>
  </si>
  <si>
    <t>FE and GM LOGIN</t>
  </si>
  <si>
    <t>Report Updates for GM &amp; ContractorModule</t>
  </si>
  <si>
    <t>Popup Tables on Action Button (Contractor and GM) &amp; Search Options and Comments Box on All Reports</t>
  </si>
  <si>
    <t>New Page for Approval of Survey Reports, Report Modification Shown</t>
  </si>
  <si>
    <t>New page "Survey Approval" created; Pending survey list display; Survey details (Village, NGO, Activity, Date, Participants, Video/Photo evidence); Approve and Reject buttons; Mandatory remarks for rejection; Approval notification to PM and NGO; ,  Report modifications visible in Sahbhagita Reports menu; Updated columns (Activity Type, Participation Count, NGO Name, ISA Name, Video Evidence); Report layout improved; Filter options expanded (Date range, Village, ISA, NGO); Export to Excel/PDF; Report load time &lt;3s; No of input fields: 8-10 (filters); Exit scenario: 2 (View, Export); No of Validations: 3-5; API Integrations: 2-3; Reports: Enhanced tabular report with 2-3 data sources</t>
  </si>
  <si>
    <t xml:space="preserve">5.55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</si>
</sst>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;[Red]0.0"/>
  </numFmts>
  <fonts count="26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Play"/>
    </font>
    <font>
      <sz val="11"/>
      <color theme="1"/>
      <name val="Play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Play"/>
    </font>
    <font>
      <b/>
      <sz val="12"/>
      <color theme="1"/>
      <name val="Play"/>
    </font>
    <font>
      <sz val="11"/>
      <color theme="1"/>
      <name val="Calibri"/>
      <family val="2"/>
    </font>
    <font>
      <b/>
      <sz val="10"/>
      <color theme="1"/>
      <name val="Aptos Display"/>
    </font>
    <font>
      <sz val="10"/>
      <color theme="1"/>
      <name val="Aptos Display"/>
    </font>
    <font>
      <sz val="10"/>
      <color theme="1"/>
      <name val="Aptos Display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8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2" fontId="5" fillId="4" borderId="1" xfId="0" applyNumberFormat="1" applyFont="1" applyFill="1" applyBorder="1" applyAlignment="1">
      <alignment horizontal="left" vertical="top"/>
    </xf>
    <xf numFmtId="9" fontId="5" fillId="4" borderId="1" xfId="0" applyNumberFormat="1" applyFont="1" applyFill="1" applyBorder="1" applyAlignment="1">
      <alignment horizontal="left" vertical="top"/>
    </xf>
    <xf numFmtId="2" fontId="3" fillId="4" borderId="1" xfId="0" applyNumberFormat="1" applyFont="1" applyFill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6" fillId="0" borderId="0" xfId="1"/>
    <xf numFmtId="0" fontId="7" fillId="9" borderId="5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left" vertical="center" wrapText="1"/>
    </xf>
    <xf numFmtId="14" fontId="8" fillId="0" borderId="5" xfId="1" applyNumberFormat="1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vertical="center"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/>
    <xf numFmtId="0" fontId="9" fillId="2" borderId="5" xfId="1" applyFont="1" applyFill="1" applyBorder="1" applyAlignment="1">
      <alignment horizontal="left" vertical="top" wrapText="1"/>
    </xf>
    <xf numFmtId="0" fontId="8" fillId="0" borderId="5" xfId="1" applyFont="1" applyBorder="1" applyAlignment="1">
      <alignment vertical="top" wrapText="1"/>
    </xf>
    <xf numFmtId="0" fontId="8" fillId="0" borderId="5" xfId="1" applyFont="1" applyBorder="1" applyAlignment="1">
      <alignment vertical="top"/>
    </xf>
    <xf numFmtId="0" fontId="5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wrapText="1"/>
    </xf>
    <xf numFmtId="0" fontId="5" fillId="10" borderId="5" xfId="1" applyFont="1" applyFill="1" applyBorder="1"/>
    <xf numFmtId="0" fontId="5" fillId="10" borderId="5" xfId="1" applyFont="1" applyFill="1" applyBorder="1" applyAlignment="1">
      <alignment horizontal="left" vertical="center" wrapText="1"/>
    </xf>
    <xf numFmtId="0" fontId="10" fillId="2" borderId="5" xfId="1" applyFont="1" applyFill="1" applyBorder="1" applyAlignment="1">
      <alignment horizontal="center" wrapText="1"/>
    </xf>
    <xf numFmtId="0" fontId="8" fillId="0" borderId="0" xfId="1" applyFont="1" applyAlignment="1">
      <alignment wrapText="1"/>
    </xf>
    <xf numFmtId="0" fontId="10" fillId="0" borderId="5" xfId="1" applyFont="1" applyBorder="1" applyAlignment="1">
      <alignment horizontal="center" wrapText="1"/>
    </xf>
    <xf numFmtId="0" fontId="10" fillId="0" borderId="5" xfId="1" applyFont="1" applyBorder="1" applyAlignment="1">
      <alignment horizont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Border="1"/>
    <xf numFmtId="0" fontId="11" fillId="0" borderId="5" xfId="1" applyFont="1" applyBorder="1" applyAlignment="1">
      <alignment wrapText="1"/>
    </xf>
    <xf numFmtId="0" fontId="8" fillId="0" borderId="5" xfId="1" applyFont="1" applyBorder="1" applyAlignment="1">
      <alignment wrapText="1"/>
    </xf>
    <xf numFmtId="0" fontId="8" fillId="0" borderId="5" xfId="1" applyFont="1" applyBorder="1"/>
    <xf numFmtId="0" fontId="12" fillId="0" borderId="5" xfId="1" applyFont="1" applyBorder="1"/>
    <xf numFmtId="0" fontId="12" fillId="0" borderId="6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9" fontId="12" fillId="0" borderId="5" xfId="1" applyNumberFormat="1" applyFont="1" applyBorder="1" applyAlignment="1">
      <alignment horizontal="center"/>
    </xf>
    <xf numFmtId="0" fontId="5" fillId="0" borderId="5" xfId="1" applyFont="1" applyBorder="1"/>
    <xf numFmtId="9" fontId="5" fillId="0" borderId="5" xfId="1" applyNumberFormat="1" applyFont="1" applyBorder="1" applyAlignment="1">
      <alignment horizontal="center"/>
    </xf>
    <xf numFmtId="9" fontId="5" fillId="0" borderId="5" xfId="1" applyNumberFormat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vertical="top" wrapText="1"/>
    </xf>
    <xf numFmtId="0" fontId="9" fillId="0" borderId="5" xfId="1" applyFont="1" applyBorder="1" applyAlignment="1">
      <alignment vertical="top"/>
    </xf>
    <xf numFmtId="0" fontId="9" fillId="0" borderId="5" xfId="1" applyFont="1" applyBorder="1" applyAlignment="1">
      <alignment horizontal="center" vertical="top" wrapText="1"/>
    </xf>
    <xf numFmtId="0" fontId="9" fillId="0" borderId="5" xfId="1" applyFont="1" applyBorder="1" applyAlignment="1">
      <alignment horizontal="center" vertical="top"/>
    </xf>
    <xf numFmtId="0" fontId="10" fillId="0" borderId="5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/>
    </xf>
    <xf numFmtId="0" fontId="9" fillId="0" borderId="5" xfId="1" applyFont="1" applyBorder="1" applyAlignment="1">
      <alignment vertical="top" wrapText="1"/>
    </xf>
    <xf numFmtId="0" fontId="13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center" vertical="top"/>
    </xf>
    <xf numFmtId="0" fontId="10" fillId="10" borderId="0" xfId="1" applyFont="1" applyFill="1" applyBorder="1" applyAlignment="1">
      <alignment vertical="top"/>
    </xf>
    <xf numFmtId="0" fontId="15" fillId="0" borderId="5" xfId="1" applyFont="1" applyBorder="1" applyAlignment="1">
      <alignment vertical="top" wrapText="1"/>
    </xf>
    <xf numFmtId="0" fontId="15" fillId="0" borderId="5" xfId="1" applyFont="1" applyBorder="1" applyAlignment="1">
      <alignment horizontal="center" vertical="top"/>
    </xf>
    <xf numFmtId="17" fontId="15" fillId="0" borderId="5" xfId="1" quotePrefix="1" applyNumberFormat="1" applyFont="1" applyBorder="1" applyAlignment="1">
      <alignment horizontal="center" vertical="top"/>
    </xf>
    <xf numFmtId="0" fontId="10" fillId="0" borderId="5" xfId="1" applyFont="1" applyBorder="1" applyAlignment="1">
      <alignment vertical="top"/>
    </xf>
    <xf numFmtId="0" fontId="15" fillId="0" borderId="5" xfId="1" applyFont="1" applyBorder="1" applyAlignment="1">
      <alignment vertical="top"/>
    </xf>
    <xf numFmtId="0" fontId="15" fillId="0" borderId="5" xfId="1" quotePrefix="1" applyFont="1" applyBorder="1" applyAlignment="1">
      <alignment horizontal="center" vertical="top"/>
    </xf>
    <xf numFmtId="0" fontId="15" fillId="0" borderId="5" xfId="1" applyFont="1" applyBorder="1" applyAlignment="1">
      <alignment horizontal="center" vertical="top" wrapText="1"/>
    </xf>
    <xf numFmtId="0" fontId="18" fillId="6" borderId="10" xfId="1" applyFont="1" applyFill="1" applyBorder="1" applyAlignment="1">
      <alignment wrapText="1"/>
    </xf>
    <xf numFmtId="0" fontId="19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vertical="top"/>
    </xf>
    <xf numFmtId="0" fontId="5" fillId="3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1" fillId="0" borderId="13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4" fillId="2" borderId="1" xfId="0" applyFont="1" applyFill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24" fillId="3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left" vertical="top" wrapText="1"/>
    </xf>
    <xf numFmtId="0" fontId="24" fillId="3" borderId="1" xfId="0" applyFont="1" applyFill="1" applyBorder="1" applyAlignment="1">
      <alignment horizontal="left" vertical="top" wrapText="1"/>
    </xf>
    <xf numFmtId="0" fontId="24" fillId="2" borderId="2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left" vertical="top"/>
    </xf>
    <xf numFmtId="0" fontId="22" fillId="3" borderId="1" xfId="0" applyFont="1" applyFill="1" applyBorder="1" applyAlignment="1">
      <alignment horizontal="left" vertical="top" wrapText="1"/>
    </xf>
    <xf numFmtId="0" fontId="22" fillId="3" borderId="3" xfId="0" applyFont="1" applyFill="1" applyBorder="1" applyAlignment="1">
      <alignment horizontal="left" vertical="top" wrapText="1"/>
    </xf>
    <xf numFmtId="0" fontId="12" fillId="0" borderId="12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2" fontId="5" fillId="7" borderId="1" xfId="0" applyNumberFormat="1" applyFont="1" applyFill="1" applyBorder="1" applyAlignment="1">
      <alignment horizontal="left" vertical="top"/>
    </xf>
    <xf numFmtId="9" fontId="5" fillId="7" borderId="1" xfId="0" applyNumberFormat="1" applyFont="1" applyFill="1" applyBorder="1" applyAlignment="1">
      <alignment horizontal="left" vertical="top"/>
    </xf>
    <xf numFmtId="2" fontId="3" fillId="7" borderId="1" xfId="0" applyNumberFormat="1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/>
    </xf>
    <xf numFmtId="0" fontId="2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24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/>
    </xf>
    <xf numFmtId="0" fontId="5" fillId="3" borderId="17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5" fillId="6" borderId="3" xfId="0" applyFont="1" applyFill="1" applyBorder="1" applyAlignment="1">
      <alignment horizontal="left" vertical="top"/>
    </xf>
    <xf numFmtId="0" fontId="21" fillId="0" borderId="16" xfId="0" applyFont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0" fontId="5" fillId="8" borderId="17" xfId="0" applyFont="1" applyFill="1" applyBorder="1" applyAlignment="1">
      <alignment horizontal="left" vertical="top" wrapText="1"/>
    </xf>
    <xf numFmtId="0" fontId="5" fillId="8" borderId="15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10" borderId="8" xfId="1" applyFont="1" applyFill="1" applyBorder="1" applyAlignment="1">
      <alignment horizontal="center" vertical="center" wrapText="1"/>
    </xf>
    <xf numFmtId="0" fontId="4" fillId="0" borderId="9" xfId="1" applyFont="1" applyBorder="1"/>
    <xf numFmtId="0" fontId="4" fillId="0" borderId="11" xfId="1" applyFont="1" applyBorder="1"/>
    <xf numFmtId="0" fontId="12" fillId="0" borderId="6" xfId="1" applyFont="1" applyBorder="1" applyAlignment="1">
      <alignment horizontal="center"/>
    </xf>
    <xf numFmtId="0" fontId="4" fillId="0" borderId="7" xfId="1" applyFont="1" applyBorder="1"/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971550" cy="6953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0"/>
          <a:ext cx="971550" cy="695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NJANA/Downloads/Cycle%201%20Estimation-Model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PSeDC%20MPSSDI%20GIS/Jal%20Rekha/CMMI%20Jal%20rekha%20documents%202025/Jan%20June%20Cycle%201/Cycle%201%20estimation/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Guidelines"/>
      <sheetName val="Baseline Productivity 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 refreshError="1"/>
      <sheetData sheetId="1" refreshError="1"/>
      <sheetData sheetId="2" refreshError="1">
        <row r="4">
          <cell r="B4" t="str">
            <v xml:space="preserve">Web Page / Screen with no of input fields </v>
          </cell>
          <cell r="C4">
            <v>10</v>
          </cell>
          <cell r="D4" t="str">
            <v>10-15</v>
          </cell>
          <cell r="E4" t="str">
            <v>&gt; 15</v>
          </cell>
        </row>
        <row r="5">
          <cell r="B5" t="str">
            <v>Type of exit scenario</v>
          </cell>
          <cell r="C5">
            <v>1</v>
          </cell>
          <cell r="D5" t="str">
            <v>1 to 2</v>
          </cell>
          <cell r="E5" t="str">
            <v>&gt;3</v>
          </cell>
        </row>
        <row r="6">
          <cell r="B6" t="str">
            <v>No of Validation on the fields</v>
          </cell>
          <cell r="C6" t="str">
            <v xml:space="preserve">1 to 5 </v>
          </cell>
          <cell r="D6" t="str">
            <v xml:space="preserve">5 To 10 </v>
          </cell>
          <cell r="E6" t="str">
            <v>&gt;10</v>
          </cell>
        </row>
        <row r="7">
          <cell r="B7" t="str">
            <v>No of Prefilled fields</v>
          </cell>
          <cell r="C7" t="str">
            <v>10 to 30</v>
          </cell>
          <cell r="D7" t="str">
            <v>30 to 50</v>
          </cell>
          <cell r="E7" t="str">
            <v>&gt;50</v>
          </cell>
        </row>
        <row r="8">
          <cell r="B8" t="str">
            <v xml:space="preserve">No of API Integrations </v>
          </cell>
          <cell r="C8">
            <v>2</v>
          </cell>
          <cell r="D8" t="str">
            <v>2 to 5</v>
          </cell>
          <cell r="E8" t="str">
            <v xml:space="preserve">&gt; 5 </v>
          </cell>
        </row>
        <row r="9">
          <cell r="B9" t="str">
            <v>No API integrations for saving the data</v>
          </cell>
          <cell r="C9">
            <v>3</v>
          </cell>
          <cell r="D9" t="str">
            <v>3 to 5</v>
          </cell>
          <cell r="E9" t="str">
            <v>&gt;5</v>
          </cell>
        </row>
        <row r="10">
          <cell r="B10" t="str">
            <v>Queries or Business rules for the application</v>
          </cell>
          <cell r="C10" t="str">
            <v>No validation or business rules. One data store</v>
          </cell>
          <cell r="D10" t="str">
            <v>No validation or business rules. Up to 3 data stores</v>
          </cell>
          <cell r="E10" t="str">
            <v>Validation or business rules involved. Multiple data stores</v>
          </cell>
        </row>
        <row r="11">
          <cell r="B11" t="str">
            <v>No of Integration</v>
          </cell>
          <cell r="C11">
            <v>2</v>
          </cell>
          <cell r="D11" t="str">
            <v>2 to 5</v>
          </cell>
          <cell r="E11" t="str">
            <v>&gt;5</v>
          </cell>
        </row>
        <row r="12">
          <cell r="B12" t="str">
            <v>mobile App-UI</v>
          </cell>
          <cell r="C12" t="str">
            <v>Static screen</v>
          </cell>
          <cell r="D12" t="str">
            <v xml:space="preserve">Screen with 2-4 internal components
</v>
          </cell>
          <cell r="E12" t="str">
            <v xml:space="preserve">Screen with external components
</v>
          </cell>
        </row>
        <row r="13">
          <cell r="B13" t="str">
            <v>Data Migration</v>
          </cell>
          <cell r="C13" t="str">
            <v xml:space="preserve">Master Table </v>
          </cell>
          <cell r="D13" t="str">
            <v>Table with data errors and involves Data validation and cleansing</v>
          </cell>
          <cell r="E13" t="str">
            <v>Table with relationship with data errors and requires data validation and cleansing</v>
          </cell>
        </row>
        <row r="14">
          <cell r="B14" t="str">
            <v>Reports</v>
          </cell>
          <cell r="C14" t="str">
            <v>tabular report. &lt;10 columns.
1 data source
Elements( Table, PIE chart, 
Report type: 1-2</v>
          </cell>
          <cell r="D14" t="str">
            <v>2-3 data source. Simple (Pie/Bar) chart
Elements( Stack,Line etc.)
Report type: 3-5</v>
          </cell>
          <cell r="E14" t="str">
            <v>&gt;3 data source. Multiple complex graphs
Elements( Doughnut, Trend analysis etc.)
Report type: More than 5</v>
          </cell>
        </row>
      </sheetData>
      <sheetData sheetId="3" refreshError="1">
        <row r="4">
          <cell r="A4" t="str">
            <v xml:space="preserve">Development &amp; Enhancement </v>
          </cell>
          <cell r="C4">
            <v>0.21</v>
          </cell>
          <cell r="D4" t="str">
            <v>Point / per hour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D14" sqref="D14"/>
    </sheetView>
  </sheetViews>
  <sheetFormatPr defaultColWidth="14.36328125" defaultRowHeight="15" customHeight="1"/>
  <cols>
    <col min="1" max="1" width="26.08984375" style="30" customWidth="1"/>
    <col min="2" max="2" width="33.26953125" style="30" customWidth="1"/>
    <col min="3" max="3" width="22" style="30" bestFit="1" customWidth="1"/>
    <col min="4" max="4" width="25.26953125" style="30" customWidth="1"/>
    <col min="5" max="5" width="30.6328125" style="30" customWidth="1"/>
    <col min="6" max="6" width="31.26953125" style="30" hidden="1" customWidth="1"/>
    <col min="7" max="26" width="8.7265625" style="30" customWidth="1"/>
    <col min="27" max="16384" width="14.36328125" style="30"/>
  </cols>
  <sheetData>
    <row r="1" spans="1:26" ht="19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9.5" customHeight="1">
      <c r="A2" s="71"/>
      <c r="B2" s="72" t="s">
        <v>73</v>
      </c>
      <c r="C2" s="73">
        <v>1</v>
      </c>
      <c r="D2" s="73">
        <v>3</v>
      </c>
      <c r="E2" s="73">
        <v>5</v>
      </c>
      <c r="F2" s="74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9.5" customHeight="1">
      <c r="A3" s="73" t="s">
        <v>99</v>
      </c>
      <c r="B3" s="72" t="s">
        <v>100</v>
      </c>
      <c r="C3" s="73" t="s">
        <v>18</v>
      </c>
      <c r="D3" s="73" t="s">
        <v>76</v>
      </c>
      <c r="E3" s="73" t="s">
        <v>101</v>
      </c>
      <c r="F3" s="74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 customHeight="1">
      <c r="A4" s="161" t="s">
        <v>102</v>
      </c>
      <c r="B4" s="75" t="s">
        <v>62</v>
      </c>
      <c r="C4" s="76">
        <v>10</v>
      </c>
      <c r="D4" s="77" t="s">
        <v>103</v>
      </c>
      <c r="E4" s="76" t="s">
        <v>104</v>
      </c>
      <c r="F4" s="43" t="s">
        <v>105</v>
      </c>
      <c r="G4" s="63"/>
      <c r="H4" s="64" t="s">
        <v>106</v>
      </c>
      <c r="I4" s="64"/>
      <c r="J4" s="63"/>
      <c r="K4" s="78">
        <v>1</v>
      </c>
      <c r="L4" s="78"/>
      <c r="M4" s="78"/>
      <c r="N4" s="78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9.5" customHeight="1">
      <c r="A5" s="162"/>
      <c r="B5" s="79" t="s">
        <v>63</v>
      </c>
      <c r="C5" s="76">
        <v>1</v>
      </c>
      <c r="D5" s="80" t="s">
        <v>107</v>
      </c>
      <c r="E5" s="76" t="s">
        <v>108</v>
      </c>
      <c r="F5" s="74"/>
      <c r="G5" s="63"/>
      <c r="H5" s="63" t="s">
        <v>109</v>
      </c>
      <c r="I5" s="63" t="s">
        <v>110</v>
      </c>
      <c r="J5" s="63"/>
      <c r="K5" s="78"/>
      <c r="L5" s="78"/>
      <c r="M5" s="78"/>
      <c r="N5" s="78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9.5" customHeight="1">
      <c r="A6" s="162"/>
      <c r="B6" s="79" t="s">
        <v>64</v>
      </c>
      <c r="C6" s="76" t="s">
        <v>111</v>
      </c>
      <c r="D6" s="76" t="s">
        <v>112</v>
      </c>
      <c r="E6" s="76" t="s">
        <v>113</v>
      </c>
      <c r="F6" s="74"/>
      <c r="G6" s="63"/>
      <c r="H6" s="63" t="s">
        <v>114</v>
      </c>
      <c r="I6" s="63"/>
      <c r="J6" s="63"/>
      <c r="K6" s="78"/>
      <c r="L6" s="78"/>
      <c r="M6" s="78"/>
      <c r="N6" s="78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9.5" customHeight="1">
      <c r="A7" s="162"/>
      <c r="B7" s="79" t="s">
        <v>65</v>
      </c>
      <c r="C7" s="76" t="s">
        <v>115</v>
      </c>
      <c r="D7" s="80" t="s">
        <v>116</v>
      </c>
      <c r="E7" s="76" t="s">
        <v>117</v>
      </c>
      <c r="F7" s="74"/>
      <c r="G7" s="63"/>
      <c r="H7" s="63" t="s">
        <v>118</v>
      </c>
      <c r="I7" s="63"/>
      <c r="J7" s="63"/>
      <c r="K7" s="78"/>
      <c r="L7" s="78"/>
      <c r="M7" s="78"/>
      <c r="N7" s="78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9.5" customHeight="1">
      <c r="A8" s="162"/>
      <c r="B8" s="79" t="s">
        <v>66</v>
      </c>
      <c r="C8" s="76">
        <v>2</v>
      </c>
      <c r="D8" s="80" t="s">
        <v>119</v>
      </c>
      <c r="E8" s="76" t="s">
        <v>120</v>
      </c>
      <c r="F8" s="74"/>
      <c r="G8" s="63"/>
      <c r="H8" s="63" t="s">
        <v>121</v>
      </c>
      <c r="I8" s="63"/>
      <c r="J8" s="63"/>
      <c r="K8" s="78"/>
      <c r="L8" s="78"/>
      <c r="M8" s="78"/>
      <c r="N8" s="78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9.5" customHeight="1">
      <c r="A9" s="162"/>
      <c r="B9" s="79" t="s">
        <v>67</v>
      </c>
      <c r="C9" s="76">
        <v>3</v>
      </c>
      <c r="D9" s="80" t="s">
        <v>122</v>
      </c>
      <c r="E9" s="76" t="s">
        <v>123</v>
      </c>
      <c r="F9" s="74"/>
      <c r="G9" s="63"/>
      <c r="H9" s="63" t="s">
        <v>124</v>
      </c>
      <c r="I9" s="63"/>
      <c r="J9" s="63"/>
      <c r="K9" s="78"/>
      <c r="L9" s="78"/>
      <c r="M9" s="78"/>
      <c r="N9" s="78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42" customHeight="1">
      <c r="A10" s="162"/>
      <c r="B10" s="75" t="s">
        <v>68</v>
      </c>
      <c r="C10" s="81" t="s">
        <v>125</v>
      </c>
      <c r="D10" s="43" t="s">
        <v>126</v>
      </c>
      <c r="E10" s="43" t="s">
        <v>127</v>
      </c>
      <c r="F10" s="74"/>
      <c r="G10" s="63"/>
      <c r="H10" s="63" t="s">
        <v>128</v>
      </c>
      <c r="I10" s="63"/>
      <c r="J10" s="63"/>
      <c r="K10" s="78"/>
      <c r="L10" s="78"/>
      <c r="M10" s="78"/>
      <c r="N10" s="78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9.5" customHeight="1">
      <c r="A11" s="162"/>
      <c r="B11" s="79" t="s">
        <v>69</v>
      </c>
      <c r="C11" s="76">
        <v>2</v>
      </c>
      <c r="D11" s="80" t="s">
        <v>119</v>
      </c>
      <c r="E11" s="76" t="s">
        <v>123</v>
      </c>
      <c r="F11" s="74"/>
      <c r="G11" s="63"/>
      <c r="H11" s="63" t="s">
        <v>129</v>
      </c>
      <c r="I11" s="63"/>
      <c r="J11" s="63"/>
      <c r="K11" s="78"/>
      <c r="L11" s="78"/>
      <c r="M11" s="78"/>
      <c r="N11" s="78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31" customHeight="1">
      <c r="A12" s="162"/>
      <c r="B12" s="43" t="s">
        <v>70</v>
      </c>
      <c r="C12" s="43" t="s">
        <v>130</v>
      </c>
      <c r="D12" s="43" t="s">
        <v>131</v>
      </c>
      <c r="E12" s="43" t="s">
        <v>132</v>
      </c>
      <c r="F12" s="74"/>
      <c r="G12" s="63"/>
      <c r="H12" s="63" t="s">
        <v>133</v>
      </c>
      <c r="I12" s="63"/>
      <c r="J12" s="63"/>
      <c r="K12" s="78"/>
      <c r="L12" s="78"/>
      <c r="M12" s="78"/>
      <c r="N12" s="78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46.5" customHeight="1">
      <c r="A13" s="162"/>
      <c r="B13" s="43" t="s">
        <v>71</v>
      </c>
      <c r="C13" s="43" t="s">
        <v>134</v>
      </c>
      <c r="D13" s="43" t="s">
        <v>135</v>
      </c>
      <c r="E13" s="43" t="s">
        <v>136</v>
      </c>
      <c r="F13" s="74"/>
      <c r="G13" s="63"/>
      <c r="H13" s="63" t="s">
        <v>137</v>
      </c>
      <c r="I13" s="63"/>
      <c r="J13" s="63"/>
      <c r="K13" s="78"/>
      <c r="L13" s="78"/>
      <c r="M13" s="78"/>
      <c r="N13" s="78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81.5" customHeight="1">
      <c r="A14" s="162"/>
      <c r="B14" s="82" t="s">
        <v>72</v>
      </c>
      <c r="C14" s="82" t="s">
        <v>138</v>
      </c>
      <c r="D14" s="82" t="s">
        <v>139</v>
      </c>
      <c r="E14" s="82" t="s">
        <v>140</v>
      </c>
      <c r="F14" s="74"/>
      <c r="G14" s="63"/>
      <c r="H14" s="63" t="s">
        <v>141</v>
      </c>
      <c r="I14" s="63"/>
      <c r="J14" s="63"/>
      <c r="K14" s="78"/>
      <c r="L14" s="78"/>
      <c r="M14" s="78"/>
      <c r="N14" s="78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9.5" customHeight="1">
      <c r="A15" s="162"/>
      <c r="B15" s="83"/>
      <c r="C15" s="84"/>
      <c r="D15" s="84"/>
      <c r="E15" s="84"/>
      <c r="F15" s="74"/>
      <c r="G15" s="63"/>
      <c r="H15" s="63" t="s">
        <v>142</v>
      </c>
      <c r="I15" s="63"/>
      <c r="J15" s="63"/>
      <c r="K15" s="78"/>
      <c r="L15" s="78"/>
      <c r="M15" s="78"/>
      <c r="N15" s="78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9.5" customHeight="1">
      <c r="A16" s="162"/>
      <c r="B16" s="83"/>
      <c r="C16" s="84"/>
      <c r="D16" s="84"/>
      <c r="E16" s="84"/>
      <c r="F16" s="74"/>
      <c r="G16" s="63"/>
      <c r="H16" s="63"/>
      <c r="I16" s="63"/>
      <c r="J16" s="63"/>
      <c r="K16" s="78"/>
      <c r="L16" s="78"/>
      <c r="M16" s="78"/>
      <c r="N16" s="78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9.5" customHeight="1">
      <c r="A17" s="162"/>
      <c r="B17" s="83"/>
      <c r="C17" s="84"/>
      <c r="D17" s="84"/>
      <c r="E17" s="84"/>
      <c r="F17" s="74"/>
      <c r="G17" s="63"/>
      <c r="H17" s="63"/>
      <c r="I17" s="63"/>
      <c r="J17" s="63"/>
      <c r="K17" s="78"/>
      <c r="L17" s="78"/>
      <c r="M17" s="78"/>
      <c r="N17" s="78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9.5" customHeight="1">
      <c r="A18" s="162"/>
      <c r="B18" s="83"/>
      <c r="C18" s="84"/>
      <c r="D18" s="84"/>
      <c r="E18" s="84"/>
      <c r="F18" s="74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9.5" customHeight="1">
      <c r="A19" s="163"/>
      <c r="B19" s="43"/>
      <c r="C19" s="43"/>
      <c r="D19" s="43"/>
      <c r="E19" s="43"/>
      <c r="F19" s="43" t="s">
        <v>143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">
    <mergeCell ref="A4:A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A8" sqref="A8"/>
    </sheetView>
  </sheetViews>
  <sheetFormatPr defaultColWidth="14.36328125" defaultRowHeight="15" customHeight="1"/>
  <cols>
    <col min="1" max="1" width="14.81640625" style="30" customWidth="1"/>
    <col min="2" max="2" width="7.81640625" style="30" customWidth="1"/>
    <col min="3" max="3" width="18.36328125" style="30" customWidth="1"/>
    <col min="4" max="4" width="17.08984375" style="30" customWidth="1"/>
    <col min="5" max="5" width="26.26953125" style="30" customWidth="1"/>
    <col min="6" max="26" width="8.7265625" style="30" customWidth="1"/>
    <col min="27" max="16384" width="14.36328125" style="30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31" t="s">
        <v>52</v>
      </c>
      <c r="B5" s="32" t="s">
        <v>53</v>
      </c>
      <c r="C5" s="31" t="s">
        <v>54</v>
      </c>
      <c r="D5" s="31" t="s">
        <v>55</v>
      </c>
      <c r="E5" s="32" t="s">
        <v>56</v>
      </c>
    </row>
    <row r="6" spans="1:5" ht="14.25" customHeight="1">
      <c r="A6" s="33">
        <v>45660</v>
      </c>
      <c r="B6" s="34">
        <v>1</v>
      </c>
      <c r="C6" s="35" t="s">
        <v>57</v>
      </c>
      <c r="D6" s="36" t="s">
        <v>58</v>
      </c>
      <c r="E6" s="36" t="s">
        <v>59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36328125" defaultRowHeight="15" customHeight="1"/>
  <cols>
    <col min="1" max="1" width="35.08984375" style="30" customWidth="1"/>
    <col min="2" max="2" width="33.08984375" style="30" customWidth="1"/>
    <col min="3" max="3" width="22.26953125" style="30" customWidth="1"/>
    <col min="4" max="4" width="26.36328125" style="30" customWidth="1"/>
    <col min="5" max="26" width="8.7265625" style="30" customWidth="1"/>
    <col min="27" max="16384" width="14.36328125" style="30"/>
  </cols>
  <sheetData>
    <row r="1" spans="1:26" ht="14.25" customHeight="1">
      <c r="A1" s="37" t="s">
        <v>60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25" customHeight="1">
      <c r="A2" s="40" t="s">
        <v>27</v>
      </c>
      <c r="B2" s="40" t="s">
        <v>61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>
      <c r="A3" s="41" t="s">
        <v>62</v>
      </c>
      <c r="B3" s="41" t="s">
        <v>62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>
      <c r="A4" s="42" t="s">
        <v>63</v>
      </c>
      <c r="B4" s="42" t="s">
        <v>63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>
      <c r="A5" s="42" t="s">
        <v>64</v>
      </c>
      <c r="B5" s="42" t="s">
        <v>64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>
      <c r="A6" s="42" t="s">
        <v>65</v>
      </c>
      <c r="B6" s="42" t="s">
        <v>65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>
      <c r="A7" s="42" t="s">
        <v>66</v>
      </c>
      <c r="B7" s="42" t="s">
        <v>66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>
      <c r="A8" s="42" t="s">
        <v>67</v>
      </c>
      <c r="B8" s="42" t="s">
        <v>67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>
      <c r="A9" s="41" t="s">
        <v>68</v>
      </c>
      <c r="B9" s="41" t="s">
        <v>68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>
      <c r="A10" s="42" t="s">
        <v>69</v>
      </c>
      <c r="B10" s="42" t="s">
        <v>69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>
      <c r="A11" s="43" t="s">
        <v>70</v>
      </c>
      <c r="B11" s="43" t="s">
        <v>70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>
      <c r="A12" s="43" t="s">
        <v>71</v>
      </c>
      <c r="B12" s="43" t="s">
        <v>71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>
      <c r="A13" s="44" t="s">
        <v>72</v>
      </c>
      <c r="B13" s="44" t="s">
        <v>72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>
      <c r="A14" s="44"/>
      <c r="B14" s="44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>
      <c r="A15" s="44"/>
      <c r="B15" s="44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25" customHeight="1">
      <c r="A16" s="45"/>
      <c r="B16" s="45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>
      <c r="A17" s="44"/>
      <c r="B17" s="44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>
      <c r="A18" s="44"/>
      <c r="B18" s="4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25" customHeight="1">
      <c r="A19" s="44"/>
      <c r="B19" s="44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4.25" customHeight="1">
      <c r="A20" s="44"/>
      <c r="B20" s="44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4.25" customHeight="1">
      <c r="A21" s="44"/>
      <c r="B21" s="44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4.25" customHeight="1">
      <c r="A22" s="46"/>
      <c r="B22" s="46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4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>
      <c r="A25" s="47" t="s">
        <v>73</v>
      </c>
      <c r="B25" s="47" t="s">
        <v>74</v>
      </c>
      <c r="C25" s="47" t="s">
        <v>1</v>
      </c>
      <c r="D25" s="4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>
      <c r="A26" s="49" t="s">
        <v>18</v>
      </c>
      <c r="B26" s="50" t="s">
        <v>27</v>
      </c>
      <c r="C26" s="51">
        <v>5</v>
      </c>
      <c r="D26" s="49" t="s">
        <v>75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>
      <c r="A27" s="49" t="s">
        <v>76</v>
      </c>
      <c r="B27" s="50" t="s">
        <v>61</v>
      </c>
      <c r="C27" s="51">
        <v>4</v>
      </c>
      <c r="D27" s="49" t="s">
        <v>77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>
      <c r="A28" s="49" t="s">
        <v>19</v>
      </c>
      <c r="B28" s="50"/>
      <c r="C28" s="51">
        <v>3</v>
      </c>
      <c r="D28" s="49" t="s">
        <v>78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>
      <c r="A29" s="49" t="s">
        <v>79</v>
      </c>
      <c r="B29" s="50"/>
      <c r="C29" s="51">
        <v>2</v>
      </c>
      <c r="D29" s="49" t="s">
        <v>80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>
      <c r="A30" s="49"/>
      <c r="B30" s="50"/>
      <c r="C30" s="51">
        <v>1</v>
      </c>
      <c r="D30" s="49" t="s">
        <v>81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>
      <c r="A31" s="52"/>
      <c r="B31" s="52"/>
      <c r="C31" s="51">
        <v>0</v>
      </c>
      <c r="D31" s="49" t="s">
        <v>82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>
      <c r="D32" s="4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>
      <c r="D33" s="4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>
      <c r="D34" s="4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>
      <c r="D35" s="4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>
      <c r="A36" s="48"/>
      <c r="C36" s="48"/>
      <c r="D36" s="4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>
      <c r="A37" s="53" t="s">
        <v>83</v>
      </c>
      <c r="B37" s="54"/>
      <c r="C37" s="54"/>
      <c r="D37" s="55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>
      <c r="A38" s="56"/>
      <c r="B38" s="57" t="s">
        <v>84</v>
      </c>
      <c r="C38" s="164" t="s">
        <v>85</v>
      </c>
      <c r="D38" s="165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>
      <c r="A39" s="56"/>
      <c r="B39" s="58"/>
      <c r="C39" s="58" t="s">
        <v>86</v>
      </c>
      <c r="D39" s="58" t="s">
        <v>87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>
      <c r="A40" s="56" t="s">
        <v>88</v>
      </c>
      <c r="B40" s="59">
        <v>0.15</v>
      </c>
      <c r="C40" s="58">
        <v>4000</v>
      </c>
      <c r="D40" s="58">
        <v>6000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>
      <c r="A41" s="56" t="s">
        <v>89</v>
      </c>
      <c r="B41" s="59">
        <v>0.1</v>
      </c>
      <c r="C41" s="58">
        <v>6000</v>
      </c>
      <c r="D41" s="58">
        <v>8000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>
      <c r="A42" s="56" t="s">
        <v>90</v>
      </c>
      <c r="B42" s="59">
        <v>0.4</v>
      </c>
      <c r="C42" s="58">
        <v>3000</v>
      </c>
      <c r="D42" s="58">
        <v>5000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>
      <c r="A43" s="56" t="s">
        <v>91</v>
      </c>
      <c r="B43" s="59">
        <v>0.2</v>
      </c>
      <c r="C43" s="58">
        <v>2500</v>
      </c>
      <c r="D43" s="58">
        <v>5000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>
      <c r="A44" s="56" t="s">
        <v>92</v>
      </c>
      <c r="B44" s="59">
        <v>0.1</v>
      </c>
      <c r="C44" s="58">
        <v>8000</v>
      </c>
      <c r="D44" s="58">
        <v>10000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>
      <c r="A45" s="56" t="s">
        <v>93</v>
      </c>
      <c r="B45" s="59">
        <v>0.05</v>
      </c>
      <c r="C45" s="58">
        <v>3000</v>
      </c>
      <c r="D45" s="58">
        <v>5000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>
      <c r="A46" s="60" t="s">
        <v>88</v>
      </c>
      <c r="B46" s="61">
        <v>0.15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>
      <c r="A47" s="60" t="s">
        <v>89</v>
      </c>
      <c r="B47" s="61">
        <v>0.1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>
      <c r="A48" s="60" t="s">
        <v>90</v>
      </c>
      <c r="B48" s="61">
        <v>0.4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>
      <c r="A49" s="60" t="s">
        <v>91</v>
      </c>
      <c r="B49" s="61">
        <v>0.2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>
      <c r="A50" s="60" t="s">
        <v>92</v>
      </c>
      <c r="B50" s="61">
        <v>0.1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>
      <c r="A51" s="60" t="s">
        <v>93</v>
      </c>
      <c r="B51" s="61">
        <v>0.05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>
      <c r="A52" s="60"/>
      <c r="B52" s="62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>
      <c r="A53" s="38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>
      <c r="A54" s="38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>
      <c r="A55" s="38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>
      <c r="A56" s="38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>
      <c r="A57" s="38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>
      <c r="A58" s="38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>
      <c r="A59" s="38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>
      <c r="A60" s="38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>
      <c r="A61" s="38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>
      <c r="A62" s="38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>
      <c r="A63" s="38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>
      <c r="A64" s="38"/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>
      <c r="A65" s="38"/>
      <c r="B65" s="38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>
      <c r="A66" s="38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>
      <c r="A67" s="38"/>
      <c r="B67" s="38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>
      <c r="A68" s="38"/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>
      <c r="A69" s="38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>
      <c r="A70" s="38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>
      <c r="A71" s="38"/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>
      <c r="A72" s="38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>
      <c r="A73" s="38"/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>
      <c r="A74" s="38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>
      <c r="A75" s="38"/>
      <c r="B75" s="38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>
      <c r="A76" s="38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>
      <c r="A77" s="38"/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>
      <c r="A78" s="38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>
      <c r="A79" s="38"/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>
      <c r="A80" s="38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>
      <c r="A81" s="38"/>
      <c r="B81" s="38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>
      <c r="A82" s="38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>
      <c r="A83" s="38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>
      <c r="A84" s="38"/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>
      <c r="A85" s="38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>
      <c r="A86" s="38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>
      <c r="A87" s="38"/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>
      <c r="A88" s="38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>
      <c r="A89" s="38"/>
      <c r="B89" s="38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>
      <c r="A90" s="38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>
      <c r="A91" s="38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>
      <c r="A92" s="38"/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>
      <c r="A93" s="38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>
      <c r="A94" s="38"/>
      <c r="B94" s="38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>
      <c r="A95" s="38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>
      <c r="A96" s="38"/>
      <c r="B96" s="38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>
      <c r="A97" s="38"/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>
      <c r="A98" s="38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>
      <c r="A99" s="38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>
      <c r="A100" s="38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>
      <c r="A101" s="38"/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>
      <c r="A102" s="38"/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>
      <c r="A103" s="38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.25" customHeight="1">
      <c r="A104" s="38"/>
      <c r="B104" s="38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>
      <c r="A105" s="38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>
      <c r="A106" s="38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>
      <c r="A107" s="38"/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>
      <c r="A108" s="38"/>
      <c r="B108" s="38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>
      <c r="A109" s="38"/>
      <c r="B109" s="38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.25" customHeight="1">
      <c r="A110" s="38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.25" customHeight="1">
      <c r="A111" s="38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>
      <c r="A112" s="38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>
      <c r="A113" s="38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>
      <c r="A114" s="38"/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>
      <c r="A115" s="38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>
      <c r="A116" s="38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>
      <c r="A117" s="38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.25" customHeight="1">
      <c r="A118" s="38"/>
      <c r="B118" s="38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>
      <c r="A119" s="38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>
      <c r="A120" s="38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>
      <c r="A121" s="38"/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>
      <c r="A122" s="38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>
      <c r="A123" s="38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>
      <c r="A124" s="38"/>
      <c r="B124" s="38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>
      <c r="A125" s="38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.25" customHeight="1">
      <c r="A126" s="38"/>
      <c r="B126" s="38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>
      <c r="A127" s="38"/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>
      <c r="A128" s="38"/>
      <c r="B128" s="38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>
      <c r="A129" s="38"/>
      <c r="B129" s="38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>
      <c r="A130" s="38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>
      <c r="A131" s="38"/>
      <c r="B131" s="38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>
      <c r="A132" s="38"/>
      <c r="B132" s="38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>
      <c r="A133" s="38"/>
      <c r="B133" s="38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>
      <c r="A134" s="38"/>
      <c r="B134" s="38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.25" customHeight="1">
      <c r="A135" s="38"/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.25" customHeight="1">
      <c r="A136" s="38"/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>
      <c r="A137" s="38"/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>
      <c r="A138" s="38"/>
      <c r="B138" s="38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.25" customHeight="1">
      <c r="A139" s="38"/>
      <c r="B139" s="38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>
      <c r="A140" s="38"/>
      <c r="B140" s="38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>
      <c r="A141" s="38"/>
      <c r="B141" s="38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>
      <c r="A142" s="38"/>
      <c r="B142" s="38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.25" customHeight="1">
      <c r="A143" s="38"/>
      <c r="B143" s="38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>
      <c r="A144" s="38"/>
      <c r="B144" s="38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>
      <c r="A145" s="38"/>
      <c r="B145" s="38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>
      <c r="A146" s="38"/>
      <c r="B146" s="38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>
      <c r="A147" s="38"/>
      <c r="B147" s="38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>
      <c r="A148" s="38"/>
      <c r="B148" s="38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>
      <c r="A149" s="38"/>
      <c r="B149" s="38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>
      <c r="A150" s="38"/>
      <c r="B150" s="38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>
      <c r="A151" s="38"/>
      <c r="B151" s="38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>
      <c r="A152" s="38"/>
      <c r="B152" s="38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>
      <c r="A153" s="38"/>
      <c r="B153" s="38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>
      <c r="A154" s="38"/>
      <c r="B154" s="38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>
      <c r="A155" s="38"/>
      <c r="B155" s="38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>
      <c r="A156" s="38"/>
      <c r="B156" s="38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>
      <c r="A157" s="38"/>
      <c r="B157" s="38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>
      <c r="A158" s="38"/>
      <c r="B158" s="38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>
      <c r="A159" s="38"/>
      <c r="B159" s="38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>
      <c r="A160" s="38"/>
      <c r="B160" s="38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>
      <c r="A161" s="38"/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>
      <c r="A162" s="38"/>
      <c r="B162" s="38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>
      <c r="A163" s="38"/>
      <c r="B163" s="38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>
      <c r="A164" s="38"/>
      <c r="B164" s="38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>
      <c r="A165" s="38"/>
      <c r="B165" s="38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>
      <c r="A166" s="38"/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>
      <c r="A167" s="38"/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>
      <c r="A168" s="38"/>
      <c r="B168" s="38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>
      <c r="A169" s="38"/>
      <c r="B169" s="38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>
      <c r="A170" s="38"/>
      <c r="B170" s="38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>
      <c r="A171" s="38"/>
      <c r="B171" s="38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>
      <c r="A172" s="38"/>
      <c r="B172" s="38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>
      <c r="A173" s="38"/>
      <c r="B173" s="38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>
      <c r="A174" s="38"/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.25" customHeight="1">
      <c r="A175" s="38"/>
      <c r="B175" s="38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>
      <c r="A176" s="38"/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>
      <c r="A177" s="38"/>
      <c r="B177" s="38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>
      <c r="A178" s="38"/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>
      <c r="A179" s="38"/>
      <c r="B179" s="38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>
      <c r="A180" s="38"/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>
      <c r="A181" s="38"/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>
      <c r="A182" s="38"/>
      <c r="B182" s="38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>
      <c r="A183" s="38"/>
      <c r="B183" s="38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>
      <c r="A184" s="38"/>
      <c r="B184" s="38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>
      <c r="A185" s="38"/>
      <c r="B185" s="38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>
      <c r="A186" s="38"/>
      <c r="B186" s="38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>
      <c r="A187" s="38"/>
      <c r="B187" s="38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>
      <c r="A188" s="38"/>
      <c r="B188" s="38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>
      <c r="A189" s="38"/>
      <c r="B189" s="38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>
      <c r="A190" s="38"/>
      <c r="B190" s="38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>
      <c r="A191" s="38"/>
      <c r="B191" s="38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>
      <c r="A192" s="38"/>
      <c r="B192" s="38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>
      <c r="A193" s="38"/>
      <c r="B193" s="38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>
      <c r="A194" s="38"/>
      <c r="B194" s="38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>
      <c r="A195" s="38"/>
      <c r="B195" s="38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>
      <c r="A196" s="38"/>
      <c r="B196" s="38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>
      <c r="A197" s="38"/>
      <c r="B197" s="38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>
      <c r="A198" s="38"/>
      <c r="B198" s="38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.25" customHeight="1">
      <c r="A199" s="38"/>
      <c r="B199" s="38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.25" customHeight="1">
      <c r="A200" s="38"/>
      <c r="B200" s="38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.25" customHeight="1">
      <c r="A201" s="38"/>
      <c r="B201" s="38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.25" customHeight="1">
      <c r="A202" s="38"/>
      <c r="B202" s="38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.25" customHeight="1">
      <c r="A203" s="38"/>
      <c r="B203" s="38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.25" customHeight="1">
      <c r="A204" s="38"/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.25" customHeight="1">
      <c r="A205" s="38"/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.25" customHeight="1">
      <c r="A206" s="38"/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.25" customHeight="1">
      <c r="A207" s="38"/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.25" customHeight="1">
      <c r="A208" s="38"/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.25" customHeight="1">
      <c r="A209" s="38"/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.25" customHeight="1">
      <c r="A210" s="38"/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.25" customHeight="1">
      <c r="A211" s="38"/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.25" customHeight="1">
      <c r="A212" s="38"/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>
      <c r="A213" s="38"/>
      <c r="B213" s="38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>
      <c r="A214" s="38"/>
      <c r="B214" s="38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>
      <c r="A215" s="38"/>
      <c r="B215" s="38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>
      <c r="A216" s="38"/>
      <c r="B216" s="38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>
      <c r="A217" s="38"/>
      <c r="B217" s="38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>
      <c r="A218" s="38"/>
      <c r="B218" s="38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.25" customHeight="1">
      <c r="A219" s="38"/>
      <c r="B219" s="38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.25" customHeight="1">
      <c r="A220" s="38"/>
      <c r="B220" s="38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4.25" customHeight="1">
      <c r="A221" s="38"/>
      <c r="B221" s="38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.25" customHeight="1">
      <c r="A222" s="38"/>
      <c r="B222" s="38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.25" customHeight="1">
      <c r="A223" s="38"/>
      <c r="B223" s="38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.25" customHeight="1">
      <c r="A224" s="38"/>
      <c r="B224" s="38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.25" customHeight="1">
      <c r="A225" s="38"/>
      <c r="B225" s="38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.25" customHeight="1">
      <c r="A226" s="38"/>
      <c r="B226" s="38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.25" customHeight="1">
      <c r="A227" s="38"/>
      <c r="B227" s="38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.25" customHeight="1">
      <c r="A228" s="38"/>
      <c r="B228" s="38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>
      <c r="A229" s="38"/>
      <c r="B229" s="38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.25" customHeight="1">
      <c r="A230" s="38"/>
      <c r="B230" s="38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.25" customHeight="1">
      <c r="A231" s="38"/>
      <c r="B231" s="38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.25" customHeight="1">
      <c r="A232" s="38"/>
      <c r="B232" s="38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.25" customHeight="1">
      <c r="A233" s="38"/>
      <c r="B233" s="38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.25" customHeight="1">
      <c r="A234" s="38"/>
      <c r="B234" s="38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.25" customHeight="1">
      <c r="A235" s="38"/>
      <c r="B235" s="38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.25" customHeight="1">
      <c r="A236" s="38"/>
      <c r="B236" s="38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.25" customHeight="1">
      <c r="A237" s="38"/>
      <c r="B237" s="38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.25" customHeight="1">
      <c r="A238" s="38"/>
      <c r="B238" s="38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.25" customHeight="1">
      <c r="A239" s="38"/>
      <c r="B239" s="38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.25" customHeight="1">
      <c r="A240" s="38"/>
      <c r="B240" s="38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4.25" customHeight="1">
      <c r="A241" s="38"/>
      <c r="B241" s="38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.25" customHeight="1">
      <c r="A242" s="38"/>
      <c r="B242" s="38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.25" customHeight="1">
      <c r="A243" s="38"/>
      <c r="B243" s="38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.25" customHeight="1">
      <c r="A244" s="38"/>
      <c r="B244" s="38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.25" customHeight="1">
      <c r="A245" s="38"/>
      <c r="B245" s="38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.25" customHeight="1">
      <c r="A246" s="38"/>
      <c r="B246" s="38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.25" customHeight="1">
      <c r="A247" s="38"/>
      <c r="B247" s="38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.25" customHeight="1">
      <c r="A248" s="38"/>
      <c r="B248" s="38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.25" customHeight="1">
      <c r="A249" s="38"/>
      <c r="B249" s="38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4.25" customHeight="1">
      <c r="A250" s="38"/>
      <c r="B250" s="38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.25" customHeight="1">
      <c r="A251" s="38"/>
      <c r="B251" s="38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.25" customHeight="1">
      <c r="A252" s="38"/>
      <c r="B252" s="38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.25" customHeight="1">
      <c r="A253" s="38"/>
      <c r="B253" s="38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.25" customHeight="1">
      <c r="A254" s="38"/>
      <c r="B254" s="38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.25" customHeight="1">
      <c r="A255" s="38"/>
      <c r="B255" s="38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.25" customHeight="1">
      <c r="A256" s="38"/>
      <c r="B256" s="38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.25" customHeight="1">
      <c r="A257" s="38"/>
      <c r="B257" s="38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.25" customHeight="1">
      <c r="A258" s="38"/>
      <c r="B258" s="38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.25" customHeight="1">
      <c r="A259" s="38"/>
      <c r="B259" s="38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.25" customHeight="1">
      <c r="A260" s="38"/>
      <c r="B260" s="38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4.25" customHeight="1">
      <c r="A261" s="38"/>
      <c r="B261" s="38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.25" customHeight="1">
      <c r="A262" s="38"/>
      <c r="B262" s="38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.25" customHeight="1">
      <c r="A263" s="38"/>
      <c r="B263" s="38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.25" customHeight="1">
      <c r="A264" s="38"/>
      <c r="B264" s="38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.25" customHeight="1">
      <c r="A265" s="38"/>
      <c r="B265" s="38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.25" customHeight="1">
      <c r="A266" s="38"/>
      <c r="B266" s="38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.25" customHeight="1">
      <c r="A267" s="38"/>
      <c r="B267" s="38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.25" customHeight="1">
      <c r="A268" s="38"/>
      <c r="B268" s="38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.25" customHeight="1">
      <c r="A269" s="38"/>
      <c r="B269" s="38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.25" customHeight="1">
      <c r="A270" s="38"/>
      <c r="B270" s="38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.25" customHeight="1">
      <c r="A271" s="38"/>
      <c r="B271" s="38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.25" customHeight="1">
      <c r="A272" s="38"/>
      <c r="B272" s="38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.25" customHeight="1">
      <c r="A273" s="38"/>
      <c r="B273" s="38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.25" customHeight="1">
      <c r="A274" s="38"/>
      <c r="B274" s="38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.25" customHeight="1">
      <c r="A275" s="38"/>
      <c r="B275" s="38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.25" customHeight="1">
      <c r="A276" s="38"/>
      <c r="B276" s="38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4.25" customHeight="1">
      <c r="A277" s="38"/>
      <c r="B277" s="38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.25" customHeight="1">
      <c r="A278" s="38"/>
      <c r="B278" s="38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4.25" customHeight="1">
      <c r="A279" s="38"/>
      <c r="B279" s="38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4.25" customHeight="1">
      <c r="A280" s="38"/>
      <c r="B280" s="38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4.25" customHeight="1">
      <c r="A281" s="38"/>
      <c r="B281" s="38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4.25" customHeight="1">
      <c r="A282" s="38"/>
      <c r="B282" s="38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4.25" customHeight="1">
      <c r="A283" s="38"/>
      <c r="B283" s="38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4.25" customHeight="1">
      <c r="A284" s="38"/>
      <c r="B284" s="38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4.25" customHeight="1">
      <c r="A285" s="38"/>
      <c r="B285" s="38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4.25" customHeight="1">
      <c r="A286" s="38"/>
      <c r="B286" s="38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4.25" customHeight="1">
      <c r="A287" s="38"/>
      <c r="B287" s="38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4.25" customHeight="1">
      <c r="A288" s="38"/>
      <c r="B288" s="38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4.25" customHeight="1">
      <c r="A289" s="38"/>
      <c r="B289" s="38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4.25" customHeight="1">
      <c r="A290" s="38"/>
      <c r="B290" s="38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4.25" customHeight="1">
      <c r="A291" s="38"/>
      <c r="B291" s="38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4.25" customHeight="1">
      <c r="A292" s="38"/>
      <c r="B292" s="38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4.25" customHeight="1">
      <c r="A293" s="38"/>
      <c r="B293" s="38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4.25" customHeight="1">
      <c r="A294" s="38"/>
      <c r="B294" s="38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4.25" customHeight="1">
      <c r="A295" s="38"/>
      <c r="B295" s="38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4.25" customHeight="1">
      <c r="A296" s="38"/>
      <c r="B296" s="38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4.25" customHeight="1">
      <c r="A297" s="38"/>
      <c r="B297" s="38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4.25" customHeight="1">
      <c r="A298" s="38"/>
      <c r="B298" s="38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4.25" customHeight="1">
      <c r="A299" s="38"/>
      <c r="B299" s="38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4.25" customHeight="1">
      <c r="A300" s="38"/>
      <c r="B300" s="38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4.25" customHeight="1">
      <c r="A301" s="38"/>
      <c r="B301" s="38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4.25" customHeight="1">
      <c r="A302" s="38"/>
      <c r="B302" s="38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4.25" customHeight="1">
      <c r="A303" s="38"/>
      <c r="B303" s="38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4.25" customHeight="1">
      <c r="A304" s="38"/>
      <c r="B304" s="38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4.25" customHeight="1">
      <c r="A305" s="38"/>
      <c r="B305" s="38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4.25" customHeight="1">
      <c r="A306" s="38"/>
      <c r="B306" s="38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4.25" customHeight="1">
      <c r="A307" s="38"/>
      <c r="B307" s="38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4.25" customHeight="1">
      <c r="A308" s="38"/>
      <c r="B308" s="38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4.25" customHeight="1">
      <c r="A309" s="38"/>
      <c r="B309" s="38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4.25" customHeight="1">
      <c r="A310" s="38"/>
      <c r="B310" s="38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4.25" customHeight="1">
      <c r="A311" s="38"/>
      <c r="B311" s="38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4.25" customHeight="1">
      <c r="A312" s="38"/>
      <c r="B312" s="38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4.25" customHeight="1">
      <c r="A313" s="38"/>
      <c r="B313" s="38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4.25" customHeight="1">
      <c r="A314" s="38"/>
      <c r="B314" s="38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4.25" customHeight="1">
      <c r="A315" s="38"/>
      <c r="B315" s="38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4.25" customHeight="1">
      <c r="A316" s="38"/>
      <c r="B316" s="38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4.25" customHeight="1">
      <c r="A317" s="38"/>
      <c r="B317" s="38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4.25" customHeight="1">
      <c r="A318" s="38"/>
      <c r="B318" s="38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4.25" customHeight="1">
      <c r="A319" s="38"/>
      <c r="B319" s="38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4.25" customHeight="1">
      <c r="A320" s="38"/>
      <c r="B320" s="38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4.25" customHeight="1">
      <c r="A321" s="38"/>
      <c r="B321" s="38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4.25" customHeight="1">
      <c r="A322" s="38"/>
      <c r="B322" s="38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4.25" customHeight="1">
      <c r="A323" s="38"/>
      <c r="B323" s="38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4.25" customHeight="1">
      <c r="A324" s="38"/>
      <c r="B324" s="38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4.25" customHeight="1">
      <c r="A325" s="38"/>
      <c r="B325" s="38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4.25" customHeight="1">
      <c r="A326" s="38"/>
      <c r="B326" s="38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4.25" customHeight="1">
      <c r="A327" s="38"/>
      <c r="B327" s="38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4.25" customHeight="1">
      <c r="A328" s="38"/>
      <c r="B328" s="38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4.25" customHeight="1">
      <c r="A329" s="38"/>
      <c r="B329" s="38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4.25" customHeight="1">
      <c r="A330" s="38"/>
      <c r="B330" s="38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4.25" customHeight="1">
      <c r="A331" s="38"/>
      <c r="B331" s="38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4.25" customHeight="1">
      <c r="A332" s="38"/>
      <c r="B332" s="38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4.25" customHeight="1">
      <c r="A333" s="38"/>
      <c r="B333" s="38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4.25" customHeight="1">
      <c r="A334" s="38"/>
      <c r="B334" s="38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4.25" customHeight="1">
      <c r="A335" s="38"/>
      <c r="B335" s="38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4.25" customHeight="1">
      <c r="A336" s="38"/>
      <c r="B336" s="38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4.25" customHeight="1">
      <c r="A337" s="38"/>
      <c r="B337" s="38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4.25" customHeight="1">
      <c r="A338" s="38"/>
      <c r="B338" s="38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4.25" customHeight="1">
      <c r="A339" s="38"/>
      <c r="B339" s="38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4.25" customHeight="1">
      <c r="A340" s="38"/>
      <c r="B340" s="38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4.25" customHeight="1">
      <c r="A341" s="38"/>
      <c r="B341" s="38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4.25" customHeight="1">
      <c r="A342" s="38"/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4.25" customHeight="1">
      <c r="A343" s="38"/>
      <c r="B343" s="38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4.25" customHeight="1">
      <c r="A344" s="38"/>
      <c r="B344" s="38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4.25" customHeight="1">
      <c r="A345" s="38"/>
      <c r="B345" s="38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4.25" customHeight="1">
      <c r="A346" s="38"/>
      <c r="B346" s="38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4.25" customHeight="1">
      <c r="A347" s="38"/>
      <c r="B347" s="38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4.25" customHeight="1">
      <c r="A348" s="38"/>
      <c r="B348" s="38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4.25" customHeight="1">
      <c r="A349" s="38"/>
      <c r="B349" s="38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4.25" customHeight="1">
      <c r="A350" s="38"/>
      <c r="B350" s="38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4.25" customHeight="1">
      <c r="A351" s="38"/>
      <c r="B351" s="38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4.25" customHeight="1">
      <c r="A352" s="38"/>
      <c r="B352" s="38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4.25" customHeight="1">
      <c r="A353" s="38"/>
      <c r="B353" s="38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4.25" customHeight="1">
      <c r="A354" s="38"/>
      <c r="B354" s="38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4.25" customHeight="1">
      <c r="A355" s="38"/>
      <c r="B355" s="38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4.25" customHeight="1">
      <c r="A356" s="38"/>
      <c r="B356" s="38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4.25" customHeight="1">
      <c r="A357" s="38"/>
      <c r="B357" s="38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4.25" customHeight="1">
      <c r="A358" s="38"/>
      <c r="B358" s="38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4.25" customHeight="1">
      <c r="A359" s="38"/>
      <c r="B359" s="38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4.25" customHeight="1">
      <c r="A360" s="38"/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4.25" customHeight="1">
      <c r="A361" s="38"/>
      <c r="B361" s="38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4.25" customHeight="1">
      <c r="A362" s="38"/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4.25" customHeight="1">
      <c r="A363" s="38"/>
      <c r="B363" s="38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4.25" customHeight="1">
      <c r="A364" s="38"/>
      <c r="B364" s="38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4.25" customHeight="1">
      <c r="A365" s="38"/>
      <c r="B365" s="38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4.25" customHeight="1">
      <c r="A366" s="38"/>
      <c r="B366" s="38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4.25" customHeight="1">
      <c r="A367" s="38"/>
      <c r="B367" s="38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4.25" customHeight="1">
      <c r="A368" s="38"/>
      <c r="B368" s="38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4.25" customHeight="1">
      <c r="A369" s="38"/>
      <c r="B369" s="38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4.25" customHeight="1">
      <c r="A370" s="38"/>
      <c r="B370" s="38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4.25" customHeight="1">
      <c r="A371" s="38"/>
      <c r="B371" s="38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4.25" customHeight="1">
      <c r="A372" s="38"/>
      <c r="B372" s="38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4.25" customHeight="1">
      <c r="A373" s="38"/>
      <c r="B373" s="38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4.25" customHeight="1">
      <c r="A374" s="38"/>
      <c r="B374" s="38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4.25" customHeight="1">
      <c r="A375" s="38"/>
      <c r="B375" s="38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4.25" customHeight="1">
      <c r="A376" s="38"/>
      <c r="B376" s="38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4.25" customHeight="1">
      <c r="A377" s="38"/>
      <c r="B377" s="38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4.25" customHeight="1">
      <c r="A378" s="38"/>
      <c r="B378" s="38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4.25" customHeight="1">
      <c r="A379" s="38"/>
      <c r="B379" s="38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4.25" customHeight="1">
      <c r="A380" s="38"/>
      <c r="B380" s="38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4.25" customHeight="1">
      <c r="A381" s="38"/>
      <c r="B381" s="38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4.25" customHeight="1">
      <c r="A382" s="38"/>
      <c r="B382" s="38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4.25" customHeight="1">
      <c r="A383" s="38"/>
      <c r="B383" s="38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4.25" customHeight="1">
      <c r="A384" s="38"/>
      <c r="B384" s="38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4.25" customHeight="1">
      <c r="A385" s="38"/>
      <c r="B385" s="38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4.25" customHeight="1">
      <c r="A386" s="38"/>
      <c r="B386" s="38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4.25" customHeight="1">
      <c r="A387" s="38"/>
      <c r="B387" s="38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4.25" customHeight="1">
      <c r="A388" s="38"/>
      <c r="B388" s="38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4.25" customHeight="1">
      <c r="A389" s="38"/>
      <c r="B389" s="38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4.25" customHeight="1">
      <c r="A390" s="38"/>
      <c r="B390" s="38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4.25" customHeight="1">
      <c r="A391" s="38"/>
      <c r="B391" s="38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4.25" customHeight="1">
      <c r="A392" s="38"/>
      <c r="B392" s="38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4.25" customHeight="1">
      <c r="A393" s="38"/>
      <c r="B393" s="38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4.25" customHeight="1">
      <c r="A394" s="38"/>
      <c r="B394" s="38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4.25" customHeight="1">
      <c r="A395" s="38"/>
      <c r="B395" s="38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4.25" customHeight="1">
      <c r="A396" s="38"/>
      <c r="B396" s="38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4.25" customHeight="1">
      <c r="A397" s="38"/>
      <c r="B397" s="38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4.25" customHeight="1">
      <c r="A398" s="38"/>
      <c r="B398" s="38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4.25" customHeight="1">
      <c r="A399" s="38"/>
      <c r="B399" s="38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4.25" customHeight="1">
      <c r="A400" s="38"/>
      <c r="B400" s="38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4.25" customHeight="1">
      <c r="A401" s="38"/>
      <c r="B401" s="38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4.25" customHeight="1">
      <c r="A402" s="38"/>
      <c r="B402" s="38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4.25" customHeight="1">
      <c r="A403" s="38"/>
      <c r="B403" s="38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4.25" customHeight="1">
      <c r="A404" s="38"/>
      <c r="B404" s="38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4.25" customHeight="1">
      <c r="A405" s="38"/>
      <c r="B405" s="38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4.25" customHeight="1">
      <c r="A406" s="38"/>
      <c r="B406" s="38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4.25" customHeight="1">
      <c r="A407" s="38"/>
      <c r="B407" s="38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4.25" customHeight="1">
      <c r="A408" s="38"/>
      <c r="B408" s="38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4.25" customHeight="1">
      <c r="A409" s="38"/>
      <c r="B409" s="38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4.25" customHeight="1">
      <c r="A410" s="38"/>
      <c r="B410" s="38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4.25" customHeight="1">
      <c r="A411" s="38"/>
      <c r="B411" s="38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4.25" customHeight="1">
      <c r="A412" s="38"/>
      <c r="B412" s="38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4.25" customHeight="1">
      <c r="A413" s="38"/>
      <c r="B413" s="38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4.25" customHeight="1">
      <c r="A414" s="38"/>
      <c r="B414" s="38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4.25" customHeight="1">
      <c r="A415" s="38"/>
      <c r="B415" s="38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4.25" customHeight="1">
      <c r="A416" s="38"/>
      <c r="B416" s="38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4.25" customHeight="1">
      <c r="A417" s="38"/>
      <c r="B417" s="38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4.25" customHeight="1">
      <c r="A418" s="38"/>
      <c r="B418" s="38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4.25" customHeight="1">
      <c r="A419" s="38"/>
      <c r="B419" s="38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4.25" customHeight="1">
      <c r="A420" s="38"/>
      <c r="B420" s="38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4.25" customHeight="1">
      <c r="A421" s="38"/>
      <c r="B421" s="38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4.25" customHeight="1">
      <c r="A422" s="38"/>
      <c r="B422" s="38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4.25" customHeight="1">
      <c r="A423" s="38"/>
      <c r="B423" s="38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4.25" customHeight="1">
      <c r="A424" s="38"/>
      <c r="B424" s="38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4.25" customHeight="1">
      <c r="A425" s="38"/>
      <c r="B425" s="38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4.25" customHeight="1">
      <c r="A426" s="38"/>
      <c r="B426" s="38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4.25" customHeight="1">
      <c r="A427" s="38"/>
      <c r="B427" s="38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4.25" customHeight="1">
      <c r="A428" s="38"/>
      <c r="B428" s="38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4.25" customHeight="1">
      <c r="A429" s="38"/>
      <c r="B429" s="38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4.25" customHeight="1">
      <c r="A430" s="38"/>
      <c r="B430" s="38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4.25" customHeight="1">
      <c r="A431" s="38"/>
      <c r="B431" s="38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4.25" customHeight="1">
      <c r="A432" s="38"/>
      <c r="B432" s="38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4.25" customHeight="1">
      <c r="A433" s="38"/>
      <c r="B433" s="38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4.25" customHeight="1">
      <c r="A434" s="38"/>
      <c r="B434" s="38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4.25" customHeight="1">
      <c r="A435" s="38"/>
      <c r="B435" s="38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4.25" customHeight="1">
      <c r="A436" s="38"/>
      <c r="B436" s="38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4.25" customHeight="1">
      <c r="A437" s="38"/>
      <c r="B437" s="38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4.25" customHeight="1">
      <c r="A438" s="38"/>
      <c r="B438" s="38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4.25" customHeight="1">
      <c r="A439" s="38"/>
      <c r="B439" s="38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4.25" customHeight="1">
      <c r="A440" s="38"/>
      <c r="B440" s="38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4.25" customHeight="1">
      <c r="A441" s="38"/>
      <c r="B441" s="38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4.25" customHeight="1">
      <c r="A442" s="38"/>
      <c r="B442" s="38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4.25" customHeight="1">
      <c r="A443" s="38"/>
      <c r="B443" s="38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4.25" customHeight="1">
      <c r="A444" s="38"/>
      <c r="B444" s="38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4.25" customHeight="1">
      <c r="A445" s="38"/>
      <c r="B445" s="38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4.25" customHeight="1">
      <c r="A446" s="38"/>
      <c r="B446" s="38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4.25" customHeight="1">
      <c r="A447" s="38"/>
      <c r="B447" s="38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4.25" customHeight="1">
      <c r="A448" s="38"/>
      <c r="B448" s="38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4.25" customHeight="1">
      <c r="A449" s="38"/>
      <c r="B449" s="38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4.25" customHeight="1">
      <c r="A450" s="38"/>
      <c r="B450" s="38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4.25" customHeight="1">
      <c r="A451" s="38"/>
      <c r="B451" s="38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4.25" customHeight="1">
      <c r="A452" s="38"/>
      <c r="B452" s="38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4.25" customHeight="1">
      <c r="A453" s="38"/>
      <c r="B453" s="38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4.25" customHeight="1">
      <c r="A454" s="38"/>
      <c r="B454" s="38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4.25" customHeight="1">
      <c r="A455" s="38"/>
      <c r="B455" s="38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4.25" customHeight="1">
      <c r="A456" s="38"/>
      <c r="B456" s="38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4.25" customHeight="1">
      <c r="A457" s="38"/>
      <c r="B457" s="38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4.25" customHeight="1">
      <c r="A458" s="38"/>
      <c r="B458" s="38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4.25" customHeight="1">
      <c r="A459" s="38"/>
      <c r="B459" s="38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4.25" customHeight="1">
      <c r="A460" s="38"/>
      <c r="B460" s="38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4.25" customHeight="1">
      <c r="A461" s="38"/>
      <c r="B461" s="38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4.25" customHeight="1">
      <c r="A462" s="38"/>
      <c r="B462" s="38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4.25" customHeight="1">
      <c r="A463" s="38"/>
      <c r="B463" s="38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4.25" customHeight="1">
      <c r="A464" s="38"/>
      <c r="B464" s="38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4.25" customHeight="1">
      <c r="A465" s="38"/>
      <c r="B465" s="38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4.25" customHeight="1">
      <c r="A466" s="38"/>
      <c r="B466" s="38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4.25" customHeight="1">
      <c r="A467" s="38"/>
      <c r="B467" s="38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4.25" customHeight="1">
      <c r="A468" s="38"/>
      <c r="B468" s="38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4.25" customHeight="1">
      <c r="A469" s="38"/>
      <c r="B469" s="38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4.25" customHeight="1">
      <c r="A470" s="38"/>
      <c r="B470" s="38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4.25" customHeight="1">
      <c r="A471" s="38"/>
      <c r="B471" s="38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4.25" customHeight="1">
      <c r="A472" s="38"/>
      <c r="B472" s="38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4.25" customHeight="1">
      <c r="A473" s="38"/>
      <c r="B473" s="38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4.25" customHeight="1">
      <c r="A474" s="38"/>
      <c r="B474" s="38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4.25" customHeight="1">
      <c r="A475" s="38"/>
      <c r="B475" s="38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4.25" customHeight="1">
      <c r="A476" s="38"/>
      <c r="B476" s="38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4.25" customHeight="1">
      <c r="A477" s="38"/>
      <c r="B477" s="38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4.25" customHeight="1">
      <c r="A478" s="38"/>
      <c r="B478" s="38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4.25" customHeight="1">
      <c r="A479" s="38"/>
      <c r="B479" s="38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4.25" customHeight="1">
      <c r="A480" s="38"/>
      <c r="B480" s="38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4.25" customHeight="1">
      <c r="A481" s="38"/>
      <c r="B481" s="38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4.25" customHeight="1">
      <c r="A482" s="38"/>
      <c r="B482" s="38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4.25" customHeight="1">
      <c r="A483" s="38"/>
      <c r="B483" s="38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4.25" customHeight="1">
      <c r="A484" s="38"/>
      <c r="B484" s="38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4.25" customHeight="1">
      <c r="A485" s="38"/>
      <c r="B485" s="38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4.25" customHeight="1">
      <c r="A486" s="38"/>
      <c r="B486" s="38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4.25" customHeight="1">
      <c r="A487" s="38"/>
      <c r="B487" s="38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4.25" customHeight="1">
      <c r="A488" s="38"/>
      <c r="B488" s="38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4.25" customHeight="1">
      <c r="A489" s="38"/>
      <c r="B489" s="38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4.25" customHeight="1">
      <c r="A490" s="38"/>
      <c r="B490" s="38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4.25" customHeight="1">
      <c r="A491" s="38"/>
      <c r="B491" s="38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4.25" customHeight="1">
      <c r="A492" s="38"/>
      <c r="B492" s="38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4.25" customHeight="1">
      <c r="A493" s="38"/>
      <c r="B493" s="38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4.25" customHeight="1">
      <c r="A494" s="38"/>
      <c r="B494" s="38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4.25" customHeight="1">
      <c r="A495" s="38"/>
      <c r="B495" s="38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4.25" customHeight="1">
      <c r="A496" s="38"/>
      <c r="B496" s="38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4.25" customHeight="1">
      <c r="A497" s="38"/>
      <c r="B497" s="38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4.25" customHeight="1">
      <c r="A498" s="38"/>
      <c r="B498" s="38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4.25" customHeight="1">
      <c r="A499" s="38"/>
      <c r="B499" s="38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4.25" customHeight="1">
      <c r="A500" s="38"/>
      <c r="B500" s="38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4.25" customHeight="1">
      <c r="A501" s="38"/>
      <c r="B501" s="38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4.25" customHeight="1">
      <c r="A502" s="38"/>
      <c r="B502" s="38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4.25" customHeight="1">
      <c r="A503" s="38"/>
      <c r="B503" s="38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4.25" customHeight="1">
      <c r="A504" s="38"/>
      <c r="B504" s="38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4.25" customHeight="1">
      <c r="A505" s="38"/>
      <c r="B505" s="38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4.25" customHeight="1">
      <c r="A506" s="38"/>
      <c r="B506" s="38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4.25" customHeight="1">
      <c r="A507" s="38"/>
      <c r="B507" s="38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4.25" customHeight="1">
      <c r="A508" s="38"/>
      <c r="B508" s="38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4.25" customHeight="1">
      <c r="A509" s="38"/>
      <c r="B509" s="38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4.25" customHeight="1">
      <c r="A510" s="38"/>
      <c r="B510" s="38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4.25" customHeight="1">
      <c r="A511" s="38"/>
      <c r="B511" s="38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4.25" customHeight="1">
      <c r="A512" s="38"/>
      <c r="B512" s="38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4.25" customHeight="1">
      <c r="A513" s="38"/>
      <c r="B513" s="38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4.25" customHeight="1">
      <c r="A514" s="38"/>
      <c r="B514" s="38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4.25" customHeight="1">
      <c r="A515" s="38"/>
      <c r="B515" s="38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4.25" customHeight="1">
      <c r="A516" s="38"/>
      <c r="B516" s="38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4.25" customHeight="1">
      <c r="A517" s="38"/>
      <c r="B517" s="38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4.25" customHeight="1">
      <c r="A518" s="38"/>
      <c r="B518" s="38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4.25" customHeight="1">
      <c r="A519" s="38"/>
      <c r="B519" s="38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4.25" customHeight="1">
      <c r="A520" s="38"/>
      <c r="B520" s="38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4.25" customHeight="1">
      <c r="A521" s="38"/>
      <c r="B521" s="38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4.25" customHeight="1">
      <c r="A522" s="38"/>
      <c r="B522" s="38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4.25" customHeight="1">
      <c r="A523" s="38"/>
      <c r="B523" s="38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4.25" customHeight="1">
      <c r="A524" s="38"/>
      <c r="B524" s="38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4.25" customHeight="1">
      <c r="A525" s="38"/>
      <c r="B525" s="38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4.25" customHeight="1">
      <c r="A526" s="38"/>
      <c r="B526" s="38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4.25" customHeight="1">
      <c r="A527" s="38"/>
      <c r="B527" s="38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4.25" customHeight="1">
      <c r="A528" s="38"/>
      <c r="B528" s="38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4.25" customHeight="1">
      <c r="A529" s="38"/>
      <c r="B529" s="38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4.25" customHeight="1">
      <c r="A530" s="38"/>
      <c r="B530" s="38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4.25" customHeight="1">
      <c r="A531" s="38"/>
      <c r="B531" s="38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4.25" customHeight="1">
      <c r="A532" s="38"/>
      <c r="B532" s="38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4.25" customHeight="1">
      <c r="A533" s="38"/>
      <c r="B533" s="38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4.25" customHeight="1">
      <c r="A534" s="38"/>
      <c r="B534" s="38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4.25" customHeight="1">
      <c r="A535" s="38"/>
      <c r="B535" s="38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4.25" customHeight="1">
      <c r="A536" s="38"/>
      <c r="B536" s="38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4.25" customHeight="1">
      <c r="A537" s="38"/>
      <c r="B537" s="38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4.25" customHeight="1">
      <c r="A538" s="38"/>
      <c r="B538" s="38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4.25" customHeight="1">
      <c r="A539" s="38"/>
      <c r="B539" s="38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4.25" customHeight="1">
      <c r="A540" s="38"/>
      <c r="B540" s="38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4.25" customHeight="1">
      <c r="A541" s="38"/>
      <c r="B541" s="38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4.25" customHeight="1">
      <c r="A542" s="38"/>
      <c r="B542" s="38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4.25" customHeight="1">
      <c r="A543" s="38"/>
      <c r="B543" s="38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4.25" customHeight="1">
      <c r="A544" s="38"/>
      <c r="B544" s="38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4.25" customHeight="1">
      <c r="A545" s="38"/>
      <c r="B545" s="38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4.25" customHeight="1">
      <c r="A546" s="38"/>
      <c r="B546" s="38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4.25" customHeight="1">
      <c r="A547" s="38"/>
      <c r="B547" s="38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4.25" customHeight="1">
      <c r="A548" s="38"/>
      <c r="B548" s="38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4.25" customHeight="1">
      <c r="A549" s="38"/>
      <c r="B549" s="38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4.25" customHeight="1">
      <c r="A550" s="38"/>
      <c r="B550" s="38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4.25" customHeight="1">
      <c r="A551" s="38"/>
      <c r="B551" s="38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4.25" customHeight="1">
      <c r="A552" s="38"/>
      <c r="B552" s="38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4.25" customHeight="1">
      <c r="A553" s="38"/>
      <c r="B553" s="38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4.25" customHeight="1">
      <c r="A554" s="38"/>
      <c r="B554" s="38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4.25" customHeight="1">
      <c r="A555" s="38"/>
      <c r="B555" s="38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4.25" customHeight="1">
      <c r="A556" s="38"/>
      <c r="B556" s="38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4.25" customHeight="1">
      <c r="A557" s="38"/>
      <c r="B557" s="38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4.25" customHeight="1">
      <c r="A558" s="38"/>
      <c r="B558" s="38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4.25" customHeight="1">
      <c r="A559" s="38"/>
      <c r="B559" s="38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4.25" customHeight="1">
      <c r="A560" s="38"/>
      <c r="B560" s="38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4.25" customHeight="1">
      <c r="A561" s="38"/>
      <c r="B561" s="38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4.25" customHeight="1">
      <c r="A562" s="38"/>
      <c r="B562" s="38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4.25" customHeight="1">
      <c r="A563" s="38"/>
      <c r="B563" s="38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4.25" customHeight="1">
      <c r="A564" s="38"/>
      <c r="B564" s="38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4.25" customHeight="1">
      <c r="A565" s="38"/>
      <c r="B565" s="38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4.25" customHeight="1">
      <c r="A566" s="38"/>
      <c r="B566" s="38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4.25" customHeight="1">
      <c r="A567" s="38"/>
      <c r="B567" s="38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4.25" customHeight="1">
      <c r="A568" s="38"/>
      <c r="B568" s="38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4.25" customHeight="1">
      <c r="A569" s="38"/>
      <c r="B569" s="38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4.25" customHeight="1">
      <c r="A570" s="38"/>
      <c r="B570" s="38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4.25" customHeight="1">
      <c r="A571" s="38"/>
      <c r="B571" s="38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4.25" customHeight="1">
      <c r="A572" s="38"/>
      <c r="B572" s="38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4.25" customHeight="1">
      <c r="A573" s="38"/>
      <c r="B573" s="38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4.25" customHeight="1">
      <c r="A574" s="38"/>
      <c r="B574" s="38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4.25" customHeight="1">
      <c r="A575" s="38"/>
      <c r="B575" s="38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4.25" customHeight="1">
      <c r="A576" s="38"/>
      <c r="B576" s="38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4.25" customHeight="1">
      <c r="A577" s="38"/>
      <c r="B577" s="38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4.25" customHeight="1">
      <c r="A578" s="38"/>
      <c r="B578" s="38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4.25" customHeight="1">
      <c r="A579" s="38"/>
      <c r="B579" s="38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4.25" customHeight="1">
      <c r="A580" s="38"/>
      <c r="B580" s="38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4.25" customHeight="1">
      <c r="A581" s="38"/>
      <c r="B581" s="38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4.25" customHeight="1">
      <c r="A582" s="38"/>
      <c r="B582" s="38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4.25" customHeight="1">
      <c r="A583" s="38"/>
      <c r="B583" s="38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4.25" customHeight="1">
      <c r="A584" s="38"/>
      <c r="B584" s="38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4.25" customHeight="1">
      <c r="A585" s="38"/>
      <c r="B585" s="38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4.25" customHeight="1">
      <c r="A586" s="38"/>
      <c r="B586" s="38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4.25" customHeight="1">
      <c r="A587" s="38"/>
      <c r="B587" s="38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4.25" customHeight="1">
      <c r="A588" s="38"/>
      <c r="B588" s="38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4.25" customHeight="1">
      <c r="A589" s="38"/>
      <c r="B589" s="38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4.25" customHeight="1">
      <c r="A590" s="38"/>
      <c r="B590" s="38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4.25" customHeight="1">
      <c r="A591" s="38"/>
      <c r="B591" s="38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4.25" customHeight="1">
      <c r="A592" s="38"/>
      <c r="B592" s="38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4.25" customHeight="1">
      <c r="A593" s="38"/>
      <c r="B593" s="38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4.25" customHeight="1">
      <c r="A594" s="38"/>
      <c r="B594" s="38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4.25" customHeight="1">
      <c r="A595" s="38"/>
      <c r="B595" s="38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4.25" customHeight="1">
      <c r="A596" s="38"/>
      <c r="B596" s="38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4.25" customHeight="1">
      <c r="A597" s="38"/>
      <c r="B597" s="38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4.25" customHeight="1">
      <c r="A598" s="38"/>
      <c r="B598" s="38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4.25" customHeight="1">
      <c r="A599" s="38"/>
      <c r="B599" s="38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4.25" customHeight="1">
      <c r="A600" s="38"/>
      <c r="B600" s="38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4.25" customHeight="1">
      <c r="A601" s="38"/>
      <c r="B601" s="38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4.25" customHeight="1">
      <c r="A602" s="38"/>
      <c r="B602" s="38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4.25" customHeight="1">
      <c r="A603" s="38"/>
      <c r="B603" s="38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4.25" customHeight="1">
      <c r="A604" s="38"/>
      <c r="B604" s="38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4.25" customHeight="1">
      <c r="A605" s="38"/>
      <c r="B605" s="38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4.25" customHeight="1">
      <c r="A606" s="38"/>
      <c r="B606" s="38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4.25" customHeight="1">
      <c r="A607" s="38"/>
      <c r="B607" s="38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4.25" customHeight="1">
      <c r="A608" s="38"/>
      <c r="B608" s="38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4.25" customHeight="1">
      <c r="A609" s="38"/>
      <c r="B609" s="38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4.25" customHeight="1">
      <c r="A610" s="38"/>
      <c r="B610" s="38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4.25" customHeight="1">
      <c r="A611" s="38"/>
      <c r="B611" s="38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4.25" customHeight="1">
      <c r="A612" s="38"/>
      <c r="B612" s="38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4.25" customHeight="1">
      <c r="A613" s="38"/>
      <c r="B613" s="38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4.25" customHeight="1">
      <c r="A614" s="38"/>
      <c r="B614" s="38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4.25" customHeight="1">
      <c r="A615" s="38"/>
      <c r="B615" s="38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4.25" customHeight="1">
      <c r="A616" s="38"/>
      <c r="B616" s="38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4.25" customHeight="1">
      <c r="A617" s="38"/>
      <c r="B617" s="38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4.25" customHeight="1">
      <c r="A618" s="38"/>
      <c r="B618" s="38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4.25" customHeight="1">
      <c r="A619" s="38"/>
      <c r="B619" s="38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4.25" customHeight="1">
      <c r="A620" s="38"/>
      <c r="B620" s="38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4.25" customHeight="1">
      <c r="A621" s="38"/>
      <c r="B621" s="38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4.25" customHeight="1">
      <c r="A622" s="38"/>
      <c r="B622" s="38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4.25" customHeight="1">
      <c r="A623" s="38"/>
      <c r="B623" s="38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4.25" customHeight="1">
      <c r="A624" s="38"/>
      <c r="B624" s="38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4.25" customHeight="1">
      <c r="A625" s="38"/>
      <c r="B625" s="38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4.25" customHeight="1">
      <c r="A626" s="38"/>
      <c r="B626" s="38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4.25" customHeight="1">
      <c r="A627" s="38"/>
      <c r="B627" s="38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4.25" customHeight="1">
      <c r="A628" s="38"/>
      <c r="B628" s="38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4.25" customHeight="1">
      <c r="A629" s="38"/>
      <c r="B629" s="38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4.25" customHeight="1">
      <c r="A630" s="38"/>
      <c r="B630" s="38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4.25" customHeight="1">
      <c r="A631" s="38"/>
      <c r="B631" s="38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4.25" customHeight="1">
      <c r="A632" s="38"/>
      <c r="B632" s="38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4.25" customHeight="1">
      <c r="A633" s="38"/>
      <c r="B633" s="38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4.25" customHeight="1">
      <c r="A634" s="38"/>
      <c r="B634" s="38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4.25" customHeight="1">
      <c r="A635" s="38"/>
      <c r="B635" s="38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4.25" customHeight="1">
      <c r="A636" s="38"/>
      <c r="B636" s="38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4.25" customHeight="1">
      <c r="A637" s="38"/>
      <c r="B637" s="38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4.25" customHeight="1">
      <c r="A638" s="38"/>
      <c r="B638" s="38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4.25" customHeight="1">
      <c r="A639" s="38"/>
      <c r="B639" s="38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4.25" customHeight="1">
      <c r="A640" s="38"/>
      <c r="B640" s="38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4.25" customHeight="1">
      <c r="A641" s="38"/>
      <c r="B641" s="38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4.25" customHeight="1">
      <c r="A642" s="38"/>
      <c r="B642" s="38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4.25" customHeight="1">
      <c r="A643" s="38"/>
      <c r="B643" s="38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4.25" customHeight="1">
      <c r="A644" s="38"/>
      <c r="B644" s="38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4.25" customHeight="1">
      <c r="A645" s="38"/>
      <c r="B645" s="38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4.25" customHeight="1">
      <c r="A646" s="38"/>
      <c r="B646" s="38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4.25" customHeight="1">
      <c r="A647" s="38"/>
      <c r="B647" s="38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4.25" customHeight="1">
      <c r="A648" s="38"/>
      <c r="B648" s="38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4.25" customHeight="1">
      <c r="A649" s="38"/>
      <c r="B649" s="38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4.25" customHeight="1">
      <c r="A650" s="38"/>
      <c r="B650" s="38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4.25" customHeight="1">
      <c r="A651" s="38"/>
      <c r="B651" s="38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4.25" customHeight="1">
      <c r="A652" s="38"/>
      <c r="B652" s="38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4.25" customHeight="1">
      <c r="A653" s="38"/>
      <c r="B653" s="38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4.25" customHeight="1">
      <c r="A654" s="38"/>
      <c r="B654" s="38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4.25" customHeight="1">
      <c r="A655" s="38"/>
      <c r="B655" s="38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4.25" customHeight="1">
      <c r="A656" s="38"/>
      <c r="B656" s="38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4.25" customHeight="1">
      <c r="A657" s="38"/>
      <c r="B657" s="38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4.25" customHeight="1">
      <c r="A658" s="38"/>
      <c r="B658" s="38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4.25" customHeight="1">
      <c r="A659" s="38"/>
      <c r="B659" s="38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4.25" customHeight="1">
      <c r="A660" s="38"/>
      <c r="B660" s="38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4.25" customHeight="1">
      <c r="A661" s="38"/>
      <c r="B661" s="38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4.25" customHeight="1">
      <c r="A662" s="38"/>
      <c r="B662" s="38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4.25" customHeight="1">
      <c r="A663" s="38"/>
      <c r="B663" s="38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4.25" customHeight="1">
      <c r="A664" s="38"/>
      <c r="B664" s="38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4.25" customHeight="1">
      <c r="A665" s="38"/>
      <c r="B665" s="38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4.25" customHeight="1">
      <c r="A666" s="38"/>
      <c r="B666" s="38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4.25" customHeight="1">
      <c r="A667" s="38"/>
      <c r="B667" s="38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4.25" customHeight="1">
      <c r="A668" s="38"/>
      <c r="B668" s="38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4.25" customHeight="1">
      <c r="A669" s="38"/>
      <c r="B669" s="38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4.25" customHeight="1">
      <c r="A670" s="38"/>
      <c r="B670" s="38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4.25" customHeight="1">
      <c r="A671" s="38"/>
      <c r="B671" s="38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4.25" customHeight="1">
      <c r="A672" s="38"/>
      <c r="B672" s="38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4.25" customHeight="1">
      <c r="A673" s="38"/>
      <c r="B673" s="38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4.25" customHeight="1">
      <c r="A674" s="38"/>
      <c r="B674" s="38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4.25" customHeight="1">
      <c r="A675" s="38"/>
      <c r="B675" s="38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4.25" customHeight="1">
      <c r="A676" s="38"/>
      <c r="B676" s="38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4.25" customHeight="1">
      <c r="A677" s="38"/>
      <c r="B677" s="38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4.25" customHeight="1">
      <c r="A678" s="38"/>
      <c r="B678" s="38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4.25" customHeight="1">
      <c r="A679" s="38"/>
      <c r="B679" s="38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4.25" customHeight="1">
      <c r="A680" s="38"/>
      <c r="B680" s="38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4.25" customHeight="1">
      <c r="A681" s="38"/>
      <c r="B681" s="38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4.25" customHeight="1">
      <c r="A682" s="38"/>
      <c r="B682" s="38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4.25" customHeight="1">
      <c r="A683" s="38"/>
      <c r="B683" s="38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4.25" customHeight="1">
      <c r="A684" s="38"/>
      <c r="B684" s="38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4.25" customHeight="1">
      <c r="A685" s="38"/>
      <c r="B685" s="38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4.25" customHeight="1">
      <c r="A686" s="38"/>
      <c r="B686" s="38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4.25" customHeight="1">
      <c r="A687" s="38"/>
      <c r="B687" s="38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4.25" customHeight="1">
      <c r="A688" s="38"/>
      <c r="B688" s="38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4.25" customHeight="1">
      <c r="A689" s="38"/>
      <c r="B689" s="38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4.25" customHeight="1">
      <c r="A690" s="38"/>
      <c r="B690" s="38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4.25" customHeight="1">
      <c r="A691" s="38"/>
      <c r="B691" s="38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4.25" customHeight="1">
      <c r="A692" s="38"/>
      <c r="B692" s="38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4.25" customHeight="1">
      <c r="A693" s="38"/>
      <c r="B693" s="38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4.25" customHeight="1">
      <c r="A694" s="38"/>
      <c r="B694" s="38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4.25" customHeight="1">
      <c r="A695" s="38"/>
      <c r="B695" s="38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4.25" customHeight="1">
      <c r="A696" s="38"/>
      <c r="B696" s="38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4.25" customHeight="1">
      <c r="A697" s="38"/>
      <c r="B697" s="38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4.25" customHeight="1">
      <c r="A698" s="38"/>
      <c r="B698" s="38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4.25" customHeight="1">
      <c r="A699" s="38"/>
      <c r="B699" s="38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4.25" customHeight="1">
      <c r="A700" s="38"/>
      <c r="B700" s="38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4.25" customHeight="1">
      <c r="A701" s="38"/>
      <c r="B701" s="38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4.25" customHeight="1">
      <c r="A702" s="38"/>
      <c r="B702" s="38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4.25" customHeight="1">
      <c r="A703" s="38"/>
      <c r="B703" s="38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4.25" customHeight="1">
      <c r="A704" s="38"/>
      <c r="B704" s="38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4.25" customHeight="1">
      <c r="A705" s="38"/>
      <c r="B705" s="38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4.25" customHeight="1">
      <c r="A706" s="38"/>
      <c r="B706" s="38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4.25" customHeight="1">
      <c r="A707" s="38"/>
      <c r="B707" s="38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4.25" customHeight="1">
      <c r="A708" s="38"/>
      <c r="B708" s="38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4.25" customHeight="1">
      <c r="A709" s="38"/>
      <c r="B709" s="38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4.25" customHeight="1">
      <c r="A710" s="38"/>
      <c r="B710" s="38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4.25" customHeight="1">
      <c r="A711" s="38"/>
      <c r="B711" s="38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4.25" customHeight="1">
      <c r="A712" s="38"/>
      <c r="B712" s="38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4.25" customHeight="1">
      <c r="A713" s="38"/>
      <c r="B713" s="38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4.25" customHeight="1">
      <c r="A714" s="38"/>
      <c r="B714" s="38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4.25" customHeight="1">
      <c r="A715" s="38"/>
      <c r="B715" s="38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4.25" customHeight="1">
      <c r="A716" s="38"/>
      <c r="B716" s="38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4.25" customHeight="1">
      <c r="A717" s="38"/>
      <c r="B717" s="38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4.25" customHeight="1">
      <c r="A718" s="38"/>
      <c r="B718" s="38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4.25" customHeight="1">
      <c r="A719" s="38"/>
      <c r="B719" s="38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4.25" customHeight="1">
      <c r="A720" s="38"/>
      <c r="B720" s="38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4.25" customHeight="1">
      <c r="A721" s="38"/>
      <c r="B721" s="38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4.25" customHeight="1">
      <c r="A722" s="38"/>
      <c r="B722" s="38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4.25" customHeight="1">
      <c r="A723" s="38"/>
      <c r="B723" s="38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4.25" customHeight="1">
      <c r="A724" s="38"/>
      <c r="B724" s="38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4.25" customHeight="1">
      <c r="A725" s="38"/>
      <c r="B725" s="38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4.25" customHeight="1">
      <c r="A726" s="38"/>
      <c r="B726" s="38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4.25" customHeight="1">
      <c r="A727" s="38"/>
      <c r="B727" s="38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4.25" customHeight="1">
      <c r="A728" s="38"/>
      <c r="B728" s="38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4.25" customHeight="1">
      <c r="A729" s="38"/>
      <c r="B729" s="38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4.25" customHeight="1">
      <c r="A730" s="38"/>
      <c r="B730" s="38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4.25" customHeight="1">
      <c r="A731" s="38"/>
      <c r="B731" s="38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4.25" customHeight="1">
      <c r="A732" s="38"/>
      <c r="B732" s="38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4.25" customHeight="1">
      <c r="A733" s="38"/>
      <c r="B733" s="38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4.25" customHeight="1">
      <c r="A734" s="38"/>
      <c r="B734" s="38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4.25" customHeight="1">
      <c r="A735" s="38"/>
      <c r="B735" s="38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4.25" customHeight="1">
      <c r="A736" s="38"/>
      <c r="B736" s="38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4.25" customHeight="1">
      <c r="A737" s="38"/>
      <c r="B737" s="38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4.25" customHeight="1">
      <c r="A738" s="38"/>
      <c r="B738" s="38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4.25" customHeight="1">
      <c r="A739" s="38"/>
      <c r="B739" s="38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4.25" customHeight="1">
      <c r="A740" s="38"/>
      <c r="B740" s="38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4.25" customHeight="1">
      <c r="A741" s="38"/>
      <c r="B741" s="38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4.25" customHeight="1">
      <c r="A742" s="38"/>
      <c r="B742" s="38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4.25" customHeight="1">
      <c r="A743" s="38"/>
      <c r="B743" s="38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4.25" customHeight="1">
      <c r="A744" s="38"/>
      <c r="B744" s="38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4.25" customHeight="1">
      <c r="A745" s="38"/>
      <c r="B745" s="38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4.25" customHeight="1">
      <c r="A746" s="38"/>
      <c r="B746" s="38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4.25" customHeight="1">
      <c r="A747" s="38"/>
      <c r="B747" s="38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4.25" customHeight="1">
      <c r="A748" s="38"/>
      <c r="B748" s="38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4.25" customHeight="1">
      <c r="A749" s="38"/>
      <c r="B749" s="38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4.25" customHeight="1">
      <c r="A750" s="38"/>
      <c r="B750" s="38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4.25" customHeight="1">
      <c r="A751" s="38"/>
      <c r="B751" s="38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4.25" customHeight="1">
      <c r="A752" s="38"/>
      <c r="B752" s="38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4.25" customHeight="1">
      <c r="A753" s="38"/>
      <c r="B753" s="38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4.25" customHeight="1">
      <c r="A754" s="38"/>
      <c r="B754" s="38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4.25" customHeight="1">
      <c r="A755" s="38"/>
      <c r="B755" s="38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4.25" customHeight="1">
      <c r="A756" s="38"/>
      <c r="B756" s="38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4.25" customHeight="1">
      <c r="A757" s="38"/>
      <c r="B757" s="38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4.25" customHeight="1">
      <c r="A758" s="38"/>
      <c r="B758" s="38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4.25" customHeight="1">
      <c r="A759" s="38"/>
      <c r="B759" s="38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4.25" customHeight="1">
      <c r="A760" s="38"/>
      <c r="B760" s="38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4.25" customHeight="1">
      <c r="A761" s="38"/>
      <c r="B761" s="38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4.25" customHeight="1">
      <c r="A762" s="38"/>
      <c r="B762" s="38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4.25" customHeight="1">
      <c r="A763" s="38"/>
      <c r="B763" s="38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4.25" customHeight="1">
      <c r="A764" s="38"/>
      <c r="B764" s="38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4.25" customHeight="1">
      <c r="A765" s="38"/>
      <c r="B765" s="38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4.25" customHeight="1">
      <c r="A766" s="38"/>
      <c r="B766" s="38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4.25" customHeight="1">
      <c r="A767" s="38"/>
      <c r="B767" s="38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4.25" customHeight="1">
      <c r="A768" s="38"/>
      <c r="B768" s="38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4.25" customHeight="1">
      <c r="A769" s="38"/>
      <c r="B769" s="38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4.25" customHeight="1">
      <c r="A770" s="38"/>
      <c r="B770" s="38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4.25" customHeight="1">
      <c r="A771" s="38"/>
      <c r="B771" s="38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4.25" customHeight="1">
      <c r="A772" s="38"/>
      <c r="B772" s="38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4.25" customHeight="1">
      <c r="A773" s="38"/>
      <c r="B773" s="38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4.25" customHeight="1">
      <c r="A774" s="38"/>
      <c r="B774" s="38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4.25" customHeight="1">
      <c r="A775" s="38"/>
      <c r="B775" s="38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4.25" customHeight="1">
      <c r="A776" s="38"/>
      <c r="B776" s="38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4.25" customHeight="1">
      <c r="A777" s="38"/>
      <c r="B777" s="38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4.25" customHeight="1">
      <c r="A778" s="38"/>
      <c r="B778" s="38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4.25" customHeight="1">
      <c r="A779" s="38"/>
      <c r="B779" s="38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4.25" customHeight="1">
      <c r="A780" s="38"/>
      <c r="B780" s="38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4.25" customHeight="1">
      <c r="A781" s="38"/>
      <c r="B781" s="38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4.25" customHeight="1">
      <c r="A782" s="38"/>
      <c r="B782" s="38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4.25" customHeight="1">
      <c r="A783" s="38"/>
      <c r="B783" s="38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4.25" customHeight="1">
      <c r="A784" s="38"/>
      <c r="B784" s="38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4.25" customHeight="1">
      <c r="A785" s="38"/>
      <c r="B785" s="38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4.25" customHeight="1">
      <c r="A786" s="38"/>
      <c r="B786" s="38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4.25" customHeight="1">
      <c r="A787" s="38"/>
      <c r="B787" s="38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4.25" customHeight="1">
      <c r="A788" s="38"/>
      <c r="B788" s="38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4.25" customHeight="1">
      <c r="A789" s="38"/>
      <c r="B789" s="38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4.25" customHeight="1">
      <c r="A790" s="38"/>
      <c r="B790" s="38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4.25" customHeight="1">
      <c r="A791" s="38"/>
      <c r="B791" s="38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4.25" customHeight="1">
      <c r="A792" s="38"/>
      <c r="B792" s="38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4.25" customHeight="1">
      <c r="A793" s="38"/>
      <c r="B793" s="38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4.25" customHeight="1">
      <c r="A794" s="38"/>
      <c r="B794" s="38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4.25" customHeight="1">
      <c r="A795" s="38"/>
      <c r="B795" s="38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4.25" customHeight="1">
      <c r="A796" s="38"/>
      <c r="B796" s="38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4.25" customHeight="1">
      <c r="A797" s="38"/>
      <c r="B797" s="38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4.25" customHeight="1">
      <c r="A798" s="38"/>
      <c r="B798" s="38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4.25" customHeight="1">
      <c r="A799" s="38"/>
      <c r="B799" s="38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4.25" customHeight="1">
      <c r="A800" s="38"/>
      <c r="B800" s="38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4.25" customHeight="1">
      <c r="A801" s="38"/>
      <c r="B801" s="38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4.25" customHeight="1">
      <c r="A802" s="38"/>
      <c r="B802" s="38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4.25" customHeight="1">
      <c r="A803" s="38"/>
      <c r="B803" s="38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4.25" customHeight="1">
      <c r="A804" s="38"/>
      <c r="B804" s="38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4.25" customHeight="1">
      <c r="A805" s="38"/>
      <c r="B805" s="38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4.25" customHeight="1">
      <c r="A806" s="38"/>
      <c r="B806" s="38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4.25" customHeight="1">
      <c r="A807" s="38"/>
      <c r="B807" s="38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4.25" customHeight="1">
      <c r="A808" s="38"/>
      <c r="B808" s="38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4.25" customHeight="1">
      <c r="A809" s="38"/>
      <c r="B809" s="38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4.25" customHeight="1">
      <c r="A810" s="38"/>
      <c r="B810" s="38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4.25" customHeight="1">
      <c r="A811" s="38"/>
      <c r="B811" s="38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4.25" customHeight="1">
      <c r="A812" s="38"/>
      <c r="B812" s="38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4.25" customHeight="1">
      <c r="A813" s="38"/>
      <c r="B813" s="38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4.25" customHeight="1">
      <c r="A814" s="38"/>
      <c r="B814" s="38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4.25" customHeight="1">
      <c r="A815" s="38"/>
      <c r="B815" s="38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4.25" customHeight="1">
      <c r="A816" s="38"/>
      <c r="B816" s="38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4.25" customHeight="1">
      <c r="A817" s="38"/>
      <c r="B817" s="38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4.25" customHeight="1">
      <c r="A818" s="38"/>
      <c r="B818" s="38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4.25" customHeight="1">
      <c r="A819" s="38"/>
      <c r="B819" s="38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4.25" customHeight="1">
      <c r="A820" s="38"/>
      <c r="B820" s="38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4.25" customHeight="1">
      <c r="A821" s="38"/>
      <c r="B821" s="38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4.25" customHeight="1">
      <c r="A822" s="38"/>
      <c r="B822" s="38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4.25" customHeight="1">
      <c r="A823" s="38"/>
      <c r="B823" s="38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4.25" customHeight="1">
      <c r="A824" s="38"/>
      <c r="B824" s="38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4.25" customHeight="1">
      <c r="A825" s="38"/>
      <c r="B825" s="38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4.25" customHeight="1">
      <c r="A826" s="38"/>
      <c r="B826" s="38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4.25" customHeight="1">
      <c r="A827" s="38"/>
      <c r="B827" s="38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4.25" customHeight="1">
      <c r="A828" s="38"/>
      <c r="B828" s="38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4.25" customHeight="1">
      <c r="A829" s="38"/>
      <c r="B829" s="38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4.25" customHeight="1">
      <c r="A830" s="38"/>
      <c r="B830" s="38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4.25" customHeight="1">
      <c r="A831" s="38"/>
      <c r="B831" s="38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4.25" customHeight="1">
      <c r="A832" s="38"/>
      <c r="B832" s="38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4.25" customHeight="1">
      <c r="A833" s="38"/>
      <c r="B833" s="38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4.25" customHeight="1">
      <c r="A834" s="38"/>
      <c r="B834" s="38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4.25" customHeight="1">
      <c r="A835" s="38"/>
      <c r="B835" s="38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4.25" customHeight="1">
      <c r="A836" s="38"/>
      <c r="B836" s="38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4.25" customHeight="1">
      <c r="A837" s="38"/>
      <c r="B837" s="38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4.25" customHeight="1">
      <c r="A838" s="38"/>
      <c r="B838" s="38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4.25" customHeight="1">
      <c r="A839" s="38"/>
      <c r="B839" s="38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4.25" customHeight="1">
      <c r="A840" s="38"/>
      <c r="B840" s="38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4.25" customHeight="1">
      <c r="A841" s="38"/>
      <c r="B841" s="38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4.25" customHeight="1">
      <c r="A842" s="38"/>
      <c r="B842" s="38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4.25" customHeight="1">
      <c r="A843" s="38"/>
      <c r="B843" s="38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4.25" customHeight="1">
      <c r="A844" s="38"/>
      <c r="B844" s="38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4.25" customHeight="1">
      <c r="A845" s="38"/>
      <c r="B845" s="38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4.25" customHeight="1">
      <c r="A846" s="38"/>
      <c r="B846" s="38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4.25" customHeight="1">
      <c r="A847" s="38"/>
      <c r="B847" s="38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4.25" customHeight="1">
      <c r="A848" s="38"/>
      <c r="B848" s="38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4.25" customHeight="1">
      <c r="A849" s="38"/>
      <c r="B849" s="38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4.25" customHeight="1">
      <c r="A850" s="38"/>
      <c r="B850" s="38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4.25" customHeight="1">
      <c r="A851" s="38"/>
      <c r="B851" s="38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4.25" customHeight="1">
      <c r="A852" s="38"/>
      <c r="B852" s="38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4.25" customHeight="1">
      <c r="A853" s="38"/>
      <c r="B853" s="38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4.25" customHeight="1">
      <c r="A854" s="38"/>
      <c r="B854" s="38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4.25" customHeight="1">
      <c r="A855" s="38"/>
      <c r="B855" s="38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4.25" customHeight="1">
      <c r="A856" s="38"/>
      <c r="B856" s="38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4.25" customHeight="1">
      <c r="A857" s="38"/>
      <c r="B857" s="38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4.25" customHeight="1">
      <c r="A858" s="38"/>
      <c r="B858" s="38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4.25" customHeight="1">
      <c r="A859" s="38"/>
      <c r="B859" s="38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4.25" customHeight="1">
      <c r="A860" s="38"/>
      <c r="B860" s="38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4.25" customHeight="1">
      <c r="A861" s="38"/>
      <c r="B861" s="38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4.25" customHeight="1">
      <c r="A862" s="38"/>
      <c r="B862" s="38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4.25" customHeight="1">
      <c r="A863" s="38"/>
      <c r="B863" s="38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4.25" customHeight="1">
      <c r="A864" s="38"/>
      <c r="B864" s="38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4.25" customHeight="1">
      <c r="A865" s="38"/>
      <c r="B865" s="38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4.25" customHeight="1">
      <c r="A866" s="38"/>
      <c r="B866" s="38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4.25" customHeight="1">
      <c r="A867" s="38"/>
      <c r="B867" s="38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4.25" customHeight="1">
      <c r="A868" s="38"/>
      <c r="B868" s="38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4.25" customHeight="1">
      <c r="A869" s="38"/>
      <c r="B869" s="38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4.25" customHeight="1">
      <c r="A870" s="38"/>
      <c r="B870" s="38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4.25" customHeight="1">
      <c r="A871" s="38"/>
      <c r="B871" s="38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4.25" customHeight="1">
      <c r="A872" s="38"/>
      <c r="B872" s="38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4.25" customHeight="1">
      <c r="A873" s="38"/>
      <c r="B873" s="38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4.25" customHeight="1">
      <c r="A874" s="38"/>
      <c r="B874" s="38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4.25" customHeight="1">
      <c r="A875" s="38"/>
      <c r="B875" s="38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4.25" customHeight="1">
      <c r="A876" s="38"/>
      <c r="B876" s="38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4.25" customHeight="1">
      <c r="A877" s="38"/>
      <c r="B877" s="38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4.25" customHeight="1">
      <c r="A878" s="38"/>
      <c r="B878" s="38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4.25" customHeight="1">
      <c r="A879" s="38"/>
      <c r="B879" s="38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4.25" customHeight="1">
      <c r="A880" s="38"/>
      <c r="B880" s="38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4.25" customHeight="1">
      <c r="A881" s="38"/>
      <c r="B881" s="38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4.25" customHeight="1">
      <c r="A882" s="38"/>
      <c r="B882" s="38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4.25" customHeight="1">
      <c r="A883" s="38"/>
      <c r="B883" s="38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4.25" customHeight="1">
      <c r="A884" s="38"/>
      <c r="B884" s="38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4.25" customHeight="1">
      <c r="A885" s="38"/>
      <c r="B885" s="38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4.25" customHeight="1">
      <c r="A886" s="38"/>
      <c r="B886" s="38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4.25" customHeight="1">
      <c r="A887" s="38"/>
      <c r="B887" s="38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4.25" customHeight="1">
      <c r="A888" s="38"/>
      <c r="B888" s="38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4.25" customHeight="1">
      <c r="A889" s="38"/>
      <c r="B889" s="38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4.25" customHeight="1">
      <c r="A890" s="38"/>
      <c r="B890" s="38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4.25" customHeight="1">
      <c r="A891" s="38"/>
      <c r="B891" s="38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4.25" customHeight="1">
      <c r="A892" s="38"/>
      <c r="B892" s="38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4.25" customHeight="1">
      <c r="A893" s="38"/>
      <c r="B893" s="38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4.25" customHeight="1">
      <c r="A894" s="38"/>
      <c r="B894" s="38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4.25" customHeight="1">
      <c r="A895" s="38"/>
      <c r="B895" s="38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4.25" customHeight="1">
      <c r="A896" s="38"/>
      <c r="B896" s="38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4.25" customHeight="1">
      <c r="A897" s="38"/>
      <c r="B897" s="38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4.25" customHeight="1">
      <c r="A898" s="38"/>
      <c r="B898" s="38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4.25" customHeight="1">
      <c r="A899" s="38"/>
      <c r="B899" s="38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4.25" customHeight="1">
      <c r="A900" s="38"/>
      <c r="B900" s="38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4.25" customHeight="1">
      <c r="A901" s="38"/>
      <c r="B901" s="38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4.25" customHeight="1">
      <c r="A902" s="38"/>
      <c r="B902" s="38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4.25" customHeight="1">
      <c r="A903" s="38"/>
      <c r="B903" s="38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4.25" customHeight="1">
      <c r="A904" s="38"/>
      <c r="B904" s="38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4.25" customHeight="1">
      <c r="A905" s="38"/>
      <c r="B905" s="38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4.25" customHeight="1">
      <c r="A906" s="38"/>
      <c r="B906" s="38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4.25" customHeight="1">
      <c r="A907" s="38"/>
      <c r="B907" s="38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4.25" customHeight="1">
      <c r="A908" s="38"/>
      <c r="B908" s="38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4.25" customHeight="1">
      <c r="A909" s="38"/>
      <c r="B909" s="38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4.25" customHeight="1">
      <c r="A910" s="38"/>
      <c r="B910" s="38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4.25" customHeight="1">
      <c r="A911" s="38"/>
      <c r="B911" s="38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4.25" customHeight="1">
      <c r="A912" s="38"/>
      <c r="B912" s="38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4.25" customHeight="1">
      <c r="A913" s="38"/>
      <c r="B913" s="38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4.25" customHeight="1">
      <c r="A914" s="38"/>
      <c r="B914" s="38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4.25" customHeight="1">
      <c r="A915" s="38"/>
      <c r="B915" s="38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4.25" customHeight="1">
      <c r="A916" s="38"/>
      <c r="B916" s="38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4.25" customHeight="1">
      <c r="A917" s="38"/>
      <c r="B917" s="38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4.25" customHeight="1">
      <c r="A918" s="38"/>
      <c r="B918" s="38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4.25" customHeight="1">
      <c r="A919" s="38"/>
      <c r="B919" s="38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4.25" customHeight="1">
      <c r="A920" s="38"/>
      <c r="B920" s="38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4.25" customHeight="1">
      <c r="A921" s="38"/>
      <c r="B921" s="38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4.25" customHeight="1">
      <c r="A922" s="38"/>
      <c r="B922" s="38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4.25" customHeight="1">
      <c r="A923" s="38"/>
      <c r="B923" s="38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4.25" customHeight="1">
      <c r="A924" s="38"/>
      <c r="B924" s="38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4.25" customHeight="1">
      <c r="A925" s="38"/>
      <c r="B925" s="38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4.25" customHeight="1">
      <c r="A926" s="38"/>
      <c r="B926" s="38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4.25" customHeight="1">
      <c r="A927" s="38"/>
      <c r="B927" s="38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4.25" customHeight="1">
      <c r="A928" s="38"/>
      <c r="B928" s="38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4.25" customHeight="1">
      <c r="A929" s="38"/>
      <c r="B929" s="38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4.25" customHeight="1">
      <c r="A930" s="38"/>
      <c r="B930" s="38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4.25" customHeight="1">
      <c r="A931" s="38"/>
      <c r="B931" s="38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4.25" customHeight="1">
      <c r="A932" s="38"/>
      <c r="B932" s="38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4.25" customHeight="1">
      <c r="A933" s="38"/>
      <c r="B933" s="38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4.25" customHeight="1">
      <c r="A934" s="38"/>
      <c r="B934" s="38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4.25" customHeight="1">
      <c r="A935" s="38"/>
      <c r="B935" s="38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4.25" customHeight="1">
      <c r="A936" s="38"/>
      <c r="B936" s="38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4.25" customHeight="1">
      <c r="A937" s="38"/>
      <c r="B937" s="38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4.25" customHeight="1">
      <c r="A938" s="38"/>
      <c r="B938" s="38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4.25" customHeight="1">
      <c r="A939" s="38"/>
      <c r="B939" s="38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4.25" customHeight="1">
      <c r="A940" s="38"/>
      <c r="B940" s="38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4.25" customHeight="1">
      <c r="A941" s="38"/>
      <c r="B941" s="38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4.25" customHeight="1">
      <c r="A942" s="38"/>
      <c r="B942" s="38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4.25" customHeight="1">
      <c r="A943" s="38"/>
      <c r="B943" s="38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4.25" customHeight="1">
      <c r="A944" s="38"/>
      <c r="B944" s="38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4.25" customHeight="1">
      <c r="A945" s="38"/>
      <c r="B945" s="38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4.25" customHeight="1">
      <c r="A946" s="38"/>
      <c r="B946" s="38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4.25" customHeight="1">
      <c r="A947" s="38"/>
      <c r="B947" s="38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4.25" customHeight="1">
      <c r="A948" s="38"/>
      <c r="B948" s="38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4.25" customHeight="1">
      <c r="A949" s="38"/>
      <c r="B949" s="38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4.25" customHeight="1">
      <c r="A950" s="38"/>
      <c r="B950" s="38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4.25" customHeight="1">
      <c r="A951" s="38"/>
      <c r="B951" s="38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4.25" customHeight="1">
      <c r="A952" s="38"/>
      <c r="B952" s="38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4.25" customHeight="1">
      <c r="A953" s="38"/>
      <c r="B953" s="38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4.25" customHeight="1">
      <c r="A954" s="38"/>
      <c r="B954" s="38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4.25" customHeight="1">
      <c r="A955" s="38"/>
      <c r="B955" s="38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4.25" customHeight="1">
      <c r="A956" s="38"/>
      <c r="B956" s="38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4.25" customHeight="1">
      <c r="A957" s="38"/>
      <c r="B957" s="38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4.25" customHeight="1">
      <c r="A958" s="38"/>
      <c r="B958" s="38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4.25" customHeight="1">
      <c r="A959" s="38"/>
      <c r="B959" s="38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4.25" customHeight="1">
      <c r="A960" s="38"/>
      <c r="B960" s="38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4.25" customHeight="1">
      <c r="A961" s="38"/>
      <c r="B961" s="38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4.25" customHeight="1">
      <c r="A962" s="38"/>
      <c r="B962" s="38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4.25" customHeight="1">
      <c r="A963" s="38"/>
      <c r="B963" s="38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4.25" customHeight="1">
      <c r="A964" s="38"/>
      <c r="B964" s="38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4.25" customHeight="1">
      <c r="A965" s="38"/>
      <c r="B965" s="38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4.25" customHeight="1">
      <c r="A966" s="38"/>
      <c r="B966" s="38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4.25" customHeight="1">
      <c r="A967" s="38"/>
      <c r="B967" s="38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4.25" customHeight="1">
      <c r="A968" s="38"/>
      <c r="B968" s="38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4.25" customHeight="1">
      <c r="A969" s="38"/>
      <c r="B969" s="38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4.25" customHeight="1">
      <c r="A970" s="38"/>
      <c r="B970" s="38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4.25" customHeight="1">
      <c r="A971" s="38"/>
      <c r="B971" s="38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4.25" customHeight="1">
      <c r="A972" s="38"/>
      <c r="B972" s="38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4.25" customHeight="1">
      <c r="A973" s="38"/>
      <c r="B973" s="38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4.25" customHeight="1">
      <c r="A974" s="38"/>
      <c r="B974" s="38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4.25" customHeight="1">
      <c r="A975" s="38"/>
      <c r="B975" s="38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4.25" customHeight="1">
      <c r="A976" s="38"/>
      <c r="B976" s="38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4.25" customHeight="1">
      <c r="A977" s="38"/>
      <c r="B977" s="38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4.25" customHeight="1">
      <c r="A978" s="38"/>
      <c r="B978" s="38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4.25" customHeight="1">
      <c r="A979" s="38"/>
      <c r="B979" s="38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4.25" customHeight="1">
      <c r="A980" s="38"/>
      <c r="B980" s="38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4.25" customHeight="1">
      <c r="A981" s="38"/>
      <c r="B981" s="38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4.25" customHeight="1">
      <c r="A982" s="38"/>
      <c r="B982" s="38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4.25" customHeight="1">
      <c r="A983" s="38"/>
      <c r="B983" s="38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4.25" customHeight="1">
      <c r="A984" s="38"/>
      <c r="B984" s="38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4.25" customHeight="1">
      <c r="A985" s="38"/>
      <c r="B985" s="38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4.25" customHeight="1">
      <c r="A986" s="38"/>
      <c r="B986" s="38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4.25" customHeight="1">
      <c r="A987" s="38"/>
      <c r="B987" s="38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4.25" customHeight="1">
      <c r="A988" s="38"/>
      <c r="B988" s="38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4.25" customHeight="1">
      <c r="A989" s="38"/>
      <c r="B989" s="38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4.25" customHeight="1">
      <c r="A990" s="38"/>
      <c r="B990" s="38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4.25" customHeight="1">
      <c r="A991" s="38"/>
      <c r="B991" s="38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4.25" customHeight="1">
      <c r="A992" s="38"/>
      <c r="B992" s="38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4.25" customHeight="1">
      <c r="A993" s="38"/>
      <c r="B993" s="38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4.25" customHeight="1">
      <c r="A994" s="38"/>
      <c r="B994" s="38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4.25" customHeight="1">
      <c r="A995" s="38"/>
      <c r="B995" s="38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4.25" customHeight="1">
      <c r="A996" s="38"/>
      <c r="B996" s="38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4.25" customHeight="1">
      <c r="A997" s="38"/>
      <c r="B997" s="38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4.25" customHeight="1">
      <c r="A998" s="38"/>
      <c r="B998" s="38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4.25" customHeight="1">
      <c r="A999" s="38"/>
      <c r="B999" s="38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4.25" customHeight="1">
      <c r="A1000" s="38"/>
      <c r="B1000" s="38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C38:D38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D17" sqref="D17"/>
    </sheetView>
  </sheetViews>
  <sheetFormatPr defaultColWidth="14.36328125" defaultRowHeight="15" customHeight="1"/>
  <cols>
    <col min="1" max="1" width="19.7265625" style="30" customWidth="1"/>
    <col min="2" max="2" width="16.36328125" style="30" hidden="1" customWidth="1"/>
    <col min="3" max="3" width="15.54296875" style="30" customWidth="1"/>
    <col min="4" max="4" width="21.36328125" style="30" customWidth="1"/>
    <col min="5" max="26" width="8.7265625" style="30" customWidth="1"/>
    <col min="27" max="16384" width="14.36328125" style="30"/>
  </cols>
  <sheetData>
    <row r="1" spans="1:26" ht="14.25" customHeight="1">
      <c r="A1" s="63"/>
      <c r="B1" s="64"/>
      <c r="C1" s="64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4.25" customHeight="1">
      <c r="A2" s="63"/>
      <c r="B2" s="64"/>
      <c r="C2" s="64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35.25" customHeight="1">
      <c r="A3" s="65" t="s">
        <v>74</v>
      </c>
      <c r="B3" s="66" t="s">
        <v>94</v>
      </c>
      <c r="C3" s="66" t="s">
        <v>95</v>
      </c>
      <c r="D3" s="67" t="s">
        <v>21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>
      <c r="A4" s="54" t="s">
        <v>96</v>
      </c>
      <c r="B4" s="68"/>
      <c r="C4" s="68">
        <v>0.18</v>
      </c>
      <c r="D4" s="69" t="s">
        <v>97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4.25" customHeight="1">
      <c r="A5" s="55"/>
      <c r="B5" s="68"/>
      <c r="C5" s="68"/>
      <c r="D5" s="69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4.25" customHeight="1">
      <c r="A6" s="55"/>
      <c r="B6" s="68"/>
      <c r="C6" s="68"/>
      <c r="D6" s="69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4.25" customHeight="1">
      <c r="A7" s="55"/>
      <c r="B7" s="68"/>
      <c r="C7" s="68"/>
      <c r="D7" s="69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4.25" customHeight="1">
      <c r="A8" s="55"/>
      <c r="B8" s="68"/>
      <c r="C8" s="68"/>
      <c r="D8" s="69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4.25" customHeight="1">
      <c r="A9" s="65"/>
      <c r="B9" s="70"/>
      <c r="C9" s="66" t="s">
        <v>98</v>
      </c>
      <c r="D9" s="67" t="s">
        <v>273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4.25" customHeight="1">
      <c r="A10" s="63"/>
      <c r="B10" s="64"/>
      <c r="C10" s="64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4.25" customHeight="1">
      <c r="A11" s="63"/>
      <c r="B11" s="64"/>
      <c r="C11" s="64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4.25" customHeight="1">
      <c r="A12" s="63"/>
      <c r="B12" s="64"/>
      <c r="C12" s="64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4.25" customHeight="1">
      <c r="A13" s="63"/>
      <c r="B13" s="64"/>
      <c r="C13" s="64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4.25" customHeight="1">
      <c r="A14" s="63"/>
      <c r="B14" s="64"/>
      <c r="C14" s="64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4.25" customHeight="1">
      <c r="A15" s="63"/>
      <c r="B15" s="64"/>
      <c r="C15" s="64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4.25" customHeight="1">
      <c r="A16" s="63"/>
      <c r="B16" s="64"/>
      <c r="C16" s="64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4.25" customHeight="1">
      <c r="A17" s="63"/>
      <c r="B17" s="64"/>
      <c r="C17" s="64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4.25" customHeight="1">
      <c r="A18" s="63"/>
      <c r="B18" s="64"/>
      <c r="C18" s="64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4.25" customHeight="1">
      <c r="A19" s="63"/>
      <c r="B19" s="64"/>
      <c r="C19" s="64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4"/>
      <c r="C20" s="64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4"/>
      <c r="C21" s="64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4"/>
      <c r="C22" s="64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4"/>
      <c r="C23" s="64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4"/>
      <c r="C24" s="64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4"/>
      <c r="C25" s="64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4"/>
      <c r="C26" s="64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4"/>
      <c r="C27" s="64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4"/>
      <c r="C28" s="64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4"/>
      <c r="C29" s="64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4"/>
      <c r="C30" s="64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4"/>
      <c r="C31" s="64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4"/>
      <c r="C32" s="64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4"/>
      <c r="C33" s="64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4"/>
      <c r="C34" s="64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4"/>
      <c r="C35" s="64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4"/>
      <c r="C36" s="64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4"/>
      <c r="C37" s="64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4"/>
      <c r="C38" s="64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4"/>
      <c r="C39" s="64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4"/>
      <c r="C40" s="64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4"/>
      <c r="C41" s="64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4"/>
      <c r="C42" s="64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4"/>
      <c r="C43" s="64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4"/>
      <c r="C44" s="64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4"/>
      <c r="C45" s="64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4"/>
      <c r="C46" s="64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4"/>
      <c r="C47" s="64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4"/>
      <c r="C48" s="64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4"/>
      <c r="C49" s="64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4"/>
      <c r="C50" s="64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4"/>
      <c r="C51" s="64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4"/>
      <c r="C52" s="64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4"/>
      <c r="C53" s="64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4"/>
      <c r="C54" s="64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4"/>
      <c r="C55" s="64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4"/>
      <c r="C56" s="64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4"/>
      <c r="C57" s="64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4"/>
      <c r="C58" s="64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4"/>
      <c r="C59" s="64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4"/>
      <c r="C60" s="64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4"/>
      <c r="C61" s="64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4"/>
      <c r="C62" s="64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4"/>
      <c r="C63" s="64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4"/>
      <c r="C64" s="64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4"/>
      <c r="C65" s="64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4"/>
      <c r="C66" s="64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4"/>
      <c r="C67" s="64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4"/>
      <c r="C68" s="64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4"/>
      <c r="C69" s="64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4"/>
      <c r="C70" s="64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4"/>
      <c r="C71" s="64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4"/>
      <c r="C72" s="64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4"/>
      <c r="C73" s="64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4"/>
      <c r="C74" s="64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4"/>
      <c r="C75" s="64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4"/>
      <c r="C76" s="64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4"/>
      <c r="C77" s="64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4"/>
      <c r="C78" s="64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4"/>
      <c r="C79" s="64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4"/>
      <c r="C80" s="64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4"/>
      <c r="C81" s="64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4"/>
      <c r="C82" s="64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4"/>
      <c r="C83" s="64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4"/>
      <c r="C84" s="64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4"/>
      <c r="C85" s="64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4"/>
      <c r="C86" s="64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4"/>
      <c r="C87" s="64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4"/>
      <c r="C88" s="64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4"/>
      <c r="C89" s="64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4"/>
      <c r="C90" s="64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4"/>
      <c r="C91" s="64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4"/>
      <c r="C92" s="64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4"/>
      <c r="C93" s="64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4"/>
      <c r="C94" s="64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4"/>
      <c r="C95" s="64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4"/>
      <c r="C96" s="64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4"/>
      <c r="C97" s="64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4"/>
      <c r="C98" s="64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4"/>
      <c r="C99" s="64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4"/>
      <c r="C100" s="64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4"/>
      <c r="C101" s="64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4"/>
      <c r="C102" s="64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4"/>
      <c r="C103" s="64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4"/>
      <c r="C104" s="64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4"/>
      <c r="C105" s="64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4"/>
      <c r="C106" s="64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4"/>
      <c r="C107" s="64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4"/>
      <c r="C108" s="64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4"/>
      <c r="C109" s="64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4"/>
      <c r="C110" s="64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4"/>
      <c r="C111" s="64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4"/>
      <c r="C112" s="64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4"/>
      <c r="C113" s="64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4"/>
      <c r="C114" s="64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4"/>
      <c r="C115" s="64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4"/>
      <c r="C116" s="64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4"/>
      <c r="C117" s="64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4"/>
      <c r="C118" s="64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4"/>
      <c r="C119" s="64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4"/>
      <c r="C120" s="64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4"/>
      <c r="C121" s="64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4"/>
      <c r="C122" s="64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4"/>
      <c r="C123" s="64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4"/>
      <c r="C124" s="64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4"/>
      <c r="C125" s="64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4"/>
      <c r="C126" s="64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4"/>
      <c r="C127" s="64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4"/>
      <c r="C128" s="64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4"/>
      <c r="C129" s="64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4"/>
      <c r="C130" s="64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4"/>
      <c r="C131" s="64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4"/>
      <c r="C132" s="64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4"/>
      <c r="C133" s="64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4"/>
      <c r="C134" s="64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4"/>
      <c r="C135" s="64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4"/>
      <c r="C136" s="64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4"/>
      <c r="C137" s="64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4"/>
      <c r="C138" s="64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4"/>
      <c r="C139" s="64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4"/>
      <c r="C140" s="64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4"/>
      <c r="C141" s="64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4"/>
      <c r="C142" s="64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4"/>
      <c r="C143" s="64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4"/>
      <c r="C144" s="64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4"/>
      <c r="C145" s="64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4"/>
      <c r="C146" s="64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4"/>
      <c r="C147" s="64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4"/>
      <c r="C148" s="64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4"/>
      <c r="C149" s="64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4"/>
      <c r="C150" s="64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4"/>
      <c r="C151" s="64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4"/>
      <c r="C152" s="64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4"/>
      <c r="C153" s="64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4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4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4"/>
      <c r="C156" s="64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4"/>
      <c r="C157" s="64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4"/>
      <c r="C158" s="64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4"/>
      <c r="C159" s="64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4"/>
      <c r="C160" s="64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4"/>
      <c r="C161" s="64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4"/>
      <c r="C162" s="64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4"/>
      <c r="C163" s="64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4"/>
      <c r="C164" s="64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4"/>
      <c r="C165" s="64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4"/>
      <c r="C166" s="64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4"/>
      <c r="C167" s="64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4"/>
      <c r="C168" s="64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4"/>
      <c r="C169" s="64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4"/>
      <c r="C170" s="64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4"/>
      <c r="C171" s="64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4"/>
      <c r="C172" s="64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4"/>
      <c r="C173" s="64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4"/>
      <c r="C174" s="64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4"/>
      <c r="C175" s="64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4"/>
      <c r="C176" s="64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4"/>
      <c r="C177" s="64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4"/>
      <c r="C178" s="64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4"/>
      <c r="C179" s="64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4"/>
      <c r="C180" s="64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4"/>
      <c r="C181" s="64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4"/>
      <c r="C182" s="64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4"/>
      <c r="C183" s="64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4"/>
      <c r="C184" s="64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4"/>
      <c r="C185" s="64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4"/>
      <c r="C186" s="64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4"/>
      <c r="C187" s="64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4"/>
      <c r="C188" s="64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4"/>
      <c r="C189" s="64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4"/>
      <c r="C190" s="64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4"/>
      <c r="C191" s="64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4"/>
      <c r="C192" s="64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4"/>
      <c r="C193" s="64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4"/>
      <c r="C194" s="64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4"/>
      <c r="C195" s="64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4"/>
      <c r="C196" s="64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4"/>
      <c r="C197" s="64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4"/>
      <c r="C198" s="64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4"/>
      <c r="C199" s="64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4"/>
      <c r="C200" s="64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4"/>
      <c r="C201" s="64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4"/>
      <c r="C202" s="64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4"/>
      <c r="C203" s="64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4"/>
      <c r="C204" s="64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4"/>
      <c r="C205" s="64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4"/>
      <c r="C206" s="64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4"/>
      <c r="C207" s="64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4"/>
      <c r="C208" s="64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4"/>
      <c r="C209" s="64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4"/>
      <c r="C210" s="64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4"/>
      <c r="C211" s="64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4"/>
      <c r="C212" s="64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4"/>
      <c r="C213" s="64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4"/>
      <c r="C214" s="64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4"/>
      <c r="C215" s="64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4"/>
      <c r="C216" s="64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4"/>
      <c r="C217" s="64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4"/>
      <c r="C218" s="64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4"/>
      <c r="C219" s="64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4"/>
      <c r="C220" s="64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4"/>
      <c r="C221" s="64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4"/>
      <c r="C222" s="64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4"/>
      <c r="C223" s="64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4"/>
      <c r="C224" s="64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4"/>
      <c r="C225" s="64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4"/>
      <c r="C226" s="64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4"/>
      <c r="C227" s="64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4"/>
      <c r="C228" s="64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4"/>
      <c r="C229" s="64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4"/>
      <c r="C230" s="64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4"/>
      <c r="C231" s="64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4"/>
      <c r="C232" s="64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4"/>
      <c r="C233" s="64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4"/>
      <c r="C234" s="64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4"/>
      <c r="C235" s="64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4"/>
      <c r="C236" s="64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4"/>
      <c r="C237" s="64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4"/>
      <c r="C238" s="64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4"/>
      <c r="C239" s="64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4"/>
      <c r="C240" s="64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4"/>
      <c r="C241" s="64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4"/>
      <c r="C242" s="64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4"/>
      <c r="C243" s="64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4"/>
      <c r="C244" s="64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4"/>
      <c r="C245" s="64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4"/>
      <c r="C246" s="64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4"/>
      <c r="C247" s="64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4"/>
      <c r="C248" s="64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4"/>
      <c r="C249" s="64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4"/>
      <c r="C250" s="64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4"/>
      <c r="C251" s="64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4"/>
      <c r="C252" s="64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4"/>
      <c r="C253" s="64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4"/>
      <c r="C254" s="64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4"/>
      <c r="C255" s="64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4"/>
      <c r="C256" s="64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4"/>
      <c r="C257" s="64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4"/>
      <c r="C258" s="64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4"/>
      <c r="C259" s="64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4"/>
      <c r="C260" s="64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4"/>
      <c r="C261" s="64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4"/>
      <c r="C262" s="64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4"/>
      <c r="C263" s="64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4"/>
      <c r="C264" s="64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4"/>
      <c r="C265" s="64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4"/>
      <c r="C266" s="64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4"/>
      <c r="C267" s="64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4"/>
      <c r="C268" s="64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4"/>
      <c r="C269" s="64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4"/>
      <c r="C270" s="64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4"/>
      <c r="C271" s="64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4"/>
      <c r="C272" s="64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4"/>
      <c r="C273" s="64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4"/>
      <c r="C274" s="64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4"/>
      <c r="C275" s="64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4"/>
      <c r="C276" s="64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4"/>
      <c r="C277" s="64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4"/>
      <c r="C278" s="64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4"/>
      <c r="C279" s="64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4"/>
      <c r="C280" s="64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4"/>
      <c r="C281" s="64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4"/>
      <c r="C282" s="64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4"/>
      <c r="C283" s="64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4"/>
      <c r="C284" s="64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4"/>
      <c r="C285" s="64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4"/>
      <c r="C286" s="64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4"/>
      <c r="C287" s="64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4"/>
      <c r="C288" s="64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4"/>
      <c r="C289" s="64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4"/>
      <c r="C290" s="64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4"/>
      <c r="C291" s="64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4"/>
      <c r="C292" s="64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4"/>
      <c r="C293" s="64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4"/>
      <c r="C294" s="64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4"/>
      <c r="C295" s="64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4"/>
      <c r="C296" s="64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4"/>
      <c r="C297" s="64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4"/>
      <c r="C298" s="64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4"/>
      <c r="C299" s="64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4"/>
      <c r="C300" s="64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4"/>
      <c r="C301" s="64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4"/>
      <c r="C302" s="64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4"/>
      <c r="C303" s="64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4"/>
      <c r="C304" s="64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4"/>
      <c r="C305" s="64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4"/>
      <c r="C306" s="64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4"/>
      <c r="C307" s="64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4"/>
      <c r="C308" s="64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4"/>
      <c r="C309" s="64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4"/>
      <c r="C310" s="64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4"/>
      <c r="C311" s="64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4"/>
      <c r="C312" s="64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4"/>
      <c r="C313" s="64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4"/>
      <c r="C314" s="64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4"/>
      <c r="C315" s="64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4"/>
      <c r="C316" s="64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4"/>
      <c r="C317" s="64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4"/>
      <c r="C318" s="64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4"/>
      <c r="C319" s="64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4"/>
      <c r="C320" s="64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4"/>
      <c r="C321" s="64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4"/>
      <c r="C322" s="64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4"/>
      <c r="C323" s="64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4"/>
      <c r="C324" s="64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4"/>
      <c r="C325" s="64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4"/>
      <c r="C326" s="64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4"/>
      <c r="C327" s="64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4"/>
      <c r="C328" s="64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4"/>
      <c r="C329" s="64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4"/>
      <c r="C330" s="64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4"/>
      <c r="C331" s="64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4"/>
      <c r="C332" s="64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4"/>
      <c r="C333" s="64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4"/>
      <c r="C334" s="64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4"/>
      <c r="C335" s="64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4"/>
      <c r="C336" s="64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4"/>
      <c r="C337" s="64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4"/>
      <c r="C338" s="64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4"/>
      <c r="C339" s="64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4"/>
      <c r="C340" s="64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4"/>
      <c r="C341" s="64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4"/>
      <c r="C342" s="64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4"/>
      <c r="C343" s="64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4"/>
      <c r="C344" s="64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4"/>
      <c r="C345" s="64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4"/>
      <c r="C346" s="64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4"/>
      <c r="C347" s="64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4"/>
      <c r="C348" s="64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4"/>
      <c r="C349" s="64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4"/>
      <c r="C350" s="64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4"/>
      <c r="C351" s="64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4"/>
      <c r="C352" s="64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4"/>
      <c r="C353" s="64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4"/>
      <c r="C354" s="64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4"/>
      <c r="C355" s="64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4"/>
      <c r="C356" s="64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4"/>
      <c r="C357" s="64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4"/>
      <c r="C358" s="64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4"/>
      <c r="C359" s="64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4"/>
      <c r="C360" s="64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4"/>
      <c r="C361" s="64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4"/>
      <c r="C362" s="64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4"/>
      <c r="C363" s="64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4"/>
      <c r="C364" s="64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4"/>
      <c r="C365" s="64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4"/>
      <c r="C366" s="64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4"/>
      <c r="C367" s="64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4"/>
      <c r="C368" s="64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4"/>
      <c r="C369" s="64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4"/>
      <c r="C370" s="64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4"/>
      <c r="C371" s="64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4"/>
      <c r="C372" s="64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4"/>
      <c r="C373" s="64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4"/>
      <c r="C374" s="64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4"/>
      <c r="C375" s="64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4"/>
      <c r="C376" s="64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4"/>
      <c r="C377" s="64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4"/>
      <c r="C378" s="64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4"/>
      <c r="C379" s="64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4"/>
      <c r="C380" s="64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4"/>
      <c r="C381" s="64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4"/>
      <c r="C382" s="64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4"/>
      <c r="C383" s="64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4"/>
      <c r="C384" s="64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4"/>
      <c r="C385" s="64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4"/>
      <c r="C386" s="64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4"/>
      <c r="C387" s="64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4"/>
      <c r="C388" s="64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4"/>
      <c r="C389" s="64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4"/>
      <c r="C390" s="64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4"/>
      <c r="C391" s="64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4"/>
      <c r="C392" s="64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4"/>
      <c r="C393" s="64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4"/>
      <c r="C394" s="64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4"/>
      <c r="C395" s="64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4"/>
      <c r="C396" s="64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4"/>
      <c r="C397" s="64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4"/>
      <c r="C398" s="64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4"/>
      <c r="C399" s="64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4"/>
      <c r="C400" s="64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4"/>
      <c r="C401" s="64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4"/>
      <c r="C402" s="64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4"/>
      <c r="C403" s="64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4"/>
      <c r="C404" s="64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4"/>
      <c r="C405" s="64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4"/>
      <c r="C406" s="64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4"/>
      <c r="C407" s="64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4"/>
      <c r="C408" s="64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4"/>
      <c r="C409" s="64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4"/>
      <c r="C410" s="64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4"/>
      <c r="C411" s="64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4"/>
      <c r="C412" s="64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4"/>
      <c r="C413" s="64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4"/>
      <c r="C414" s="64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4"/>
      <c r="C415" s="64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4"/>
      <c r="C416" s="64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4"/>
      <c r="C417" s="64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4"/>
      <c r="C418" s="64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4"/>
      <c r="C419" s="64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4"/>
      <c r="C420" s="64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4"/>
      <c r="C421" s="64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4"/>
      <c r="C422" s="64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4"/>
      <c r="C423" s="64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4"/>
      <c r="C424" s="64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4"/>
      <c r="C425" s="64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4"/>
      <c r="C426" s="64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4"/>
      <c r="C427" s="64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4"/>
      <c r="C428" s="64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4"/>
      <c r="C429" s="64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4"/>
      <c r="C430" s="64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4"/>
      <c r="C431" s="64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4"/>
      <c r="C432" s="64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4"/>
      <c r="C433" s="64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4"/>
      <c r="C434" s="64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4"/>
      <c r="C435" s="64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4"/>
      <c r="C436" s="64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4"/>
      <c r="C437" s="64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4"/>
      <c r="C438" s="64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4"/>
      <c r="C439" s="64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4"/>
      <c r="C440" s="64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4"/>
      <c r="C441" s="64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4"/>
      <c r="C442" s="64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4"/>
      <c r="C443" s="64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4"/>
      <c r="C444" s="64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4"/>
      <c r="C445" s="64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4"/>
      <c r="C446" s="64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4"/>
      <c r="C447" s="64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4"/>
      <c r="C448" s="64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4"/>
      <c r="C449" s="64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4"/>
      <c r="C450" s="64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4"/>
      <c r="C451" s="64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4"/>
      <c r="C452" s="64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4"/>
      <c r="C453" s="64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4"/>
      <c r="C454" s="64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4"/>
      <c r="C455" s="64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4"/>
      <c r="C456" s="64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4"/>
      <c r="C457" s="64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4"/>
      <c r="C458" s="64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4"/>
      <c r="C459" s="64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4"/>
      <c r="C460" s="64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4"/>
      <c r="C461" s="64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4"/>
      <c r="C462" s="64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4"/>
      <c r="C463" s="64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4"/>
      <c r="C464" s="64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4"/>
      <c r="C465" s="64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4"/>
      <c r="C466" s="64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4"/>
      <c r="C467" s="64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4"/>
      <c r="C468" s="64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4"/>
      <c r="C469" s="64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4"/>
      <c r="C470" s="64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4"/>
      <c r="C471" s="64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4"/>
      <c r="C472" s="64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4"/>
      <c r="C473" s="64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4"/>
      <c r="C474" s="64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4"/>
      <c r="C475" s="64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4"/>
      <c r="C476" s="64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4"/>
      <c r="C477" s="64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4"/>
      <c r="C478" s="64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4"/>
      <c r="C479" s="64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4"/>
      <c r="C480" s="64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4"/>
      <c r="C481" s="64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4"/>
      <c r="C482" s="64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4"/>
      <c r="C483" s="64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4"/>
      <c r="C484" s="64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4"/>
      <c r="C485" s="64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4"/>
      <c r="C486" s="64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4"/>
      <c r="C487" s="64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4"/>
      <c r="C488" s="64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4"/>
      <c r="C489" s="64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4"/>
      <c r="C490" s="64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4"/>
      <c r="C491" s="64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4"/>
      <c r="C492" s="64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4"/>
      <c r="C493" s="64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4"/>
      <c r="C494" s="64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4"/>
      <c r="C495" s="64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4"/>
      <c r="C496" s="64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4"/>
      <c r="C497" s="64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4"/>
      <c r="C498" s="64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4"/>
      <c r="C499" s="64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4"/>
      <c r="C500" s="64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4"/>
      <c r="C501" s="64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4"/>
      <c r="C502" s="64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4"/>
      <c r="C503" s="64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4"/>
      <c r="C504" s="64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4"/>
      <c r="C505" s="64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4"/>
      <c r="C506" s="64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4"/>
      <c r="C507" s="64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4"/>
      <c r="C508" s="64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4"/>
      <c r="C509" s="64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4"/>
      <c r="C510" s="64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4"/>
      <c r="C511" s="64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4"/>
      <c r="C512" s="64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4"/>
      <c r="C513" s="64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4"/>
      <c r="C514" s="64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4"/>
      <c r="C515" s="64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4"/>
      <c r="C516" s="64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4"/>
      <c r="C517" s="64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4"/>
      <c r="C518" s="64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4"/>
      <c r="C519" s="64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4"/>
      <c r="C520" s="64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4"/>
      <c r="C521" s="64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4"/>
      <c r="C522" s="64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4"/>
      <c r="C523" s="64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4"/>
      <c r="C524" s="64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4"/>
      <c r="C525" s="64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4"/>
      <c r="C526" s="64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4"/>
      <c r="C527" s="64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4"/>
      <c r="C528" s="64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4"/>
      <c r="C529" s="64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4"/>
      <c r="C530" s="64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4"/>
      <c r="C531" s="64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4"/>
      <c r="C532" s="64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4"/>
      <c r="C533" s="64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4"/>
      <c r="C534" s="64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4"/>
      <c r="C535" s="64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4"/>
      <c r="C536" s="64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4"/>
      <c r="C537" s="64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4"/>
      <c r="C538" s="64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4"/>
      <c r="C539" s="64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4"/>
      <c r="C540" s="64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4"/>
      <c r="C541" s="64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4"/>
      <c r="C542" s="64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4"/>
      <c r="C543" s="64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4"/>
      <c r="C544" s="64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4"/>
      <c r="C545" s="64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4"/>
      <c r="C546" s="64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4"/>
      <c r="C547" s="64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4"/>
      <c r="C548" s="64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4"/>
      <c r="C549" s="64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4"/>
      <c r="C550" s="64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4"/>
      <c r="C551" s="64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4"/>
      <c r="C552" s="64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4"/>
      <c r="C553" s="64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4"/>
      <c r="C554" s="64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4"/>
      <c r="C555" s="64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4"/>
      <c r="C556" s="64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4"/>
      <c r="C557" s="64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4"/>
      <c r="C558" s="64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4"/>
      <c r="C559" s="64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4"/>
      <c r="C560" s="64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4"/>
      <c r="C561" s="64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4"/>
      <c r="C562" s="64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4"/>
      <c r="C563" s="64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4"/>
      <c r="C564" s="64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4"/>
      <c r="C565" s="64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4"/>
      <c r="C566" s="64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4"/>
      <c r="C567" s="64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4"/>
      <c r="C568" s="64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4"/>
      <c r="C569" s="64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4"/>
      <c r="C570" s="64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4"/>
      <c r="C571" s="64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4"/>
      <c r="C572" s="64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4"/>
      <c r="C573" s="64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4"/>
      <c r="C574" s="64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4"/>
      <c r="C575" s="64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4"/>
      <c r="C576" s="64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4"/>
      <c r="C577" s="64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4"/>
      <c r="C578" s="64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4"/>
      <c r="C579" s="64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4"/>
      <c r="C580" s="64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4"/>
      <c r="C581" s="64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4"/>
      <c r="C582" s="64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4"/>
      <c r="C583" s="64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4"/>
      <c r="C584" s="64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4"/>
      <c r="C585" s="64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4"/>
      <c r="C586" s="64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4"/>
      <c r="C587" s="64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4"/>
      <c r="C588" s="64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4"/>
      <c r="C589" s="64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4"/>
      <c r="C590" s="64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4"/>
      <c r="C591" s="64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4"/>
      <c r="C592" s="64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4"/>
      <c r="C593" s="64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4"/>
      <c r="C594" s="64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4"/>
      <c r="C595" s="64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4"/>
      <c r="C596" s="64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4"/>
      <c r="C597" s="64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4"/>
      <c r="C598" s="64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4"/>
      <c r="C599" s="64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4"/>
      <c r="C600" s="64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4"/>
      <c r="C601" s="64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4"/>
      <c r="C602" s="64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4"/>
      <c r="C603" s="64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4"/>
      <c r="C604" s="64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4"/>
      <c r="C605" s="64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4"/>
      <c r="C606" s="64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4"/>
      <c r="C607" s="64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4"/>
      <c r="C608" s="64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4"/>
      <c r="C609" s="64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4"/>
      <c r="C610" s="64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4"/>
      <c r="C611" s="64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4"/>
      <c r="C612" s="64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4"/>
      <c r="C613" s="64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4"/>
      <c r="C614" s="64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4"/>
      <c r="C615" s="64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4"/>
      <c r="C616" s="64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4"/>
      <c r="C617" s="64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4"/>
      <c r="C618" s="64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4"/>
      <c r="C619" s="64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4"/>
      <c r="C620" s="64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4"/>
      <c r="C621" s="64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4"/>
      <c r="C622" s="64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4"/>
      <c r="C623" s="64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4"/>
      <c r="C624" s="64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4"/>
      <c r="C625" s="64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4"/>
      <c r="C626" s="64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4"/>
      <c r="C627" s="64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4"/>
      <c r="C628" s="64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4"/>
      <c r="C629" s="64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4"/>
      <c r="C630" s="64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4"/>
      <c r="C631" s="64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4"/>
      <c r="C632" s="64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4"/>
      <c r="C633" s="64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4"/>
      <c r="C634" s="64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4"/>
      <c r="C635" s="64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4"/>
      <c r="C636" s="64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4"/>
      <c r="C637" s="64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4"/>
      <c r="C638" s="64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4"/>
      <c r="C639" s="64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4"/>
      <c r="C640" s="64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4"/>
      <c r="C641" s="64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4"/>
      <c r="C642" s="64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4"/>
      <c r="C643" s="64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4"/>
      <c r="C644" s="64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4"/>
      <c r="C645" s="64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4"/>
      <c r="C646" s="64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4"/>
      <c r="C647" s="64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4"/>
      <c r="C648" s="64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4"/>
      <c r="C649" s="64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4"/>
      <c r="C650" s="64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4"/>
      <c r="C651" s="64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4"/>
      <c r="C652" s="64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4"/>
      <c r="C653" s="64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4"/>
      <c r="C654" s="64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4"/>
      <c r="C655" s="64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4"/>
      <c r="C656" s="64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4"/>
      <c r="C657" s="64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4"/>
      <c r="C658" s="64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4"/>
      <c r="C659" s="64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4"/>
      <c r="C660" s="64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4"/>
      <c r="C661" s="64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4"/>
      <c r="C662" s="64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4"/>
      <c r="C663" s="64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4"/>
      <c r="C664" s="64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4"/>
      <c r="C665" s="64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4"/>
      <c r="C666" s="64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4"/>
      <c r="C667" s="64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4"/>
      <c r="C668" s="64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4"/>
      <c r="C669" s="64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4"/>
      <c r="C670" s="64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4"/>
      <c r="C671" s="64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4"/>
      <c r="C672" s="64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4"/>
      <c r="C673" s="64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4"/>
      <c r="C674" s="64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4"/>
      <c r="C675" s="64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4"/>
      <c r="C676" s="64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4"/>
      <c r="C677" s="64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4"/>
      <c r="C678" s="64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4"/>
      <c r="C679" s="64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4"/>
      <c r="C680" s="64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4"/>
      <c r="C681" s="64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4"/>
      <c r="C682" s="64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4"/>
      <c r="C683" s="64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4"/>
      <c r="C684" s="64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4"/>
      <c r="C685" s="64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4"/>
      <c r="C686" s="64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4"/>
      <c r="C687" s="64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4"/>
      <c r="C688" s="64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4"/>
      <c r="C689" s="64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4"/>
      <c r="C690" s="64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4"/>
      <c r="C691" s="64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4"/>
      <c r="C692" s="64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4"/>
      <c r="C693" s="64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4"/>
      <c r="C694" s="64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4"/>
      <c r="C695" s="64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4"/>
      <c r="C696" s="64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4"/>
      <c r="C697" s="64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4"/>
      <c r="C698" s="64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4"/>
      <c r="C699" s="64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4"/>
      <c r="C700" s="64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4"/>
      <c r="C701" s="64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4"/>
      <c r="C702" s="64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4"/>
      <c r="C703" s="64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4"/>
      <c r="C704" s="64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4"/>
      <c r="C705" s="64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4"/>
      <c r="C706" s="64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4"/>
      <c r="C707" s="64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4"/>
      <c r="C708" s="64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4"/>
      <c r="C709" s="64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4"/>
      <c r="C710" s="64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4"/>
      <c r="C711" s="64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4"/>
      <c r="C712" s="64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4"/>
      <c r="C713" s="64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4"/>
      <c r="C714" s="64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4"/>
      <c r="C715" s="64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4"/>
      <c r="C716" s="64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4"/>
      <c r="C717" s="64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4"/>
      <c r="C718" s="64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4"/>
      <c r="C719" s="64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4"/>
      <c r="C720" s="64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4"/>
      <c r="C721" s="64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4"/>
      <c r="C722" s="64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4"/>
      <c r="C723" s="64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4"/>
      <c r="C724" s="64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4"/>
      <c r="C725" s="64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4"/>
      <c r="C726" s="64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4"/>
      <c r="C727" s="64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4"/>
      <c r="C728" s="64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4"/>
      <c r="C729" s="64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4"/>
      <c r="C730" s="64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4"/>
      <c r="C731" s="64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4"/>
      <c r="C732" s="64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4"/>
      <c r="C733" s="64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4"/>
      <c r="C734" s="64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4"/>
      <c r="C735" s="64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4"/>
      <c r="C736" s="64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4"/>
      <c r="C737" s="64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4"/>
      <c r="C738" s="64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4"/>
      <c r="C739" s="64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4"/>
      <c r="C740" s="64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4"/>
      <c r="C741" s="64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4"/>
      <c r="C742" s="64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4"/>
      <c r="C743" s="64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4"/>
      <c r="C744" s="64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4"/>
      <c r="C745" s="64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4"/>
      <c r="C746" s="64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4"/>
      <c r="C747" s="64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4"/>
      <c r="C748" s="64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4"/>
      <c r="C749" s="64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4"/>
      <c r="C750" s="64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4"/>
      <c r="C751" s="64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4"/>
      <c r="C752" s="64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4"/>
      <c r="C753" s="64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4"/>
      <c r="C754" s="64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4"/>
      <c r="C755" s="64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4"/>
      <c r="C756" s="64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4"/>
      <c r="C757" s="64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4"/>
      <c r="C758" s="64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4"/>
      <c r="C759" s="64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4"/>
      <c r="C760" s="64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4"/>
      <c r="C761" s="64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4"/>
      <c r="C762" s="64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4"/>
      <c r="C763" s="64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4"/>
      <c r="C764" s="64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4"/>
      <c r="C765" s="64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4"/>
      <c r="C766" s="64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4"/>
      <c r="C767" s="64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4"/>
      <c r="C768" s="64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4"/>
      <c r="C769" s="64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4"/>
      <c r="C770" s="64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4"/>
      <c r="C771" s="64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4"/>
      <c r="C772" s="64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4"/>
      <c r="C773" s="64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4"/>
      <c r="C774" s="64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4"/>
      <c r="C775" s="64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4"/>
      <c r="C776" s="64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4"/>
      <c r="C777" s="64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4"/>
      <c r="C778" s="64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4"/>
      <c r="C779" s="64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4"/>
      <c r="C780" s="64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4"/>
      <c r="C781" s="64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4"/>
      <c r="C782" s="64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4"/>
      <c r="C783" s="64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4"/>
      <c r="C784" s="64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4"/>
      <c r="C785" s="64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4"/>
      <c r="C786" s="64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4"/>
      <c r="C787" s="64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4"/>
      <c r="C788" s="64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4"/>
      <c r="C789" s="64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4"/>
      <c r="C790" s="64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4"/>
      <c r="C791" s="64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4"/>
      <c r="C792" s="64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4"/>
      <c r="C793" s="64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4"/>
      <c r="C794" s="64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4"/>
      <c r="C795" s="64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4"/>
      <c r="C796" s="64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4"/>
      <c r="C797" s="64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4"/>
      <c r="C798" s="64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4"/>
      <c r="C799" s="64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4"/>
      <c r="C800" s="64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4"/>
      <c r="C801" s="64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4"/>
      <c r="C802" s="64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4"/>
      <c r="C803" s="64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4"/>
      <c r="C804" s="64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4"/>
      <c r="C805" s="64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4"/>
      <c r="C806" s="64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4"/>
      <c r="C807" s="64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4"/>
      <c r="C808" s="64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4"/>
      <c r="C809" s="64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4"/>
      <c r="C810" s="64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4"/>
      <c r="C811" s="64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4"/>
      <c r="C812" s="64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4"/>
      <c r="C813" s="64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4"/>
      <c r="C814" s="64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4"/>
      <c r="C815" s="64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4"/>
      <c r="C816" s="64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4"/>
      <c r="C817" s="64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4"/>
      <c r="C818" s="64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4"/>
      <c r="C819" s="64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4"/>
      <c r="C820" s="64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4"/>
      <c r="C821" s="64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4"/>
      <c r="C822" s="64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4"/>
      <c r="C823" s="64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4"/>
      <c r="C824" s="64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4"/>
      <c r="C825" s="64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4"/>
      <c r="C826" s="64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4"/>
      <c r="C827" s="64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4"/>
      <c r="C828" s="64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4"/>
      <c r="C829" s="64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4"/>
      <c r="C830" s="64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4"/>
      <c r="C831" s="64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4"/>
      <c r="C832" s="64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4"/>
      <c r="C833" s="64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4"/>
      <c r="C834" s="64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4"/>
      <c r="C835" s="64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4"/>
      <c r="C836" s="64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4"/>
      <c r="C837" s="64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4"/>
      <c r="C838" s="64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4"/>
      <c r="C839" s="64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4"/>
      <c r="C840" s="64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4"/>
      <c r="C841" s="64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4"/>
      <c r="C842" s="64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4"/>
      <c r="C843" s="64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4"/>
      <c r="C844" s="64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4"/>
      <c r="C845" s="64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4"/>
      <c r="C846" s="64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4"/>
      <c r="C847" s="64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4"/>
      <c r="C848" s="64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4"/>
      <c r="C849" s="64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4"/>
      <c r="C850" s="64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4"/>
      <c r="C851" s="64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4"/>
      <c r="C852" s="64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4"/>
      <c r="C853" s="64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4"/>
      <c r="C854" s="64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4"/>
      <c r="C855" s="64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4"/>
      <c r="C856" s="64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4"/>
      <c r="C857" s="64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4"/>
      <c r="C858" s="64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4"/>
      <c r="C859" s="64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4"/>
      <c r="C860" s="64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4"/>
      <c r="C861" s="64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4"/>
      <c r="C862" s="64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4"/>
      <c r="C863" s="64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4"/>
      <c r="C864" s="64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4"/>
      <c r="C865" s="64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4"/>
      <c r="C866" s="64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4"/>
      <c r="C867" s="64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4"/>
      <c r="C868" s="64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4"/>
      <c r="C869" s="64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4"/>
      <c r="C870" s="64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4"/>
      <c r="C871" s="64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4"/>
      <c r="C872" s="64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4"/>
      <c r="C873" s="64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4"/>
      <c r="C874" s="64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4"/>
      <c r="C875" s="64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4"/>
      <c r="C876" s="64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4"/>
      <c r="C877" s="64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4"/>
      <c r="C878" s="64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4"/>
      <c r="C879" s="64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4"/>
      <c r="C880" s="64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4"/>
      <c r="C881" s="64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4"/>
      <c r="C882" s="64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4"/>
      <c r="C883" s="64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4"/>
      <c r="C884" s="64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4"/>
      <c r="C885" s="64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4"/>
      <c r="C886" s="64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4"/>
      <c r="C887" s="64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4"/>
      <c r="C888" s="64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4"/>
      <c r="C889" s="64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4"/>
      <c r="C890" s="64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4"/>
      <c r="C891" s="64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4"/>
      <c r="C892" s="64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4"/>
      <c r="C893" s="64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4"/>
      <c r="C894" s="64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4"/>
      <c r="C895" s="64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4"/>
      <c r="C896" s="64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4"/>
      <c r="C897" s="64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4"/>
      <c r="C898" s="64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4"/>
      <c r="C899" s="64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4"/>
      <c r="C900" s="64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4"/>
      <c r="C901" s="64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4"/>
      <c r="C902" s="64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4"/>
      <c r="C903" s="64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4"/>
      <c r="C904" s="64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4"/>
      <c r="C905" s="64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4"/>
      <c r="C906" s="64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4"/>
      <c r="C907" s="64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4"/>
      <c r="C908" s="64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4"/>
      <c r="C909" s="64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4"/>
      <c r="C910" s="64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4"/>
      <c r="C911" s="64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4"/>
      <c r="C912" s="64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4"/>
      <c r="C913" s="64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4"/>
      <c r="C914" s="64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4"/>
      <c r="C915" s="64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4"/>
      <c r="C916" s="64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4"/>
      <c r="C917" s="64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4"/>
      <c r="C918" s="64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4"/>
      <c r="C919" s="64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4"/>
      <c r="C920" s="64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4"/>
      <c r="C921" s="64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4"/>
      <c r="C922" s="64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4"/>
      <c r="C923" s="64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4"/>
      <c r="C924" s="64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4"/>
      <c r="C925" s="64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4"/>
      <c r="C926" s="64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4"/>
      <c r="C927" s="64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4"/>
      <c r="C928" s="64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4"/>
      <c r="C929" s="64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4"/>
      <c r="C930" s="64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4"/>
      <c r="C931" s="64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4"/>
      <c r="C932" s="64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4"/>
      <c r="C933" s="64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4"/>
      <c r="C934" s="64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4"/>
      <c r="C935" s="64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4"/>
      <c r="C936" s="64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4"/>
      <c r="C937" s="64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4"/>
      <c r="C938" s="64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4"/>
      <c r="C939" s="64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4"/>
      <c r="C940" s="64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4"/>
      <c r="C941" s="64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4"/>
      <c r="C942" s="64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4"/>
      <c r="C943" s="64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4"/>
      <c r="C944" s="64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4"/>
      <c r="C945" s="64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4"/>
      <c r="C946" s="64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4"/>
      <c r="C947" s="64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4"/>
      <c r="C948" s="64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4"/>
      <c r="C949" s="64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4"/>
      <c r="C950" s="64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4"/>
      <c r="C951" s="64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4"/>
      <c r="C952" s="64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4"/>
      <c r="C953" s="64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4"/>
      <c r="C954" s="64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4"/>
      <c r="C955" s="64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4"/>
      <c r="C956" s="64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4"/>
      <c r="C957" s="64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4"/>
      <c r="C958" s="64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4"/>
      <c r="C959" s="64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4"/>
      <c r="C960" s="64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4"/>
      <c r="C961" s="64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4"/>
      <c r="C962" s="64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4"/>
      <c r="C963" s="64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4"/>
      <c r="C964" s="64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4"/>
      <c r="C965" s="64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4"/>
      <c r="C966" s="64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4"/>
      <c r="C967" s="64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4"/>
      <c r="C968" s="64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4"/>
      <c r="C969" s="64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4"/>
      <c r="C970" s="64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4"/>
      <c r="C971" s="64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4"/>
      <c r="C972" s="64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4"/>
      <c r="C973" s="64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4"/>
      <c r="C974" s="64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4"/>
      <c r="C975" s="64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4"/>
      <c r="C976" s="64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4"/>
      <c r="C977" s="64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4"/>
      <c r="C978" s="64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4"/>
      <c r="C979" s="64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4"/>
      <c r="C980" s="64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4"/>
      <c r="C981" s="64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4"/>
      <c r="C982" s="64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4"/>
      <c r="C983" s="64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4"/>
      <c r="C984" s="64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4"/>
      <c r="C985" s="64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4"/>
      <c r="C986" s="64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4"/>
      <c r="C987" s="64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4"/>
      <c r="C988" s="64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4"/>
      <c r="C989" s="64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4"/>
      <c r="C990" s="64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4"/>
      <c r="C991" s="64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4"/>
      <c r="C992" s="64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4"/>
      <c r="C993" s="64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4"/>
      <c r="C994" s="64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4"/>
      <c r="C995" s="64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4"/>
      <c r="C996" s="64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4"/>
      <c r="C997" s="64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4"/>
      <c r="C998" s="64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4"/>
      <c r="C999" s="64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4"/>
      <c r="C1000" s="64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6"/>
  <sheetViews>
    <sheetView topLeftCell="A4" zoomScale="80" zoomScaleNormal="80" workbookViewId="0">
      <selection activeCell="D8" sqref="D8:F10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2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03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0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0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04"/>
      <c r="B5" s="104"/>
      <c r="C5" s="105"/>
      <c r="D5" s="106" t="s">
        <v>30</v>
      </c>
      <c r="E5" s="107"/>
      <c r="F5" s="107"/>
      <c r="G5" s="108"/>
      <c r="H5" s="109" t="s">
        <v>31</v>
      </c>
      <c r="I5" s="107"/>
      <c r="J5" s="107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10" t="s">
        <v>144</v>
      </c>
      <c r="B6" s="110" t="s">
        <v>33</v>
      </c>
      <c r="C6" s="110" t="s">
        <v>34</v>
      </c>
      <c r="D6" s="110" t="s">
        <v>35</v>
      </c>
      <c r="E6" s="110" t="s">
        <v>36</v>
      </c>
      <c r="F6" s="110" t="s">
        <v>37</v>
      </c>
      <c r="G6" s="110" t="s">
        <v>38</v>
      </c>
      <c r="H6" s="111" t="s">
        <v>35</v>
      </c>
      <c r="I6" s="111" t="s">
        <v>36</v>
      </c>
      <c r="J6" s="111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12"/>
      <c r="B7" s="112"/>
      <c r="C7" s="112"/>
      <c r="D7" s="112">
        <v>1</v>
      </c>
      <c r="E7" s="112">
        <v>3</v>
      </c>
      <c r="F7" s="112">
        <v>5</v>
      </c>
      <c r="G7" s="112"/>
      <c r="H7" s="113"/>
      <c r="I7" s="113"/>
      <c r="J7" s="113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5.5" thickBot="1">
      <c r="A8" s="123" t="s">
        <v>153</v>
      </c>
      <c r="B8" s="123" t="s">
        <v>154</v>
      </c>
      <c r="C8" s="123"/>
      <c r="D8" s="104"/>
      <c r="E8" s="104"/>
      <c r="F8" s="104"/>
      <c r="G8" s="104">
        <f>D8*$D$7+E8*$E$7+F8*$F$7</f>
        <v>0</v>
      </c>
      <c r="H8" s="104"/>
      <c r="I8" s="114"/>
      <c r="J8" s="114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5.5" thickBot="1">
      <c r="A9" s="123" t="s">
        <v>155</v>
      </c>
      <c r="B9" s="123" t="s">
        <v>156</v>
      </c>
      <c r="C9" s="123"/>
      <c r="D9" s="104"/>
      <c r="E9" s="104"/>
      <c r="F9" s="104"/>
      <c r="G9" s="104">
        <f t="shared" ref="G9:G10" si="0">D9*$D$7+E9*$E$7+F9*$F$7</f>
        <v>0</v>
      </c>
      <c r="H9" s="104" t="e">
        <f t="array" ref="H9">VLOOKUP(D8,[1]Guidelines!$B$4:$E$19,2,FALSE)</f>
        <v>#N/A</v>
      </c>
      <c r="I9" s="114" t="e">
        <f t="array" ref="I9">VLOOKUP(D8,[1]Guidelines!$B$4:$E$19,3,FALSE)</f>
        <v>#N/A</v>
      </c>
      <c r="J9" s="114" t="e">
        <f t="array" ref="J9">VLOOKUP(D8,[1]Guidelines!$B$4:$E$19,4,FALSE)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123" t="s">
        <v>157</v>
      </c>
      <c r="B10" s="123" t="s">
        <v>255</v>
      </c>
      <c r="C10" s="123"/>
      <c r="D10" s="104"/>
      <c r="E10" s="104"/>
      <c r="F10" s="104"/>
      <c r="G10" s="104">
        <f t="shared" si="0"/>
        <v>0</v>
      </c>
      <c r="H10" s="104"/>
      <c r="I10" s="114"/>
      <c r="J10" s="1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thickBot="1">
      <c r="A11" s="2"/>
      <c r="B11" s="2"/>
      <c r="C11" s="7"/>
      <c r="D11" s="2"/>
      <c r="E11" s="2"/>
      <c r="F11" s="2"/>
      <c r="G11" s="2">
        <f>SUM(G8:G10)</f>
        <v>0</v>
      </c>
      <c r="H11" s="104"/>
      <c r="I11" s="114"/>
      <c r="J11" s="1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thickBot="1">
      <c r="A12" s="2"/>
      <c r="B12" s="2"/>
      <c r="C12" s="7"/>
      <c r="D12" s="2"/>
      <c r="E12" s="2"/>
      <c r="F12" s="15" t="s">
        <v>145</v>
      </c>
      <c r="G12" s="99">
        <v>11</v>
      </c>
      <c r="H12" s="115"/>
      <c r="I12" s="114"/>
      <c r="J12" s="114"/>
      <c r="K12" s="2"/>
      <c r="L12" s="22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thickBot="1">
      <c r="A13" s="2"/>
      <c r="B13" s="2"/>
      <c r="C13" s="7"/>
      <c r="D13" s="2"/>
      <c r="E13" s="2"/>
      <c r="F13" s="2"/>
      <c r="G13" s="2"/>
      <c r="H13" s="115"/>
      <c r="I13" s="114"/>
      <c r="J13" s="114"/>
      <c r="K13" s="2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0.25" customHeight="1" thickBot="1">
      <c r="A14" s="2"/>
      <c r="B14" s="2"/>
      <c r="C14" s="10" t="s">
        <v>20</v>
      </c>
      <c r="D14" s="12">
        <v>0.16</v>
      </c>
      <c r="E14" s="9" t="e">
        <f t="array" ref="E14">VLOOKUP(D1,'[1]Baseline Productivity '!A4:D8,4,FALSE)</f>
        <v>#N/A</v>
      </c>
      <c r="F14" s="2"/>
      <c r="G14" s="2"/>
      <c r="H14" s="115"/>
      <c r="I14" s="114"/>
      <c r="J14" s="114"/>
      <c r="K14" s="2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1" customHeight="1" thickBot="1">
      <c r="A15" s="2"/>
      <c r="B15" s="2"/>
      <c r="C15" s="13" t="s">
        <v>0</v>
      </c>
      <c r="D15" s="14">
        <v>11</v>
      </c>
      <c r="E15" s="15" t="s">
        <v>43</v>
      </c>
      <c r="F15" s="2"/>
      <c r="G15" s="2"/>
      <c r="H15" s="85"/>
      <c r="I15" s="8"/>
      <c r="J15" s="8"/>
      <c r="K15" s="2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9" customHeight="1" thickBot="1">
      <c r="A16" s="2"/>
      <c r="B16" s="2"/>
      <c r="C16" s="10" t="s">
        <v>44</v>
      </c>
      <c r="D16" s="16">
        <f>D15/D14</f>
        <v>68.75</v>
      </c>
      <c r="E16" s="9" t="s">
        <v>45</v>
      </c>
      <c r="F16" s="2"/>
      <c r="G16" s="2"/>
      <c r="H16" s="85"/>
      <c r="I16" s="8"/>
      <c r="J16" s="8"/>
      <c r="K16" s="2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thickBot="1">
      <c r="A17" s="2"/>
      <c r="B17" s="2"/>
      <c r="C17" s="10" t="s">
        <v>46</v>
      </c>
      <c r="D17" s="12">
        <f>0.65+0.01*$N$31</f>
        <v>1.01</v>
      </c>
      <c r="E17" s="2"/>
      <c r="F17" s="2"/>
      <c r="G17" s="2"/>
      <c r="H17" s="85"/>
      <c r="I17" s="8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" customHeight="1" thickBot="1">
      <c r="A18" s="2"/>
      <c r="B18" s="2"/>
      <c r="C18" s="10" t="s">
        <v>47</v>
      </c>
      <c r="D18" s="17">
        <v>0.05</v>
      </c>
      <c r="E18" s="2"/>
      <c r="F18" s="2"/>
      <c r="G18" s="2"/>
      <c r="H18" s="85" t="e">
        <f t="array" ref="H18">VLOOKUP(#REF!,[1]Guidelines!$B$4:$E$19,2,FALSE)</f>
        <v>#REF!</v>
      </c>
      <c r="I18" s="8" t="e">
        <f t="array" ref="I18">VLOOKUP(#REF!,[1]Guidelines!$B$4:$E$19,3,FALSE)</f>
        <v>#REF!</v>
      </c>
      <c r="J18" s="8" t="e">
        <f t="array" ref="J18">VLOOKUP(#REF!,[1]Guidelines!$B$4:$E$19,4,FALSE)</f>
        <v>#REF!</v>
      </c>
      <c r="K18" s="2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thickBot="1">
      <c r="A19" s="2"/>
      <c r="B19" s="2"/>
      <c r="C19" s="10" t="s">
        <v>48</v>
      </c>
      <c r="D19" s="17">
        <v>0.1</v>
      </c>
      <c r="E19" s="2"/>
      <c r="F19" s="2"/>
      <c r="G19" s="2"/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2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2"/>
      <c r="B20" s="2"/>
      <c r="C20" s="10" t="s">
        <v>146</v>
      </c>
      <c r="D20" s="18">
        <f>((D16*D17)+(D16*D17*D18))+((D16*D17)+(D16*D17*D18))*D19</f>
        <v>80.200312499999995</v>
      </c>
      <c r="E20" s="9" t="s">
        <v>45</v>
      </c>
      <c r="F20" s="2"/>
      <c r="G20" s="2"/>
      <c r="H20" s="85"/>
      <c r="I20" s="8"/>
      <c r="J20" s="8"/>
      <c r="K20" s="2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thickBot="1">
      <c r="A21" s="2"/>
      <c r="B21" s="2"/>
      <c r="C21" s="7"/>
      <c r="D21" s="2"/>
      <c r="E21" s="2"/>
      <c r="F21" s="2"/>
      <c r="G21" s="2"/>
      <c r="H21" s="85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 thickBot="1">
      <c r="A22" s="2"/>
      <c r="B22" s="2"/>
      <c r="C22" s="7" t="s">
        <v>50</v>
      </c>
      <c r="D22" s="19">
        <f>D20+5%*D20</f>
        <v>84.21032812499999</v>
      </c>
      <c r="E22" s="19">
        <f>D20-5%*D20</f>
        <v>76.190296875000001</v>
      </c>
      <c r="F22" s="2"/>
      <c r="G22" s="2"/>
      <c r="H22" s="8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7"/>
      <c r="D23" s="2"/>
      <c r="E23" s="2"/>
      <c r="F23" s="2"/>
      <c r="G23" s="2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7"/>
      <c r="D24" s="2"/>
      <c r="E24" s="2"/>
      <c r="F24" s="2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7"/>
      <c r="D25" s="2"/>
      <c r="E25" s="2"/>
      <c r="F25" s="2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7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7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7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opLeftCell="A4" zoomScale="70" zoomScaleNormal="70" workbookViewId="0">
      <selection activeCell="D8" sqref="D8:F20"/>
    </sheetView>
  </sheetViews>
  <sheetFormatPr defaultColWidth="14.36328125" defaultRowHeight="15" thickBottom="1"/>
  <cols>
    <col min="1" max="1" width="24" style="23" customWidth="1"/>
    <col min="2" max="2" width="27.6328125" style="23" customWidth="1"/>
    <col min="3" max="3" width="77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17.453125" style="3" customWidth="1"/>
    <col min="12" max="12" width="26" style="3" customWidth="1"/>
    <col min="13" max="13" width="5.453125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thickBot="1">
      <c r="A1" s="1"/>
      <c r="B1" s="1" t="s">
        <v>26</v>
      </c>
      <c r="C1" s="20" t="s">
        <v>262</v>
      </c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thickBot="1">
      <c r="A2" s="1"/>
      <c r="B2" s="1" t="s">
        <v>28</v>
      </c>
      <c r="C2" s="20" t="s">
        <v>263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thickBot="1">
      <c r="A3" s="1"/>
      <c r="B3" s="1" t="s">
        <v>29</v>
      </c>
      <c r="C3" s="20" t="s">
        <v>264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6.5" thickBot="1">
      <c r="A5" s="132"/>
      <c r="B5" s="132"/>
      <c r="C5" s="132"/>
      <c r="D5" s="138" t="s">
        <v>30</v>
      </c>
      <c r="E5" s="142"/>
      <c r="F5" s="142"/>
      <c r="G5" s="143"/>
      <c r="H5" s="139" t="s">
        <v>31</v>
      </c>
      <c r="I5" s="142"/>
      <c r="J5" s="142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38" t="s">
        <v>144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1"/>
      <c r="I7" s="141"/>
      <c r="J7" s="141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17.5" customHeight="1" thickTop="1" thickBot="1">
      <c r="A8" s="144" t="s">
        <v>24</v>
      </c>
      <c r="B8" s="145" t="s">
        <v>256</v>
      </c>
      <c r="C8" s="146"/>
      <c r="D8" s="145"/>
      <c r="E8" s="145"/>
      <c r="F8" s="145"/>
      <c r="G8" s="145">
        <f>D8*$D$7+E8*$E$7+F8*$F$7</f>
        <v>0</v>
      </c>
      <c r="H8" s="141"/>
      <c r="I8" s="141"/>
      <c r="J8" s="141"/>
      <c r="K8" s="12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6" thickTop="1" thickBot="1">
      <c r="A9" s="7" t="s">
        <v>24</v>
      </c>
      <c r="B9" s="7" t="s">
        <v>257</v>
      </c>
      <c r="C9" s="7"/>
      <c r="D9" s="7"/>
      <c r="E9" s="7"/>
      <c r="F9" s="7"/>
      <c r="G9" s="7">
        <f t="shared" ref="G9:G15" si="0">D9*$D$7+E9*$E$7+F9*$F$7</f>
        <v>0</v>
      </c>
      <c r="H9" s="7" t="e">
        <f t="array" ref="H9">VLOOKUP(D8,[1]Guidelines!$B$4:$E$19,2,FALSE)</f>
        <v>#N/A</v>
      </c>
      <c r="I9" s="141" t="e">
        <f t="array" ref="I9">VLOOKUP(D8,[1]Guidelines!$B$4:$E$19,3,FALSE)</f>
        <v>#N/A</v>
      </c>
      <c r="J9" s="141" t="e">
        <f t="array" ref="J9">VLOOKUP(D8,[1]Guidelines!$B$4:$E$19,4,FALSE)</f>
        <v>#N/A</v>
      </c>
      <c r="K9" s="127"/>
      <c r="O9" s="166"/>
      <c r="P9" s="167"/>
      <c r="Q9" s="167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6" thickTop="1" thickBot="1">
      <c r="A10" s="7" t="s">
        <v>24</v>
      </c>
      <c r="B10" s="7" t="s">
        <v>147</v>
      </c>
      <c r="C10" s="7"/>
      <c r="D10" s="7"/>
      <c r="E10" s="7"/>
      <c r="F10" s="7"/>
      <c r="G10" s="7">
        <f t="shared" si="0"/>
        <v>0</v>
      </c>
      <c r="H10" s="7"/>
      <c r="I10" s="141"/>
      <c r="J10" s="141"/>
      <c r="K10" s="127"/>
      <c r="L10" s="2"/>
      <c r="M10" s="2"/>
      <c r="N10" s="2"/>
      <c r="O10" s="9"/>
      <c r="P10" s="2"/>
      <c r="Q10" s="9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6" thickTop="1" thickBot="1">
      <c r="A11" s="7" t="s">
        <v>24</v>
      </c>
      <c r="B11" s="7" t="s">
        <v>148</v>
      </c>
      <c r="C11" s="7"/>
      <c r="D11" s="7"/>
      <c r="E11" s="7"/>
      <c r="F11" s="7"/>
      <c r="G11" s="7">
        <f t="shared" si="0"/>
        <v>0</v>
      </c>
      <c r="H11" s="7"/>
      <c r="I11" s="141"/>
      <c r="J11" s="141"/>
      <c r="K11" s="12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6" thickTop="1" thickBot="1">
      <c r="A12" s="7" t="s">
        <v>24</v>
      </c>
      <c r="B12" s="7" t="s">
        <v>149</v>
      </c>
      <c r="C12" s="7"/>
      <c r="D12" s="7"/>
      <c r="E12" s="7"/>
      <c r="F12" s="7"/>
      <c r="G12" s="7">
        <f t="shared" si="0"/>
        <v>0</v>
      </c>
      <c r="H12" s="7"/>
      <c r="I12" s="141"/>
      <c r="J12" s="141"/>
      <c r="K12" s="127"/>
      <c r="L12" s="22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8.5" thickTop="1" thickBot="1">
      <c r="A13" s="7" t="s">
        <v>25</v>
      </c>
      <c r="B13" s="7" t="s">
        <v>258</v>
      </c>
      <c r="C13" s="7"/>
      <c r="D13" s="7"/>
      <c r="E13" s="7"/>
      <c r="F13" s="7"/>
      <c r="G13" s="7">
        <f t="shared" si="0"/>
        <v>0</v>
      </c>
      <c r="H13" s="7"/>
      <c r="I13" s="141"/>
      <c r="J13" s="141"/>
      <c r="K13" s="127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6" thickTop="1" thickBot="1">
      <c r="A14" s="7" t="s">
        <v>25</v>
      </c>
      <c r="B14" s="7" t="s">
        <v>259</v>
      </c>
      <c r="C14" s="7"/>
      <c r="D14" s="7"/>
      <c r="E14" s="7"/>
      <c r="F14" s="7"/>
      <c r="G14" s="7">
        <f t="shared" si="0"/>
        <v>0</v>
      </c>
      <c r="H14" s="7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6" thickTop="1" thickBot="1">
      <c r="A15" s="7" t="s">
        <v>260</v>
      </c>
      <c r="B15" s="7" t="s">
        <v>261</v>
      </c>
      <c r="C15" s="7"/>
      <c r="D15" s="7"/>
      <c r="E15" s="7"/>
      <c r="F15" s="7"/>
      <c r="G15" s="7">
        <f t="shared" si="0"/>
        <v>0</v>
      </c>
      <c r="H15" s="7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5" thickTop="1" thickBot="1">
      <c r="A16" s="2"/>
      <c r="B16" s="2"/>
      <c r="C16" s="2"/>
      <c r="D16" s="2"/>
      <c r="E16" s="2"/>
      <c r="F16" s="2"/>
      <c r="G16" s="2"/>
      <c r="H16" s="2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5" thickTop="1" thickBot="1">
      <c r="A17" s="2" t="s">
        <v>158</v>
      </c>
      <c r="B17" s="2"/>
      <c r="C17" s="2"/>
      <c r="D17" s="2"/>
      <c r="E17" s="2"/>
      <c r="F17" s="2"/>
      <c r="G17" s="2">
        <f>SUM(G8:G15)</f>
        <v>0</v>
      </c>
      <c r="H17" s="2"/>
      <c r="I17" s="141"/>
      <c r="J17" s="141"/>
      <c r="K17" s="12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5" thickTop="1" thickBot="1">
      <c r="A18" s="2"/>
      <c r="B18" s="2"/>
      <c r="C18" s="2"/>
      <c r="D18" s="2"/>
      <c r="E18" s="2"/>
      <c r="F18" s="2"/>
      <c r="G18" s="2"/>
      <c r="H18" s="2" t="e">
        <f t="array" ref="H18">VLOOKUP(D15,[1]Guidelines!$B$4:$E$19,2,FALSE)</f>
        <v>#N/A</v>
      </c>
      <c r="I18" s="141" t="e">
        <f t="array" ref="I18">VLOOKUP(D15,[1]Guidelines!$B$4:$E$19,3,FALSE)</f>
        <v>#N/A</v>
      </c>
      <c r="J18" s="141" t="e">
        <f t="array" ref="J18">VLOOKUP(D15,[1]Guidelines!$B$4:$E$19,4,FALSE)</f>
        <v>#N/A</v>
      </c>
      <c r="K18" s="127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5" thickTop="1" thickBot="1">
      <c r="A19" s="2"/>
      <c r="B19" s="2"/>
      <c r="C19" s="2"/>
      <c r="D19" s="2"/>
      <c r="E19" s="2"/>
      <c r="F19" s="2"/>
      <c r="G19" s="2"/>
      <c r="H19" s="2" t="e">
        <f t="array" ref="H19">VLOOKUP(#REF!,[1]Guidelines!$B$4:$E$19,2,FALSE)</f>
        <v>#REF!</v>
      </c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5" thickTop="1" thickBot="1">
      <c r="A20" s="2"/>
      <c r="B20" s="2"/>
      <c r="C20" s="2"/>
      <c r="D20" s="2"/>
      <c r="E20" s="2"/>
      <c r="F20" s="2"/>
      <c r="G20" s="2"/>
      <c r="H20" s="2"/>
      <c r="I20" s="131"/>
      <c r="J20" s="131"/>
      <c r="K20" s="93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thickBot="1">
      <c r="A21" s="2"/>
      <c r="B21" s="2"/>
      <c r="C21" s="2"/>
      <c r="D21" s="2"/>
      <c r="E21" s="2"/>
      <c r="F21" s="2" t="s">
        <v>145</v>
      </c>
      <c r="G21" s="2">
        <v>57</v>
      </c>
      <c r="H21" s="2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95"/>
      <c r="B22" s="96"/>
      <c r="C22" s="89"/>
      <c r="D22" s="89"/>
      <c r="E22" s="89"/>
      <c r="F22" s="89"/>
      <c r="G22" s="89"/>
      <c r="H22" s="85"/>
      <c r="I22" s="8"/>
      <c r="J22" s="8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7"/>
      <c r="B23" s="7"/>
      <c r="C23" s="2"/>
      <c r="D23" s="2"/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thickBot="1">
      <c r="A24" s="7"/>
      <c r="B24" s="7"/>
      <c r="C24" s="9" t="s">
        <v>20</v>
      </c>
      <c r="D24" s="12">
        <v>0.16</v>
      </c>
      <c r="E24" s="9" t="e">
        <f t="array" ref="E24">VLOOKUP(D1,'[1]Baseline Productivity '!A4:D8,4,FALSE)</f>
        <v>#N/A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thickBot="1">
      <c r="A25" s="7"/>
      <c r="B25" s="7"/>
      <c r="C25" s="15" t="s">
        <v>0</v>
      </c>
      <c r="D25" s="14">
        <v>57</v>
      </c>
      <c r="E25" s="15" t="s">
        <v>43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thickBot="1">
      <c r="A26" s="7"/>
      <c r="B26" s="7"/>
      <c r="C26" s="9" t="s">
        <v>44</v>
      </c>
      <c r="D26" s="16">
        <f>D25/D24</f>
        <v>356.25</v>
      </c>
      <c r="E26" s="9" t="s">
        <v>45</v>
      </c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thickBot="1">
      <c r="A27" s="7"/>
      <c r="B27" s="7"/>
      <c r="C27" s="9" t="s">
        <v>46</v>
      </c>
      <c r="D27" s="12">
        <f>0.65+0.01*$N$31</f>
        <v>1.01</v>
      </c>
      <c r="E27" s="2"/>
      <c r="F27" s="2"/>
      <c r="G27" s="2"/>
      <c r="H27" s="8" t="e">
        <f t="array" ref="H27">VLOOKUP(#REF!,[1]Guidelines!$B$4:$E$19,2,FALSE)</f>
        <v>#REF!</v>
      </c>
      <c r="I27" s="8" t="e">
        <f t="array" ref="I27">VLOOKUP(#REF!,[1]Guidelines!$B$4:$E$19,3,FALSE)</f>
        <v>#REF!</v>
      </c>
      <c r="J27" s="8" t="e">
        <f t="array" ref="J27">VLOOKUP(#REF!,[1]Guidelines!$B$4:$E$19,4,FALSE)</f>
        <v>#REF!</v>
      </c>
      <c r="K27" s="2"/>
      <c r="L27" s="2" t="s">
        <v>12</v>
      </c>
      <c r="M27" s="2"/>
      <c r="N27" s="2">
        <v>4</v>
      </c>
      <c r="O27" s="9"/>
      <c r="P27" s="9"/>
      <c r="Q27" s="9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thickBot="1">
      <c r="A28" s="7"/>
      <c r="B28" s="7"/>
      <c r="C28" s="9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thickBot="1">
      <c r="A29" s="7"/>
      <c r="B29" s="7"/>
      <c r="C29" s="9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thickBot="1">
      <c r="A30" s="7"/>
      <c r="B30" s="7"/>
      <c r="C30" s="9" t="s">
        <v>146</v>
      </c>
      <c r="D30" s="18">
        <f>((D26*D27)+(D26*D27*D28))+((D26*D27)+(D26*D27*D28))*D29</f>
        <v>415.5834375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thickBot="1">
      <c r="A31" s="7"/>
      <c r="B31" s="7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thickBot="1">
      <c r="A32" s="7"/>
      <c r="B32" s="7"/>
      <c r="C32" s="2" t="s">
        <v>50</v>
      </c>
      <c r="D32" s="19">
        <f>D30+5%*D30</f>
        <v>436.36260937500003</v>
      </c>
      <c r="E32" s="19">
        <f>D30-5%*D30</f>
        <v>394.80426562499997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thickBot="1">
      <c r="A33" s="7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thickBot="1">
      <c r="A34" s="7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thickBot="1">
      <c r="A35" s="7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thickBot="1">
      <c r="A36" s="7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thickBot="1">
      <c r="A37" s="7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thickBot="1">
      <c r="A38" s="7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thickBot="1">
      <c r="A39" s="7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thickBot="1">
      <c r="A40" s="7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thickBot="1">
      <c r="A41" s="7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thickBot="1">
      <c r="A42" s="7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thickBot="1">
      <c r="A43" s="7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thickBot="1">
      <c r="A44" s="7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thickBot="1">
      <c r="A45" s="7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thickBot="1">
      <c r="A46" s="7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thickBot="1">
      <c r="A47" s="7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thickBot="1">
      <c r="A48" s="7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thickBot="1">
      <c r="A49" s="7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thickBot="1">
      <c r="A50" s="7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thickBot="1">
      <c r="A51" s="7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thickBot="1">
      <c r="A52" s="7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thickBot="1">
      <c r="A53" s="7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thickBot="1">
      <c r="A54" s="7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thickBot="1">
      <c r="A55" s="7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thickBot="1">
      <c r="A56" s="7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thickBot="1">
      <c r="A57" s="7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thickBot="1">
      <c r="A58" s="7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thickBot="1">
      <c r="A59" s="7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thickBot="1">
      <c r="A60" s="7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thickBot="1">
      <c r="A61" s="7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thickBot="1">
      <c r="A62" s="7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thickBot="1">
      <c r="A63" s="7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thickBot="1">
      <c r="A64" s="7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thickBot="1">
      <c r="A65" s="7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thickBot="1">
      <c r="A66" s="7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thickBot="1">
      <c r="A67" s="7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thickBot="1">
      <c r="A68" s="7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thickBot="1">
      <c r="A69" s="7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thickBot="1">
      <c r="A70" s="7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thickBot="1">
      <c r="A71" s="7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thickBot="1">
      <c r="A72" s="7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thickBot="1">
      <c r="A73" s="7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thickBot="1">
      <c r="A74" s="7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thickBot="1">
      <c r="A75" s="7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thickBot="1">
      <c r="A76" s="7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thickBot="1">
      <c r="A77" s="7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thickBot="1">
      <c r="A78" s="7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thickBot="1">
      <c r="A79" s="7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thickBot="1">
      <c r="A80" s="7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thickBot="1">
      <c r="A81" s="7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thickBot="1">
      <c r="A82" s="7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thickBot="1">
      <c r="A83" s="7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thickBot="1">
      <c r="A84" s="7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thickBot="1">
      <c r="A85" s="7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thickBot="1">
      <c r="A86" s="7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thickBot="1">
      <c r="A87" s="7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thickBot="1">
      <c r="A88" s="7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thickBot="1">
      <c r="A89" s="7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thickBot="1">
      <c r="A90" s="7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thickBot="1">
      <c r="A91" s="7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thickBot="1">
      <c r="A92" s="7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thickBot="1">
      <c r="A93" s="7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thickBot="1">
      <c r="A94" s="7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thickBot="1">
      <c r="A95" s="7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thickBot="1">
      <c r="A96" s="7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thickBot="1">
      <c r="A97" s="7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thickBot="1">
      <c r="A98" s="7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thickBot="1">
      <c r="A99" s="7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thickBot="1">
      <c r="A100" s="7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thickBot="1">
      <c r="A101" s="7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thickBot="1">
      <c r="A102" s="7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thickBot="1">
      <c r="A103" s="7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thickBot="1">
      <c r="A104" s="7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thickBot="1">
      <c r="A105" s="7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thickBot="1">
      <c r="A106" s="7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thickBot="1">
      <c r="A107" s="7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thickBot="1">
      <c r="A108" s="7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thickBot="1">
      <c r="A109" s="7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thickBot="1">
      <c r="A110" s="7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thickBot="1">
      <c r="A111" s="7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thickBot="1">
      <c r="A112" s="7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thickBot="1">
      <c r="A113" s="7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thickBot="1">
      <c r="A114" s="7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thickBot="1">
      <c r="A115" s="7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thickBot="1">
      <c r="A116" s="7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thickBot="1">
      <c r="A117" s="7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thickBot="1">
      <c r="A118" s="7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thickBot="1">
      <c r="A119" s="7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thickBot="1">
      <c r="A120" s="7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thickBot="1">
      <c r="A121" s="7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thickBot="1">
      <c r="A122" s="7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thickBot="1">
      <c r="A123" s="7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thickBot="1">
      <c r="A124" s="7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thickBot="1">
      <c r="A125" s="7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thickBot="1">
      <c r="A126" s="7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thickBot="1">
      <c r="A127" s="7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thickBot="1">
      <c r="A128" s="7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thickBot="1">
      <c r="A129" s="7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thickBot="1">
      <c r="A130" s="7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thickBot="1">
      <c r="A131" s="7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thickBot="1">
      <c r="A132" s="7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thickBot="1">
      <c r="A133" s="7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thickBot="1">
      <c r="A134" s="7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thickBot="1">
      <c r="A135" s="7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thickBot="1">
      <c r="A136" s="7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thickBot="1">
      <c r="A137" s="7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thickBot="1">
      <c r="A138" s="7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thickBot="1">
      <c r="A139" s="7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thickBot="1">
      <c r="A140" s="7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thickBot="1">
      <c r="A141" s="7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thickBot="1">
      <c r="A142" s="7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thickBot="1">
      <c r="A143" s="7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thickBot="1">
      <c r="A144" s="7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thickBot="1">
      <c r="A145" s="7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thickBot="1">
      <c r="A146" s="7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thickBot="1">
      <c r="A147" s="7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thickBot="1">
      <c r="A148" s="7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thickBot="1">
      <c r="A149" s="7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thickBot="1">
      <c r="A150" s="7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thickBot="1">
      <c r="A151" s="7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thickBot="1">
      <c r="A152" s="7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thickBot="1">
      <c r="A153" s="7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thickBot="1">
      <c r="A154" s="7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thickBot="1">
      <c r="A155" s="7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thickBot="1">
      <c r="A156" s="7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thickBot="1">
      <c r="A157" s="7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thickBot="1">
      <c r="A158" s="7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thickBot="1">
      <c r="A159" s="7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thickBot="1">
      <c r="A160" s="7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thickBot="1">
      <c r="A161" s="7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thickBot="1">
      <c r="A162" s="7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thickBot="1">
      <c r="A163" s="7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thickBot="1">
      <c r="A164" s="7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thickBot="1">
      <c r="A165" s="7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thickBot="1">
      <c r="A166" s="7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thickBot="1">
      <c r="A167" s="7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thickBot="1">
      <c r="A168" s="7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thickBot="1">
      <c r="A169" s="7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thickBot="1">
      <c r="A170" s="7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thickBot="1">
      <c r="A171" s="7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thickBot="1">
      <c r="A172" s="7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thickBot="1">
      <c r="A173" s="7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thickBot="1">
      <c r="A174" s="7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thickBot="1">
      <c r="A175" s="7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thickBot="1">
      <c r="A176" s="7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thickBot="1">
      <c r="A177" s="7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thickBot="1">
      <c r="A178" s="7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thickBot="1">
      <c r="A179" s="7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thickBot="1">
      <c r="A180" s="7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thickBot="1">
      <c r="A181" s="7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thickBot="1">
      <c r="A182" s="7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thickBot="1">
      <c r="A183" s="7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thickBot="1">
      <c r="A184" s="7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thickBot="1">
      <c r="A185" s="7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thickBot="1">
      <c r="A186" s="7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thickBot="1">
      <c r="A187" s="7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thickBot="1">
      <c r="A188" s="7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thickBot="1">
      <c r="A189" s="7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thickBot="1">
      <c r="A190" s="7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thickBot="1">
      <c r="A191" s="7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thickBot="1">
      <c r="A192" s="7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thickBot="1">
      <c r="A193" s="7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thickBot="1">
      <c r="A194" s="7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thickBot="1">
      <c r="A195" s="7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thickBot="1">
      <c r="A196" s="7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thickBot="1">
      <c r="A197" s="7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thickBot="1">
      <c r="A198" s="7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thickBot="1">
      <c r="A199" s="7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thickBot="1">
      <c r="A200" s="7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thickBot="1">
      <c r="A201" s="7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thickBot="1">
      <c r="A202" s="7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thickBot="1">
      <c r="A203" s="7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thickBot="1">
      <c r="A204" s="7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thickBot="1">
      <c r="A205" s="7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thickBot="1">
      <c r="A206" s="7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thickBot="1">
      <c r="A207" s="7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thickBot="1">
      <c r="A208" s="7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thickBot="1">
      <c r="A209" s="7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thickBot="1">
      <c r="A210" s="7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thickBot="1">
      <c r="A211" s="7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thickBot="1">
      <c r="A212" s="7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thickBot="1">
      <c r="A213" s="7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thickBot="1">
      <c r="A214" s="7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thickBot="1">
      <c r="A215" s="7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thickBot="1">
      <c r="A216" s="7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thickBot="1">
      <c r="A217" s="7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thickBot="1">
      <c r="A218" s="7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thickBot="1">
      <c r="A219" s="7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thickBot="1">
      <c r="A220" s="7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thickBot="1">
      <c r="A221" s="7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thickBot="1">
      <c r="A222" s="7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thickBot="1">
      <c r="A223" s="7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thickBot="1">
      <c r="A224" s="7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thickBot="1">
      <c r="A225" s="7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thickBot="1">
      <c r="A226" s="7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thickBot="1">
      <c r="A227" s="7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thickBot="1">
      <c r="A228" s="7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thickBot="1">
      <c r="A229" s="7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thickBot="1">
      <c r="A230" s="7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thickBot="1">
      <c r="A231" s="7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thickBot="1">
      <c r="A232" s="7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thickBot="1">
      <c r="A233" s="7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thickBot="1">
      <c r="A234" s="7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thickBot="1">
      <c r="A235" s="7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thickBot="1">
      <c r="A236" s="7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thickBot="1">
      <c r="A237" s="7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thickBot="1">
      <c r="A238" s="7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thickBot="1">
      <c r="A239" s="7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thickBot="1">
      <c r="A240" s="7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thickBot="1">
      <c r="A241" s="7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thickBot="1">
      <c r="A242" s="7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thickBot="1">
      <c r="A243" s="7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thickBot="1">
      <c r="A244" s="7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thickBot="1">
      <c r="A245" s="7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thickBot="1">
      <c r="A246" s="7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thickBot="1">
      <c r="A247" s="7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thickBot="1">
      <c r="A248" s="7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thickBot="1">
      <c r="A249" s="7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thickBot="1">
      <c r="A250" s="7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thickBot="1">
      <c r="A251" s="7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thickBot="1">
      <c r="A252" s="7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thickBot="1">
      <c r="A253" s="7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thickBot="1">
      <c r="A254" s="7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thickBot="1">
      <c r="A255" s="7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thickBot="1">
      <c r="A256" s="7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thickBot="1">
      <c r="A257" s="7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thickBot="1">
      <c r="A258" s="7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thickBot="1">
      <c r="A259" s="7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thickBot="1">
      <c r="A260" s="7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thickBot="1">
      <c r="A261" s="7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thickBot="1">
      <c r="A262" s="7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thickBot="1">
      <c r="A263" s="7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thickBot="1">
      <c r="A264" s="7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thickBot="1">
      <c r="A265" s="7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thickBot="1">
      <c r="A266" s="7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thickBot="1">
      <c r="A267" s="7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thickBot="1">
      <c r="A268" s="7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thickBot="1">
      <c r="A269" s="7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thickBot="1">
      <c r="A270" s="7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thickBot="1">
      <c r="A271" s="7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thickBot="1">
      <c r="A272" s="7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thickBot="1">
      <c r="A273" s="7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thickBot="1">
      <c r="A274" s="7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thickBot="1">
      <c r="A275" s="7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thickBot="1">
      <c r="A276" s="7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thickBot="1">
      <c r="A277" s="7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thickBot="1">
      <c r="A278" s="7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thickBot="1">
      <c r="A279" s="7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thickBot="1">
      <c r="A280" s="7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thickBot="1">
      <c r="A281" s="7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thickBot="1">
      <c r="A282" s="7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thickBot="1">
      <c r="A283" s="7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thickBot="1">
      <c r="A284" s="7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thickBot="1">
      <c r="A285" s="7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thickBot="1">
      <c r="A286" s="7"/>
      <c r="B286" s="7"/>
      <c r="C286" s="2"/>
      <c r="D286" s="2"/>
      <c r="E286" s="2"/>
      <c r="F286" s="2"/>
      <c r="G286" s="2"/>
      <c r="H286" s="2"/>
      <c r="I286" s="100" t="s">
        <v>152</v>
      </c>
      <c r="J286" s="100" t="s">
        <v>152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thickBot="1">
      <c r="A287" s="7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thickBot="1">
      <c r="A288" s="7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thickBot="1">
      <c r="A289" s="7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thickBot="1">
      <c r="A290" s="7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thickBot="1">
      <c r="A291" s="7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thickBot="1">
      <c r="A292" s="7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thickBot="1">
      <c r="A293" s="7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thickBot="1">
      <c r="A294" s="7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thickBot="1">
      <c r="A295" s="7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thickBot="1">
      <c r="A296" s="7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thickBot="1">
      <c r="A297" s="7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thickBot="1">
      <c r="A298" s="7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thickBot="1">
      <c r="A299" s="7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thickBot="1">
      <c r="A300" s="7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thickBot="1">
      <c r="A301" s="7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thickBot="1">
      <c r="A302" s="7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thickBot="1">
      <c r="A303" s="7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thickBot="1">
      <c r="A304" s="7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thickBot="1">
      <c r="A305" s="7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thickBot="1">
      <c r="A306" s="7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thickBot="1">
      <c r="A307" s="7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thickBot="1">
      <c r="A308" s="7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thickBot="1">
      <c r="A309" s="7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thickBot="1">
      <c r="A310" s="7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thickBot="1">
      <c r="A311" s="7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thickBot="1">
      <c r="A312" s="7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thickBot="1">
      <c r="A313" s="7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thickBot="1">
      <c r="A314" s="7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thickBot="1">
      <c r="A315" s="7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thickBot="1">
      <c r="A316" s="7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thickBot="1">
      <c r="A317" s="7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thickBot="1">
      <c r="A318" s="7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thickBot="1">
      <c r="A319" s="7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thickBot="1">
      <c r="A320" s="7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thickBot="1">
      <c r="A321" s="7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thickBot="1">
      <c r="A322" s="7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thickBot="1">
      <c r="A323" s="7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thickBot="1">
      <c r="A324" s="7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thickBot="1">
      <c r="A325" s="7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thickBot="1">
      <c r="A326" s="7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thickBot="1">
      <c r="A327" s="7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thickBot="1">
      <c r="A328" s="7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thickBot="1">
      <c r="A329" s="7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thickBot="1">
      <c r="A330" s="7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thickBot="1">
      <c r="A331" s="7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thickBot="1">
      <c r="A332" s="7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thickBot="1">
      <c r="A333" s="7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thickBot="1">
      <c r="A334" s="7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thickBot="1">
      <c r="A335" s="7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thickBot="1">
      <c r="A336" s="7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thickBot="1">
      <c r="A337" s="7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thickBot="1">
      <c r="A338" s="7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thickBot="1">
      <c r="A339" s="7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thickBot="1">
      <c r="A340" s="7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thickBot="1">
      <c r="A341" s="7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thickBot="1">
      <c r="A342" s="7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thickBot="1">
      <c r="A343" s="7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thickBot="1">
      <c r="A344" s="7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thickBot="1">
      <c r="A345" s="7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thickBot="1">
      <c r="A346" s="7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thickBot="1">
      <c r="A347" s="7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thickBot="1">
      <c r="A348" s="7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thickBot="1">
      <c r="A349" s="7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thickBot="1">
      <c r="A350" s="7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thickBot="1">
      <c r="A351" s="7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thickBot="1">
      <c r="A352" s="7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thickBot="1">
      <c r="A353" s="7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thickBot="1">
      <c r="A354" s="7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thickBot="1">
      <c r="A355" s="7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thickBot="1">
      <c r="A356" s="7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thickBot="1">
      <c r="A357" s="7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thickBot="1">
      <c r="A358" s="7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thickBot="1">
      <c r="A359" s="7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thickBot="1">
      <c r="A360" s="7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thickBot="1">
      <c r="A361" s="7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thickBot="1">
      <c r="A362" s="7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thickBot="1">
      <c r="A363" s="7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thickBot="1">
      <c r="A364" s="7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thickBot="1">
      <c r="A365" s="7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thickBot="1">
      <c r="A366" s="7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thickBot="1">
      <c r="A367" s="7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thickBot="1">
      <c r="A368" s="7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thickBot="1">
      <c r="A369" s="7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thickBot="1">
      <c r="A370" s="7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thickBot="1">
      <c r="A371" s="7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thickBot="1">
      <c r="A372" s="7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thickBot="1">
      <c r="A373" s="7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thickBot="1">
      <c r="A374" s="7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thickBot="1">
      <c r="A375" s="7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thickBot="1">
      <c r="A376" s="7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thickBot="1">
      <c r="A377" s="7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thickBot="1">
      <c r="A378" s="7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thickBot="1">
      <c r="A379" s="7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thickBot="1">
      <c r="A380" s="7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thickBot="1">
      <c r="A381" s="7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thickBot="1">
      <c r="A382" s="7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thickBot="1">
      <c r="A383" s="7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thickBot="1">
      <c r="A384" s="7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thickBot="1">
      <c r="A385" s="7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thickBot="1">
      <c r="A386" s="7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thickBot="1">
      <c r="A387" s="7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thickBot="1">
      <c r="A388" s="7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thickBot="1">
      <c r="A389" s="7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thickBot="1">
      <c r="A390" s="7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thickBot="1">
      <c r="A391" s="7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thickBot="1">
      <c r="A392" s="7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thickBot="1">
      <c r="A393" s="7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thickBot="1">
      <c r="A394" s="7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thickBot="1">
      <c r="A395" s="7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thickBot="1">
      <c r="A396" s="7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thickBot="1">
      <c r="A397" s="7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thickBot="1">
      <c r="A398" s="7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thickBot="1">
      <c r="A399" s="7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thickBot="1">
      <c r="A400" s="7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thickBot="1">
      <c r="A401" s="7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thickBot="1">
      <c r="A402" s="7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thickBot="1">
      <c r="A403" s="7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thickBot="1">
      <c r="A404" s="7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thickBot="1">
      <c r="A405" s="7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thickBot="1">
      <c r="A406" s="7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thickBot="1">
      <c r="A407" s="7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thickBot="1">
      <c r="A408" s="7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thickBot="1">
      <c r="A409" s="7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thickBot="1">
      <c r="A410" s="7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thickBot="1">
      <c r="A411" s="7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thickBot="1">
      <c r="A412" s="7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thickBot="1">
      <c r="A413" s="7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thickBot="1">
      <c r="A414" s="7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thickBot="1">
      <c r="A415" s="7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thickBot="1">
      <c r="A416" s="7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thickBot="1">
      <c r="A417" s="7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thickBot="1">
      <c r="A418" s="7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thickBot="1">
      <c r="A419" s="7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thickBot="1">
      <c r="A420" s="7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thickBot="1">
      <c r="A421" s="7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thickBot="1">
      <c r="A422" s="7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thickBot="1">
      <c r="A423" s="7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thickBot="1">
      <c r="A424" s="7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thickBot="1">
      <c r="A425" s="7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thickBot="1">
      <c r="A426" s="7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thickBot="1">
      <c r="A427" s="7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thickBot="1">
      <c r="A428" s="7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thickBot="1">
      <c r="A429" s="7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thickBot="1">
      <c r="A430" s="7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thickBot="1">
      <c r="A431" s="7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thickBot="1">
      <c r="A432" s="7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thickBot="1">
      <c r="A433" s="7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thickBot="1">
      <c r="A434" s="7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thickBot="1">
      <c r="A435" s="7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thickBot="1">
      <c r="A436" s="7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thickBot="1">
      <c r="A437" s="7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thickBot="1">
      <c r="A438" s="7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thickBot="1">
      <c r="A439" s="7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thickBot="1">
      <c r="A440" s="7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thickBot="1">
      <c r="A441" s="7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thickBot="1">
      <c r="A442" s="7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thickBot="1">
      <c r="A443" s="7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thickBot="1">
      <c r="A444" s="7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thickBot="1">
      <c r="A445" s="7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thickBot="1">
      <c r="A446" s="7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thickBot="1">
      <c r="A447" s="7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thickBot="1">
      <c r="A448" s="7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thickBot="1">
      <c r="A449" s="7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thickBot="1">
      <c r="A450" s="7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thickBot="1">
      <c r="A451" s="7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thickBot="1">
      <c r="A452" s="7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thickBot="1">
      <c r="A453" s="7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thickBot="1">
      <c r="A454" s="7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thickBot="1">
      <c r="A455" s="7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thickBot="1">
      <c r="A456" s="7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thickBot="1">
      <c r="A457" s="7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thickBot="1">
      <c r="A458" s="7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thickBot="1">
      <c r="A459" s="7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thickBot="1">
      <c r="A460" s="7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thickBot="1">
      <c r="A461" s="7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thickBot="1">
      <c r="A462" s="7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thickBot="1">
      <c r="A463" s="7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thickBot="1">
      <c r="A464" s="7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thickBot="1">
      <c r="A465" s="7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thickBot="1">
      <c r="A466" s="7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thickBot="1">
      <c r="A467" s="7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thickBot="1">
      <c r="A468" s="7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thickBot="1">
      <c r="A469" s="7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thickBot="1">
      <c r="A470" s="7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thickBot="1">
      <c r="A471" s="7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thickBot="1">
      <c r="A472" s="7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thickBot="1">
      <c r="A473" s="7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thickBot="1">
      <c r="A474" s="7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thickBot="1">
      <c r="A475" s="7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thickBot="1">
      <c r="A476" s="7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thickBot="1">
      <c r="A477" s="7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thickBot="1">
      <c r="A478" s="7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thickBot="1">
      <c r="A479" s="7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thickBot="1">
      <c r="A480" s="7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thickBot="1">
      <c r="A481" s="7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thickBot="1">
      <c r="A482" s="7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thickBot="1">
      <c r="A483" s="7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thickBot="1">
      <c r="A484" s="7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thickBot="1">
      <c r="A485" s="7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thickBot="1">
      <c r="A486" s="7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thickBot="1">
      <c r="A487" s="7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thickBot="1">
      <c r="A488" s="7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thickBot="1">
      <c r="A489" s="7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thickBot="1">
      <c r="A490" s="7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thickBot="1">
      <c r="A491" s="7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thickBot="1">
      <c r="A492" s="7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thickBot="1">
      <c r="A493" s="7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thickBot="1">
      <c r="A494" s="7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thickBot="1">
      <c r="A495" s="7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thickBot="1">
      <c r="A496" s="7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thickBot="1">
      <c r="A497" s="7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thickBot="1">
      <c r="A498" s="7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thickBot="1">
      <c r="A499" s="7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thickBot="1">
      <c r="A500" s="7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thickBot="1">
      <c r="A501" s="7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thickBot="1">
      <c r="A502" s="7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thickBot="1">
      <c r="A503" s="7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thickBot="1">
      <c r="A504" s="7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thickBot="1">
      <c r="A505" s="7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thickBot="1">
      <c r="A506" s="7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thickBot="1">
      <c r="A507" s="7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thickBot="1">
      <c r="A508" s="7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thickBot="1">
      <c r="A509" s="7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thickBot="1">
      <c r="A510" s="7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thickBot="1">
      <c r="A511" s="7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thickBot="1">
      <c r="A512" s="7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thickBot="1">
      <c r="A513" s="7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thickBot="1">
      <c r="A514" s="7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thickBot="1">
      <c r="A515" s="7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thickBot="1">
      <c r="A516" s="7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thickBot="1">
      <c r="A517" s="7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thickBot="1">
      <c r="A518" s="7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thickBot="1">
      <c r="A519" s="7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thickBot="1">
      <c r="A520" s="7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thickBot="1">
      <c r="A521" s="7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thickBot="1">
      <c r="A522" s="7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thickBot="1">
      <c r="A523" s="7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thickBot="1">
      <c r="A524" s="7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thickBot="1">
      <c r="A525" s="7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thickBot="1">
      <c r="A526" s="7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thickBot="1">
      <c r="A527" s="7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thickBot="1">
      <c r="A528" s="7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thickBot="1">
      <c r="A529" s="7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thickBot="1">
      <c r="A530" s="7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thickBot="1">
      <c r="A531" s="7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thickBot="1">
      <c r="A532" s="7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thickBot="1">
      <c r="A533" s="7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thickBot="1">
      <c r="A534" s="7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thickBot="1">
      <c r="A535" s="7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thickBot="1">
      <c r="A536" s="7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thickBot="1">
      <c r="A537" s="7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thickBot="1">
      <c r="A538" s="7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thickBot="1">
      <c r="A539" s="7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thickBot="1">
      <c r="A540" s="7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thickBot="1">
      <c r="A541" s="7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thickBot="1">
      <c r="A542" s="7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thickBot="1">
      <c r="A543" s="7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thickBot="1">
      <c r="A544" s="7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thickBot="1">
      <c r="A545" s="7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thickBot="1">
      <c r="A546" s="7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thickBot="1">
      <c r="A547" s="7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thickBot="1">
      <c r="A548" s="7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thickBot="1">
      <c r="A549" s="7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thickBot="1">
      <c r="A550" s="7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thickBot="1">
      <c r="A551" s="7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thickBot="1">
      <c r="A552" s="7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thickBot="1">
      <c r="A553" s="7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thickBot="1">
      <c r="A554" s="7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thickBot="1">
      <c r="A555" s="7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thickBot="1">
      <c r="A556" s="7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thickBot="1">
      <c r="A557" s="7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thickBot="1">
      <c r="A558" s="7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thickBot="1">
      <c r="A559" s="7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thickBot="1">
      <c r="A560" s="7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thickBot="1">
      <c r="A561" s="7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thickBot="1">
      <c r="A562" s="7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thickBot="1">
      <c r="A563" s="7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thickBot="1">
      <c r="A564" s="7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thickBot="1">
      <c r="A565" s="7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thickBot="1">
      <c r="A566" s="7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thickBot="1">
      <c r="A567" s="7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thickBot="1">
      <c r="A568" s="7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thickBot="1">
      <c r="A569" s="7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thickBot="1">
      <c r="A570" s="7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thickBot="1">
      <c r="A571" s="7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thickBot="1">
      <c r="A572" s="7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thickBot="1">
      <c r="A573" s="7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thickBot="1">
      <c r="A574" s="7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thickBot="1">
      <c r="A575" s="7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thickBot="1">
      <c r="A576" s="7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thickBot="1">
      <c r="A577" s="7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thickBot="1">
      <c r="A578" s="7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thickBot="1">
      <c r="A579" s="7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thickBot="1">
      <c r="A580" s="7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thickBot="1">
      <c r="A581" s="7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thickBot="1">
      <c r="A582" s="7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thickBot="1">
      <c r="A583" s="7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thickBot="1">
      <c r="A584" s="7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thickBot="1">
      <c r="A585" s="7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thickBot="1">
      <c r="A586" s="7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thickBot="1">
      <c r="A587" s="7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thickBot="1">
      <c r="A588" s="7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thickBot="1">
      <c r="A589" s="7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thickBot="1">
      <c r="A590" s="7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thickBot="1">
      <c r="A591" s="7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thickBot="1">
      <c r="A592" s="7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thickBot="1">
      <c r="A593" s="7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thickBot="1">
      <c r="A594" s="7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thickBot="1">
      <c r="A595" s="7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thickBot="1">
      <c r="A596" s="7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thickBot="1">
      <c r="A597" s="7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thickBot="1">
      <c r="A598" s="7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thickBot="1">
      <c r="A599" s="7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thickBot="1">
      <c r="A600" s="7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thickBot="1">
      <c r="A601" s="7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thickBot="1">
      <c r="A602" s="7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thickBot="1">
      <c r="A603" s="7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thickBot="1">
      <c r="A604" s="7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thickBot="1">
      <c r="A605" s="7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thickBot="1">
      <c r="A606" s="7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thickBot="1">
      <c r="A607" s="7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thickBot="1">
      <c r="A608" s="7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thickBot="1">
      <c r="A609" s="7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thickBot="1">
      <c r="A610" s="7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thickBot="1">
      <c r="A611" s="7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thickBot="1">
      <c r="A612" s="7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thickBot="1">
      <c r="A613" s="7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thickBot="1">
      <c r="A614" s="7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thickBot="1">
      <c r="A615" s="7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thickBot="1">
      <c r="A616" s="7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thickBot="1">
      <c r="A617" s="7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thickBot="1">
      <c r="A618" s="7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thickBot="1">
      <c r="A619" s="7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thickBot="1">
      <c r="A620" s="7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thickBot="1">
      <c r="A621" s="7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thickBot="1">
      <c r="A622" s="7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thickBot="1">
      <c r="A623" s="7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thickBot="1">
      <c r="A624" s="7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thickBot="1">
      <c r="A625" s="7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thickBot="1">
      <c r="A626" s="7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thickBot="1">
      <c r="A627" s="7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thickBot="1">
      <c r="A628" s="7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thickBot="1">
      <c r="A629" s="7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thickBot="1">
      <c r="A630" s="7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thickBot="1">
      <c r="A631" s="7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thickBot="1">
      <c r="A632" s="7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thickBot="1">
      <c r="A633" s="7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thickBot="1">
      <c r="A634" s="7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thickBot="1">
      <c r="A635" s="7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thickBot="1">
      <c r="A636" s="7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thickBot="1">
      <c r="A637" s="7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thickBot="1">
      <c r="A638" s="7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thickBot="1">
      <c r="A639" s="7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thickBot="1">
      <c r="A640" s="7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thickBot="1">
      <c r="A641" s="7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thickBot="1">
      <c r="A642" s="7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thickBot="1">
      <c r="A643" s="7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thickBot="1">
      <c r="A644" s="7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thickBot="1">
      <c r="A645" s="7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thickBot="1">
      <c r="A646" s="7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thickBot="1">
      <c r="A647" s="7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thickBot="1">
      <c r="A648" s="7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thickBot="1">
      <c r="A649" s="7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thickBot="1">
      <c r="A650" s="7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thickBot="1">
      <c r="A651" s="7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thickBot="1">
      <c r="A652" s="7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thickBot="1">
      <c r="A653" s="7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thickBot="1">
      <c r="A654" s="7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thickBot="1">
      <c r="A655" s="7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thickBot="1">
      <c r="A656" s="7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thickBot="1">
      <c r="A657" s="7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thickBot="1">
      <c r="A658" s="7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thickBot="1">
      <c r="A659" s="7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thickBot="1">
      <c r="A660" s="7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thickBot="1">
      <c r="A661" s="7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thickBot="1">
      <c r="A662" s="7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thickBot="1">
      <c r="A663" s="7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thickBot="1">
      <c r="A664" s="7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thickBot="1">
      <c r="A665" s="7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thickBot="1">
      <c r="A666" s="7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thickBot="1">
      <c r="A667" s="7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thickBot="1">
      <c r="A668" s="7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thickBot="1">
      <c r="A669" s="7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thickBot="1">
      <c r="A670" s="7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thickBot="1">
      <c r="A671" s="7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thickBot="1">
      <c r="A672" s="7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thickBot="1">
      <c r="A673" s="7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thickBot="1">
      <c r="A674" s="7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thickBot="1">
      <c r="A675" s="7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thickBot="1">
      <c r="A676" s="7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thickBot="1">
      <c r="A677" s="7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thickBot="1">
      <c r="A678" s="7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thickBot="1">
      <c r="A679" s="7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thickBot="1">
      <c r="A680" s="7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thickBot="1">
      <c r="A681" s="7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thickBot="1">
      <c r="A682" s="7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thickBot="1">
      <c r="A683" s="7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thickBot="1">
      <c r="A684" s="7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thickBot="1">
      <c r="A685" s="7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thickBot="1">
      <c r="A686" s="7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thickBot="1">
      <c r="A687" s="7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thickBot="1">
      <c r="A688" s="7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thickBot="1">
      <c r="A689" s="7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thickBot="1">
      <c r="A690" s="7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thickBot="1">
      <c r="A691" s="7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thickBot="1">
      <c r="A692" s="7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thickBot="1">
      <c r="A693" s="7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thickBot="1">
      <c r="A694" s="7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thickBot="1">
      <c r="A695" s="7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thickBot="1">
      <c r="A696" s="7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thickBot="1">
      <c r="A697" s="7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thickBot="1">
      <c r="A698" s="7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thickBot="1">
      <c r="A699" s="7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thickBot="1">
      <c r="A700" s="7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thickBot="1">
      <c r="A701" s="7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thickBot="1">
      <c r="A702" s="7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thickBot="1">
      <c r="A703" s="7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thickBot="1">
      <c r="A704" s="7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thickBot="1">
      <c r="A705" s="7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thickBot="1">
      <c r="A706" s="7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thickBot="1">
      <c r="A707" s="7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thickBot="1">
      <c r="A708" s="7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thickBot="1">
      <c r="A709" s="7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thickBot="1">
      <c r="A710" s="7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thickBot="1">
      <c r="A711" s="7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thickBot="1">
      <c r="A712" s="7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thickBot="1">
      <c r="A713" s="7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thickBot="1">
      <c r="A714" s="7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thickBot="1">
      <c r="A715" s="7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thickBot="1">
      <c r="A716" s="7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thickBot="1">
      <c r="A717" s="7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thickBot="1">
      <c r="A718" s="7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thickBot="1">
      <c r="A719" s="7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thickBot="1">
      <c r="A720" s="7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thickBot="1">
      <c r="A721" s="7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thickBot="1">
      <c r="A722" s="7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thickBot="1">
      <c r="A723" s="7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thickBot="1">
      <c r="A724" s="7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thickBot="1">
      <c r="A725" s="7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thickBot="1">
      <c r="A726" s="7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thickBot="1">
      <c r="A727" s="7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thickBot="1">
      <c r="A728" s="7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thickBot="1">
      <c r="A729" s="7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thickBot="1">
      <c r="A730" s="7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thickBot="1">
      <c r="A731" s="7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thickBot="1">
      <c r="A732" s="7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thickBot="1">
      <c r="A733" s="7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thickBot="1">
      <c r="A734" s="7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thickBot="1">
      <c r="A735" s="7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thickBot="1">
      <c r="A736" s="7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thickBot="1">
      <c r="A737" s="7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thickBot="1">
      <c r="A738" s="7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thickBot="1">
      <c r="A739" s="7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thickBot="1">
      <c r="A740" s="7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thickBot="1">
      <c r="A741" s="7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thickBot="1">
      <c r="A742" s="7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thickBot="1">
      <c r="A743" s="7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thickBot="1">
      <c r="A744" s="7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thickBot="1">
      <c r="A745" s="7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thickBot="1">
      <c r="A746" s="7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thickBot="1">
      <c r="A747" s="7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thickBot="1">
      <c r="A748" s="7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thickBot="1">
      <c r="A749" s="7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thickBot="1">
      <c r="A750" s="7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thickBot="1">
      <c r="A751" s="7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thickBot="1">
      <c r="A752" s="7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thickBot="1">
      <c r="A753" s="7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thickBot="1">
      <c r="A754" s="7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thickBot="1">
      <c r="A755" s="7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thickBot="1">
      <c r="A756" s="7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thickBot="1">
      <c r="A757" s="7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thickBot="1">
      <c r="A758" s="7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thickBot="1">
      <c r="A759" s="7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thickBot="1">
      <c r="A760" s="7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thickBot="1">
      <c r="A761" s="7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thickBot="1">
      <c r="A762" s="7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thickBot="1">
      <c r="A763" s="7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thickBot="1">
      <c r="A764" s="7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thickBot="1">
      <c r="A765" s="7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thickBot="1">
      <c r="A766" s="7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thickBot="1">
      <c r="A767" s="7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thickBot="1">
      <c r="A768" s="7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thickBot="1">
      <c r="A769" s="7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thickBot="1">
      <c r="A770" s="7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thickBot="1">
      <c r="A771" s="7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thickBot="1">
      <c r="A772" s="7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thickBot="1">
      <c r="A773" s="7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thickBot="1">
      <c r="A774" s="7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thickBot="1">
      <c r="A775" s="7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thickBot="1">
      <c r="A776" s="7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thickBot="1">
      <c r="A777" s="7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thickBot="1">
      <c r="A778" s="7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thickBot="1">
      <c r="A779" s="7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thickBot="1">
      <c r="A780" s="7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thickBot="1">
      <c r="A781" s="7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thickBot="1">
      <c r="A782" s="7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thickBot="1">
      <c r="A783" s="7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thickBot="1">
      <c r="A784" s="7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thickBot="1">
      <c r="A785" s="7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thickBot="1">
      <c r="A786" s="7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thickBot="1">
      <c r="A787" s="7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thickBot="1">
      <c r="A788" s="7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thickBot="1">
      <c r="A789" s="7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thickBot="1">
      <c r="A790" s="7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thickBot="1">
      <c r="A791" s="7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thickBot="1">
      <c r="A792" s="7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thickBot="1">
      <c r="A793" s="7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thickBot="1">
      <c r="A794" s="7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thickBot="1">
      <c r="A795" s="7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thickBot="1">
      <c r="A796" s="7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thickBot="1">
      <c r="A797" s="7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thickBot="1">
      <c r="A798" s="7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thickBot="1">
      <c r="A799" s="7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thickBot="1">
      <c r="A800" s="7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thickBot="1">
      <c r="A801" s="7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thickBot="1">
      <c r="A802" s="7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thickBot="1">
      <c r="A803" s="7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thickBot="1">
      <c r="A804" s="7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thickBot="1">
      <c r="A805" s="7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thickBot="1">
      <c r="A806" s="7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thickBot="1">
      <c r="A807" s="7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thickBot="1">
      <c r="A808" s="7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thickBot="1">
      <c r="A809" s="7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thickBot="1">
      <c r="A810" s="7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thickBot="1">
      <c r="A811" s="7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thickBot="1">
      <c r="A812" s="7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thickBot="1">
      <c r="A813" s="7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thickBot="1">
      <c r="A814" s="7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thickBot="1">
      <c r="A815" s="7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thickBot="1">
      <c r="A816" s="7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thickBot="1">
      <c r="A817" s="7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thickBot="1">
      <c r="A818" s="7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thickBot="1">
      <c r="A819" s="7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thickBot="1">
      <c r="A820" s="7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thickBot="1">
      <c r="A821" s="7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thickBot="1">
      <c r="A822" s="7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thickBot="1">
      <c r="A823" s="7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thickBot="1">
      <c r="A824" s="7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thickBot="1">
      <c r="A825" s="7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thickBot="1">
      <c r="A826" s="7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thickBot="1">
      <c r="A827" s="7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thickBot="1">
      <c r="A828" s="7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thickBot="1">
      <c r="A829" s="7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thickBot="1">
      <c r="A830" s="7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thickBot="1">
      <c r="A831" s="7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thickBot="1">
      <c r="A832" s="7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thickBot="1">
      <c r="A833" s="7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thickBot="1">
      <c r="A834" s="7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thickBot="1">
      <c r="A835" s="7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thickBot="1">
      <c r="A836" s="7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thickBot="1">
      <c r="A837" s="7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thickBot="1">
      <c r="A838" s="7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thickBot="1">
      <c r="A839" s="7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thickBot="1">
      <c r="A840" s="7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thickBot="1">
      <c r="A841" s="7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thickBot="1">
      <c r="A842" s="7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thickBot="1">
      <c r="A843" s="7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thickBot="1">
      <c r="A844" s="7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thickBot="1">
      <c r="A845" s="7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thickBot="1">
      <c r="A846" s="7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thickBot="1">
      <c r="A847" s="7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thickBot="1">
      <c r="A848" s="7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thickBot="1">
      <c r="A849" s="7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thickBot="1">
      <c r="A850" s="7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thickBot="1">
      <c r="A851" s="7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thickBot="1">
      <c r="A852" s="7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thickBot="1">
      <c r="A853" s="7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thickBot="1">
      <c r="A854" s="7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thickBot="1">
      <c r="A855" s="7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thickBot="1">
      <c r="A856" s="7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thickBot="1">
      <c r="A857" s="7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thickBot="1">
      <c r="A858" s="7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thickBot="1">
      <c r="A859" s="7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thickBot="1">
      <c r="A860" s="7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thickBot="1">
      <c r="A861" s="7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thickBot="1">
      <c r="A862" s="7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thickBot="1">
      <c r="A863" s="7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thickBot="1">
      <c r="A864" s="7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thickBot="1">
      <c r="A865" s="7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thickBot="1">
      <c r="A866" s="7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thickBot="1">
      <c r="A867" s="7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thickBot="1">
      <c r="A868" s="7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thickBot="1">
      <c r="A869" s="7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thickBot="1">
      <c r="A870" s="7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thickBot="1">
      <c r="A871" s="7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thickBot="1">
      <c r="A872" s="7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thickBot="1">
      <c r="A873" s="7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thickBot="1">
      <c r="A874" s="7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thickBot="1">
      <c r="A875" s="7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thickBot="1">
      <c r="A876" s="7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thickBot="1">
      <c r="A877" s="7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thickBot="1">
      <c r="A878" s="7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thickBot="1">
      <c r="A879" s="7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thickBot="1">
      <c r="A880" s="7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thickBot="1">
      <c r="A881" s="7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thickBot="1">
      <c r="A882" s="7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thickBot="1">
      <c r="A883" s="7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thickBot="1">
      <c r="A884" s="7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thickBot="1">
      <c r="A885" s="7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thickBot="1">
      <c r="A886" s="7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thickBot="1">
      <c r="A887" s="7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thickBot="1">
      <c r="A888" s="7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thickBot="1">
      <c r="A889" s="7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thickBot="1">
      <c r="A890" s="7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thickBot="1">
      <c r="A891" s="7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thickBot="1">
      <c r="A892" s="7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thickBot="1">
      <c r="A893" s="7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thickBot="1">
      <c r="A894" s="7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thickBot="1">
      <c r="A895" s="7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thickBot="1">
      <c r="A896" s="7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thickBot="1">
      <c r="A897" s="7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thickBot="1">
      <c r="A898" s="7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thickBot="1">
      <c r="A899" s="7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thickBot="1">
      <c r="A900" s="7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thickBot="1">
      <c r="A901" s="7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thickBot="1">
      <c r="A902" s="7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thickBot="1">
      <c r="A903" s="7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thickBot="1">
      <c r="A904" s="7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thickBot="1">
      <c r="A905" s="7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thickBot="1">
      <c r="A906" s="7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thickBot="1">
      <c r="A907" s="7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thickBot="1">
      <c r="A908" s="7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thickBot="1">
      <c r="A909" s="7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thickBot="1">
      <c r="A910" s="7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thickBot="1">
      <c r="A911" s="7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thickBot="1">
      <c r="A912" s="7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thickBot="1">
      <c r="A913" s="7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thickBot="1">
      <c r="A914" s="7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thickBot="1">
      <c r="A915" s="7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thickBot="1">
      <c r="A916" s="7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thickBot="1">
      <c r="A917" s="7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thickBot="1">
      <c r="A918" s="7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thickBot="1">
      <c r="A919" s="7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thickBot="1">
      <c r="A920" s="7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thickBot="1">
      <c r="A921" s="7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thickBot="1">
      <c r="A922" s="7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thickBot="1">
      <c r="A923" s="7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thickBot="1">
      <c r="A924" s="7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thickBot="1">
      <c r="A925" s="7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thickBot="1">
      <c r="A926" s="7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thickBot="1">
      <c r="A927" s="7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thickBot="1">
      <c r="A928" s="7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thickBot="1">
      <c r="A929" s="7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thickBot="1">
      <c r="A930" s="7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thickBot="1">
      <c r="A931" s="7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thickBot="1">
      <c r="A932" s="7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thickBot="1">
      <c r="A933" s="7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thickBot="1">
      <c r="A934" s="7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thickBot="1">
      <c r="A935" s="7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thickBot="1">
      <c r="A936" s="7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thickBot="1">
      <c r="A937" s="7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thickBot="1">
      <c r="A938" s="7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thickBot="1">
      <c r="A939" s="7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thickBot="1">
      <c r="A940" s="7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thickBot="1">
      <c r="A941" s="7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thickBot="1">
      <c r="A942" s="7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thickBot="1">
      <c r="A943" s="7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thickBot="1">
      <c r="A944" s="7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thickBot="1">
      <c r="A945" s="7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thickBot="1">
      <c r="A946" s="7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thickBot="1">
      <c r="A947" s="7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thickBot="1">
      <c r="A948" s="7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thickBot="1">
      <c r="A949" s="7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thickBot="1">
      <c r="A950" s="7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thickBot="1">
      <c r="A951" s="7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thickBot="1">
      <c r="A952" s="7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thickBot="1">
      <c r="A953" s="7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thickBot="1">
      <c r="A954" s="7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thickBot="1">
      <c r="A955" s="7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thickBot="1">
      <c r="A956" s="7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thickBot="1">
      <c r="A957" s="7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thickBot="1">
      <c r="A958" s="7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thickBot="1">
      <c r="A959" s="7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thickBot="1">
      <c r="A960" s="7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thickBot="1">
      <c r="A961" s="7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thickBot="1">
      <c r="A962" s="7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thickBot="1">
      <c r="A963" s="7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thickBot="1">
      <c r="A964" s="7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thickBot="1">
      <c r="A965" s="7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thickBot="1">
      <c r="A966" s="7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thickBot="1">
      <c r="A967" s="7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thickBot="1">
      <c r="A968" s="7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thickBot="1">
      <c r="A969" s="7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thickBot="1">
      <c r="A970" s="7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thickBot="1">
      <c r="A971" s="7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thickBot="1">
      <c r="A972" s="7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thickBot="1">
      <c r="A973" s="7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thickBot="1">
      <c r="A974" s="7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thickBot="1">
      <c r="A975" s="7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thickBot="1">
      <c r="A976" s="7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thickBot="1">
      <c r="A977" s="7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thickBot="1">
      <c r="A978" s="7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thickBot="1">
      <c r="A979" s="7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thickBot="1">
      <c r="A980" s="7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thickBot="1">
      <c r="A981" s="7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thickBot="1">
      <c r="A982" s="7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thickBot="1">
      <c r="A983" s="7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thickBot="1">
      <c r="A984" s="7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thickBot="1">
      <c r="A985" s="7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thickBot="1">
      <c r="A986" s="7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thickBot="1">
      <c r="A987" s="7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thickBot="1">
      <c r="A988" s="7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thickBot="1">
      <c r="A989" s="7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thickBot="1">
      <c r="A990" s="7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thickBot="1">
      <c r="A991" s="7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thickBot="1">
      <c r="A992" s="7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thickBot="1">
      <c r="A993" s="7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thickBot="1">
      <c r="A994" s="7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thickBot="1">
      <c r="A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thickBot="1">
      <c r="A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thickBot="1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O9:Q9"/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Q11:Q26 N15:N30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zoomScale="80" zoomScaleNormal="80" workbookViewId="0">
      <selection activeCell="D9" sqref="D9"/>
    </sheetView>
  </sheetViews>
  <sheetFormatPr defaultColWidth="11.90625" defaultRowHeight="14.5"/>
  <cols>
    <col min="1" max="1" width="15" customWidth="1"/>
    <col min="2" max="2" width="20.54296875" customWidth="1"/>
    <col min="3" max="3" width="59.1796875" customWidth="1"/>
    <col min="4" max="4" width="23.7265625" bestFit="1" customWidth="1"/>
    <col min="5" max="5" width="10" bestFit="1" customWidth="1"/>
    <col min="6" max="6" width="10.36328125" bestFit="1" customWidth="1"/>
    <col min="7" max="7" width="11.1796875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</row>
    <row r="5" spans="1:17" ht="15" thickBot="1">
      <c r="A5" s="132"/>
      <c r="B5" s="132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L5" s="3"/>
      <c r="M5" s="3"/>
      <c r="N5" s="3"/>
      <c r="O5" s="2"/>
      <c r="P5" s="2"/>
      <c r="Q5" s="2"/>
    </row>
    <row r="6" spans="1:17" ht="26.5" thickBot="1">
      <c r="A6" s="138" t="s">
        <v>144</v>
      </c>
      <c r="B6" s="138" t="s">
        <v>33</v>
      </c>
      <c r="C6" s="134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L6" s="3"/>
      <c r="M6" s="3"/>
      <c r="N6" s="3"/>
      <c r="O6" s="2"/>
      <c r="P6" s="2"/>
      <c r="Q6" s="2"/>
    </row>
    <row r="7" spans="1:17" ht="15" thickBot="1">
      <c r="A7" s="138"/>
      <c r="B7" s="138"/>
      <c r="C7" s="134"/>
      <c r="D7" s="138">
        <v>1</v>
      </c>
      <c r="E7" s="138">
        <v>3</v>
      </c>
      <c r="F7" s="138">
        <v>5</v>
      </c>
      <c r="G7" s="138"/>
      <c r="H7" s="139"/>
      <c r="I7" s="139"/>
      <c r="J7" s="139"/>
      <c r="K7" s="126"/>
      <c r="L7" s="3"/>
      <c r="M7" s="3"/>
      <c r="N7" s="3"/>
      <c r="O7" s="2"/>
      <c r="P7" s="2"/>
      <c r="Q7" s="2"/>
    </row>
    <row r="8" spans="1:17" ht="98.5" thickBot="1">
      <c r="A8" s="124" t="s">
        <v>193</v>
      </c>
      <c r="B8" s="125" t="s">
        <v>265</v>
      </c>
      <c r="C8" s="125" t="s">
        <v>266</v>
      </c>
      <c r="D8" s="125"/>
      <c r="E8" s="125"/>
      <c r="F8" s="125"/>
      <c r="G8" s="125">
        <f>D8*$D$7+E8*$E$7+F8*$F$7</f>
        <v>0</v>
      </c>
      <c r="H8" s="140"/>
      <c r="I8" s="140"/>
      <c r="J8" s="140"/>
      <c r="K8" s="126"/>
      <c r="L8" s="3"/>
      <c r="M8" s="3"/>
      <c r="N8" s="3"/>
      <c r="O8" s="2"/>
      <c r="P8" s="2"/>
      <c r="Q8" s="2"/>
    </row>
    <row r="9" spans="1:17" ht="71" thickTop="1" thickBot="1">
      <c r="A9" s="124" t="s">
        <v>193</v>
      </c>
      <c r="B9" s="125" t="s">
        <v>194</v>
      </c>
      <c r="C9" s="125" t="s">
        <v>195</v>
      </c>
      <c r="D9" s="125"/>
      <c r="E9" s="125"/>
      <c r="F9" s="125"/>
      <c r="G9" s="125">
        <f t="shared" ref="G9:G18" si="0">D9*$D$7+E9*$E$7+F9*$F$7</f>
        <v>0</v>
      </c>
      <c r="H9" s="141"/>
      <c r="I9" s="141"/>
      <c r="J9" s="141"/>
      <c r="K9" s="127"/>
      <c r="L9" s="3"/>
      <c r="M9" s="3"/>
      <c r="N9" s="3"/>
      <c r="O9" s="2"/>
      <c r="P9" s="2"/>
      <c r="Q9" s="2"/>
    </row>
    <row r="10" spans="1:17" ht="71" thickTop="1" thickBot="1">
      <c r="A10" s="124" t="s">
        <v>193</v>
      </c>
      <c r="B10" s="125" t="s">
        <v>196</v>
      </c>
      <c r="C10" s="125" t="s">
        <v>197</v>
      </c>
      <c r="D10" s="125"/>
      <c r="E10" s="125"/>
      <c r="F10" s="125"/>
      <c r="G10" s="125">
        <f t="shared" si="0"/>
        <v>0</v>
      </c>
      <c r="H10" s="141" t="e">
        <f t="array" ref="H10">VLOOKUP(D16,[1]Guidelines!$B$4:$E$19,2,FALSE)</f>
        <v>#N/A</v>
      </c>
      <c r="I10" s="141" t="e">
        <f t="array" ref="I10">VLOOKUP(D16,[1]Guidelines!$B$4:$E$19,3,FALSE)</f>
        <v>#N/A</v>
      </c>
      <c r="J10" s="141" t="e">
        <f t="array" ref="J10">VLOOKUP(D16,[1]Guidelines!$B$4:$E$19,4,FALSE)</f>
        <v>#N/A</v>
      </c>
      <c r="K10" s="127"/>
      <c r="L10" s="3"/>
      <c r="M10" s="3"/>
      <c r="N10" s="3"/>
      <c r="O10" s="166"/>
      <c r="P10" s="167"/>
      <c r="Q10" s="167"/>
    </row>
    <row r="11" spans="1:17" ht="99" thickTop="1" thickBot="1">
      <c r="A11" s="124" t="s">
        <v>193</v>
      </c>
      <c r="B11" s="125" t="s">
        <v>198</v>
      </c>
      <c r="C11" s="125" t="s">
        <v>199</v>
      </c>
      <c r="D11" s="125"/>
      <c r="E11" s="125"/>
      <c r="F11" s="125"/>
      <c r="G11" s="125">
        <f t="shared" si="0"/>
        <v>0</v>
      </c>
      <c r="H11" s="141"/>
      <c r="I11" s="141"/>
      <c r="J11" s="141"/>
      <c r="K11" s="127"/>
      <c r="L11" s="2"/>
      <c r="M11" s="2"/>
      <c r="N11" s="2"/>
      <c r="O11" s="9"/>
      <c r="P11" s="2"/>
      <c r="Q11" s="9"/>
    </row>
    <row r="12" spans="1:17" ht="85" thickTop="1" thickBot="1">
      <c r="A12" s="124" t="s">
        <v>193</v>
      </c>
      <c r="B12" s="125" t="s">
        <v>200</v>
      </c>
      <c r="C12" s="125" t="s">
        <v>201</v>
      </c>
      <c r="D12" s="125"/>
      <c r="E12" s="125"/>
      <c r="F12" s="125"/>
      <c r="G12" s="125">
        <f t="shared" si="0"/>
        <v>0</v>
      </c>
      <c r="H12" s="141"/>
      <c r="I12" s="141"/>
      <c r="J12" s="141"/>
      <c r="K12" s="127"/>
      <c r="L12" s="2"/>
      <c r="M12" s="2"/>
      <c r="N12" s="2"/>
      <c r="O12" s="2"/>
      <c r="P12" s="2"/>
      <c r="Q12" s="2"/>
    </row>
    <row r="13" spans="1:17" ht="99" thickTop="1" thickBot="1">
      <c r="A13" s="124" t="s">
        <v>193</v>
      </c>
      <c r="B13" s="125" t="s">
        <v>202</v>
      </c>
      <c r="C13" s="125" t="s">
        <v>203</v>
      </c>
      <c r="D13" s="125"/>
      <c r="E13" s="125"/>
      <c r="F13" s="125"/>
      <c r="G13" s="125">
        <f t="shared" si="0"/>
        <v>0</v>
      </c>
      <c r="H13" s="141"/>
      <c r="I13" s="141"/>
      <c r="J13" s="141"/>
      <c r="K13" s="127"/>
      <c r="L13" s="166" t="s">
        <v>40</v>
      </c>
      <c r="M13" s="167"/>
      <c r="N13" s="167"/>
      <c r="O13" s="2"/>
      <c r="P13" s="2"/>
      <c r="Q13" s="2"/>
    </row>
    <row r="14" spans="1:17" ht="85" thickTop="1" thickBot="1">
      <c r="A14" s="124" t="s">
        <v>193</v>
      </c>
      <c r="B14" s="125" t="s">
        <v>204</v>
      </c>
      <c r="C14" s="125" t="s">
        <v>205</v>
      </c>
      <c r="D14" s="125"/>
      <c r="E14" s="125"/>
      <c r="F14" s="125"/>
      <c r="G14" s="125">
        <f t="shared" si="0"/>
        <v>0</v>
      </c>
      <c r="H14" s="141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</row>
    <row r="15" spans="1:17" ht="99" thickTop="1" thickBot="1">
      <c r="A15" s="124" t="s">
        <v>206</v>
      </c>
      <c r="B15" s="125" t="s">
        <v>207</v>
      </c>
      <c r="C15" s="125" t="s">
        <v>208</v>
      </c>
      <c r="D15" s="125"/>
      <c r="E15" s="125"/>
      <c r="F15" s="125"/>
      <c r="G15" s="125">
        <f t="shared" si="0"/>
        <v>0</v>
      </c>
      <c r="H15" s="141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</row>
    <row r="16" spans="1:17" ht="99" thickTop="1" thickBot="1">
      <c r="A16" s="124" t="s">
        <v>206</v>
      </c>
      <c r="B16" s="125" t="s">
        <v>209</v>
      </c>
      <c r="C16" s="125" t="s">
        <v>210</v>
      </c>
      <c r="D16" s="125"/>
      <c r="E16" s="125"/>
      <c r="F16" s="125"/>
      <c r="G16" s="125">
        <f t="shared" si="0"/>
        <v>0</v>
      </c>
      <c r="H16" s="141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</row>
    <row r="17" spans="1:17" ht="99" thickTop="1" thickBot="1">
      <c r="A17" s="124" t="s">
        <v>206</v>
      </c>
      <c r="B17" s="125" t="s">
        <v>211</v>
      </c>
      <c r="C17" s="125" t="s">
        <v>212</v>
      </c>
      <c r="D17" s="125"/>
      <c r="E17" s="125"/>
      <c r="F17" s="125"/>
      <c r="G17" s="125">
        <f t="shared" si="0"/>
        <v>0</v>
      </c>
      <c r="H17" s="141" t="e">
        <f t="array" ref="H17">VLOOKUP(#REF!,[1]Guidelines!$B$4:$E$19,2,FALSE)</f>
        <v>#REF!</v>
      </c>
      <c r="I17" s="141"/>
      <c r="J17" s="141"/>
      <c r="K17" s="127"/>
      <c r="L17" s="2"/>
      <c r="M17" s="2"/>
      <c r="N17" s="2"/>
      <c r="O17" s="2"/>
      <c r="P17" s="2"/>
      <c r="Q17" s="2"/>
    </row>
    <row r="18" spans="1:17" ht="99" thickTop="1" thickBot="1">
      <c r="A18" s="124" t="s">
        <v>206</v>
      </c>
      <c r="B18" s="125" t="s">
        <v>213</v>
      </c>
      <c r="C18" s="125" t="s">
        <v>214</v>
      </c>
      <c r="D18" s="125"/>
      <c r="E18" s="125"/>
      <c r="F18" s="125"/>
      <c r="G18" s="125">
        <f t="shared" si="0"/>
        <v>0</v>
      </c>
      <c r="H18" s="141" t="e">
        <f t="array" ref="H18">VLOOKUP(#REF!,[1]Guidelines!$B$4:$E$19,2,FALSE)</f>
        <v>#REF!</v>
      </c>
      <c r="I18" s="141"/>
      <c r="J18" s="141"/>
      <c r="K18" s="127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125"/>
      <c r="B19" s="125"/>
      <c r="C19" s="125"/>
      <c r="D19" s="125"/>
      <c r="E19" s="125"/>
      <c r="F19" s="125"/>
      <c r="G19" s="125">
        <f>SUM(G8:G16)</f>
        <v>0</v>
      </c>
      <c r="H19" s="141"/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</row>
    <row r="20" spans="1:17" ht="57" thickTop="1" thickBot="1">
      <c r="A20" s="124" t="s">
        <v>215</v>
      </c>
      <c r="B20" s="124"/>
      <c r="C20" s="124"/>
      <c r="D20" s="124"/>
      <c r="E20" s="124"/>
      <c r="F20" s="124"/>
      <c r="G20" s="124">
        <v>35</v>
      </c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7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5"/>
      <c r="B21" s="96"/>
      <c r="C21" s="89"/>
      <c r="D21" s="89"/>
      <c r="E21" s="89"/>
      <c r="F21" s="89"/>
      <c r="G21" s="89"/>
      <c r="H21" s="141"/>
      <c r="I21" s="141"/>
      <c r="J21" s="141"/>
      <c r="K21" s="127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141"/>
      <c r="I22" s="141" t="e">
        <f t="array" ref="I22">VLOOKUP(#REF!,[1]Guidelines!$B$4:$E$19,3,FALSE)</f>
        <v>#REF!</v>
      </c>
      <c r="J22" s="141" t="e">
        <f t="array" ref="J22">VLOOKUP(#REF!,[1]Guidelines!$B$4:$E$19,4,FALSE)</f>
        <v>#REF!</v>
      </c>
      <c r="K22" s="126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0.16</v>
      </c>
      <c r="E23" s="9" t="e">
        <f t="array" ref="E23">VLOOKUP(D1,'[1]Baseline Productivity '!A4:D8,4,FALSE)</f>
        <v>#N/A</v>
      </c>
      <c r="F23" s="2"/>
      <c r="G23" s="2"/>
      <c r="H23" s="141"/>
      <c r="I23" s="141"/>
      <c r="J23" s="141"/>
      <c r="K23" s="126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35</v>
      </c>
      <c r="E24" s="15" t="s">
        <v>43</v>
      </c>
      <c r="F24" s="2"/>
      <c r="G24" s="2"/>
      <c r="H24" s="130"/>
      <c r="I24" s="131"/>
      <c r="J24" s="131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218.75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9" t="s">
        <v>48</v>
      </c>
      <c r="D28" s="17">
        <v>0.1</v>
      </c>
      <c r="E28" s="2"/>
      <c r="F28" s="2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9" t="s">
        <v>146</v>
      </c>
      <c r="D29" s="18">
        <f>((D25*D26)+(D25*D26*D27))+((D25*D26)+(D25*D26*D27))*D28</f>
        <v>255.18281250000001</v>
      </c>
      <c r="E29" s="9" t="s">
        <v>45</v>
      </c>
      <c r="F29" s="2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"/>
      <c r="D30" s="2"/>
      <c r="E30" s="2"/>
      <c r="F30" s="2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" t="s">
        <v>50</v>
      </c>
      <c r="D31" s="19">
        <f>D29+5%*D29</f>
        <v>267.941953125</v>
      </c>
      <c r="E31" s="19">
        <f>D29-5%*D29</f>
        <v>242.42367187500003</v>
      </c>
      <c r="F31" s="2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17"/>
      <c r="E33" s="27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118"/>
      <c r="D34" s="119"/>
      <c r="E34" s="118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7"/>
      <c r="D35" s="120"/>
      <c r="E35" s="27"/>
      <c r="F35" s="25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7"/>
      <c r="D36" s="117"/>
      <c r="E36" s="25"/>
      <c r="F36" s="25"/>
      <c r="G36" s="2"/>
    </row>
    <row r="37" spans="1:17" ht="15" thickBot="1">
      <c r="A37" s="7"/>
      <c r="B37" s="7"/>
      <c r="C37" s="27"/>
      <c r="D37" s="121"/>
      <c r="E37" s="25"/>
      <c r="F37" s="25"/>
      <c r="G37" s="2"/>
    </row>
    <row r="38" spans="1:17" ht="15" thickBot="1">
      <c r="A38" s="7"/>
      <c r="B38" s="7"/>
      <c r="C38" s="27"/>
      <c r="D38" s="121"/>
      <c r="E38" s="25"/>
      <c r="F38" s="25"/>
      <c r="G38" s="2"/>
    </row>
    <row r="39" spans="1:17" ht="15" thickBot="1">
      <c r="A39" s="7"/>
      <c r="B39" s="7"/>
      <c r="C39" s="27"/>
      <c r="D39" s="122"/>
      <c r="E39" s="27"/>
      <c r="F39" s="25"/>
      <c r="G39" s="2"/>
    </row>
    <row r="40" spans="1:17" ht="15" thickBot="1">
      <c r="A40" s="7"/>
      <c r="B40" s="7"/>
      <c r="C40" s="2"/>
      <c r="D40" s="2"/>
      <c r="E40" s="2"/>
      <c r="F40" s="2"/>
      <c r="G40" s="2"/>
    </row>
    <row r="41" spans="1:17" ht="15" thickBot="1">
      <c r="A41" s="7"/>
      <c r="B41" s="7"/>
      <c r="C41" s="2"/>
      <c r="D41" s="19"/>
      <c r="E41" s="19"/>
      <c r="F41" s="2"/>
      <c r="G41" s="2"/>
    </row>
    <row r="42" spans="1:17" ht="15" thickBot="1">
      <c r="A42" s="7"/>
      <c r="B42" s="7"/>
      <c r="C42" s="2"/>
      <c r="D42" s="2"/>
      <c r="E42" s="2"/>
      <c r="F42" s="2"/>
      <c r="G42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5" zoomScale="85" zoomScaleNormal="85" workbookViewId="0">
      <selection activeCell="C15" sqref="C15"/>
    </sheetView>
  </sheetViews>
  <sheetFormatPr defaultColWidth="11.90625" defaultRowHeight="14.5"/>
  <cols>
    <col min="1" max="1" width="15" customWidth="1"/>
    <col min="2" max="2" width="16.36328125" customWidth="1"/>
    <col min="3" max="3" width="48.90625" bestFit="1" customWidth="1"/>
    <col min="4" max="4" width="23.7265625" bestFit="1" customWidth="1"/>
    <col min="5" max="5" width="10" bestFit="1" customWidth="1"/>
    <col min="6" max="6" width="10.36328125" bestFit="1" customWidth="1"/>
    <col min="7" max="7" width="4.90625" bestFit="1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8"/>
      <c r="B4" s="128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</row>
    <row r="5" spans="1:17" ht="15" thickBot="1">
      <c r="A5" s="132"/>
      <c r="B5" s="132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L5" s="3"/>
      <c r="M5" s="3"/>
      <c r="N5" s="3"/>
      <c r="O5" s="2"/>
      <c r="P5" s="2"/>
      <c r="Q5" s="2"/>
    </row>
    <row r="6" spans="1:17" ht="26.5" thickBot="1">
      <c r="A6" s="138" t="s">
        <v>144</v>
      </c>
      <c r="B6" s="138" t="s">
        <v>33</v>
      </c>
      <c r="C6" s="134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L6" s="3"/>
      <c r="M6" s="3"/>
      <c r="N6" s="3"/>
      <c r="O6" s="2"/>
      <c r="P6" s="2"/>
      <c r="Q6" s="2"/>
    </row>
    <row r="7" spans="1:17" ht="15" thickBot="1">
      <c r="A7" s="138"/>
      <c r="B7" s="138"/>
      <c r="C7" s="134"/>
      <c r="D7" s="138">
        <v>1</v>
      </c>
      <c r="E7" s="138">
        <v>3</v>
      </c>
      <c r="F7" s="138">
        <v>5</v>
      </c>
      <c r="G7" s="138"/>
      <c r="H7" s="139"/>
      <c r="I7" s="139"/>
      <c r="J7" s="139"/>
      <c r="K7" s="126"/>
      <c r="L7" s="3"/>
      <c r="M7" s="3"/>
      <c r="N7" s="3"/>
      <c r="O7" s="2"/>
      <c r="P7" s="2"/>
      <c r="Q7" s="2"/>
    </row>
    <row r="8" spans="1:17" ht="42.5" thickBot="1">
      <c r="A8" s="124" t="s">
        <v>237</v>
      </c>
      <c r="B8" s="125" t="s">
        <v>268</v>
      </c>
      <c r="C8" s="125"/>
      <c r="D8" s="125"/>
      <c r="E8" s="125"/>
      <c r="F8" s="125"/>
      <c r="G8" s="125">
        <f>D8*$D$7+E8*$E$7+F8*$F$7</f>
        <v>0</v>
      </c>
      <c r="H8" s="140"/>
      <c r="I8" s="140"/>
      <c r="J8" s="140"/>
      <c r="K8" s="126"/>
      <c r="L8" s="3"/>
      <c r="M8" s="3"/>
      <c r="N8" s="3"/>
      <c r="O8" s="2"/>
      <c r="P8" s="2"/>
      <c r="Q8" s="2"/>
    </row>
    <row r="9" spans="1:17" ht="57" thickTop="1" thickBot="1">
      <c r="A9" s="124" t="s">
        <v>237</v>
      </c>
      <c r="B9" s="125" t="s">
        <v>269</v>
      </c>
      <c r="C9" s="125"/>
      <c r="D9" s="125"/>
      <c r="E9" s="125"/>
      <c r="F9" s="125"/>
      <c r="G9" s="125">
        <f t="shared" ref="G9:G11" si="0">D9*$D$7+E9*$E$7+F9*$F$7</f>
        <v>0</v>
      </c>
      <c r="H9" s="141"/>
      <c r="I9" s="141"/>
      <c r="J9" s="141"/>
      <c r="K9" s="127"/>
      <c r="L9" s="3"/>
      <c r="M9" s="3"/>
      <c r="N9" s="3"/>
      <c r="O9" s="2"/>
      <c r="P9" s="2"/>
      <c r="Q9" s="2"/>
    </row>
    <row r="10" spans="1:17" ht="43" thickTop="1" thickBot="1">
      <c r="A10" s="124" t="s">
        <v>238</v>
      </c>
      <c r="B10" s="125" t="s">
        <v>239</v>
      </c>
      <c r="C10" s="125"/>
      <c r="D10" s="125"/>
      <c r="E10" s="125"/>
      <c r="F10" s="125"/>
      <c r="G10" s="125">
        <f t="shared" si="0"/>
        <v>0</v>
      </c>
      <c r="H10" s="141" t="e">
        <f t="array" ref="H10">VLOOKUP(D12,[1]Guidelines!$B$4:$E$19,2,FALSE)</f>
        <v>#N/A</v>
      </c>
      <c r="I10" s="141" t="e">
        <f t="array" ref="I10">VLOOKUP(D12,[1]Guidelines!$B$4:$E$19,3,FALSE)</f>
        <v>#N/A</v>
      </c>
      <c r="J10" s="141" t="e">
        <f t="array" ref="J10">VLOOKUP(D12,[1]Guidelines!$B$4:$E$19,4,FALSE)</f>
        <v>#N/A</v>
      </c>
      <c r="K10" s="127"/>
      <c r="L10" s="3"/>
      <c r="M10" s="3"/>
      <c r="N10" s="3"/>
      <c r="O10" s="166"/>
      <c r="P10" s="167"/>
      <c r="Q10" s="167"/>
    </row>
    <row r="11" spans="1:17" ht="85" thickTop="1" thickBot="1">
      <c r="A11" s="124" t="s">
        <v>238</v>
      </c>
      <c r="B11" s="125" t="s">
        <v>267</v>
      </c>
      <c r="C11" s="125"/>
      <c r="D11" s="125"/>
      <c r="E11" s="125"/>
      <c r="F11" s="125"/>
      <c r="G11" s="125">
        <f t="shared" si="0"/>
        <v>0</v>
      </c>
      <c r="H11" s="141"/>
      <c r="I11" s="141"/>
      <c r="J11" s="141"/>
      <c r="K11" s="127"/>
      <c r="L11" s="2"/>
      <c r="M11" s="2"/>
      <c r="N11" s="2"/>
      <c r="O11" s="9"/>
      <c r="P11" s="2"/>
      <c r="Q11" s="9"/>
    </row>
    <row r="12" spans="1:17" ht="15.5" thickTop="1" thickBot="1">
      <c r="A12" s="125"/>
      <c r="B12" s="125"/>
      <c r="C12" s="125"/>
      <c r="D12" s="125"/>
      <c r="E12" s="125"/>
      <c r="F12" s="125"/>
      <c r="G12" s="125"/>
      <c r="H12" s="141"/>
      <c r="I12" s="141"/>
      <c r="J12" s="141"/>
      <c r="K12" s="127"/>
      <c r="L12" s="2"/>
      <c r="M12" s="2"/>
      <c r="N12" s="2"/>
      <c r="O12" s="2"/>
      <c r="P12" s="2"/>
      <c r="Q12" s="2"/>
    </row>
    <row r="13" spans="1:17" ht="43" thickTop="1" thickBot="1">
      <c r="A13" s="124" t="s">
        <v>240</v>
      </c>
      <c r="B13" s="124"/>
      <c r="C13" s="124"/>
      <c r="D13" s="124"/>
      <c r="E13" s="124"/>
      <c r="F13" s="124"/>
      <c r="G13" s="124">
        <f>SUM(G8:G11)</f>
        <v>0</v>
      </c>
      <c r="H13" s="141"/>
      <c r="I13" s="141"/>
      <c r="J13" s="141"/>
      <c r="K13" s="127"/>
      <c r="L13" s="166" t="s">
        <v>40</v>
      </c>
      <c r="M13" s="167"/>
      <c r="N13" s="167"/>
      <c r="O13" s="2"/>
      <c r="P13" s="2"/>
      <c r="Q13" s="2"/>
    </row>
    <row r="14" spans="1:17" ht="15.5" thickTop="1" thickBot="1">
      <c r="A14" s="147"/>
      <c r="B14" s="147"/>
      <c r="C14" s="147"/>
      <c r="D14" s="147"/>
      <c r="E14" s="147"/>
      <c r="F14" s="147"/>
      <c r="G14" s="147"/>
      <c r="H14" s="141"/>
      <c r="I14" s="141"/>
      <c r="J14" s="141"/>
      <c r="K14" s="127"/>
      <c r="L14" s="9" t="s">
        <v>15</v>
      </c>
      <c r="M14" s="2"/>
      <c r="N14" s="9" t="s">
        <v>16</v>
      </c>
      <c r="O14" s="2"/>
      <c r="P14" s="2"/>
      <c r="Q14" s="2"/>
    </row>
    <row r="15" spans="1:17" ht="15.5" thickTop="1" thickBot="1">
      <c r="A15" s="93"/>
      <c r="B15" s="93"/>
      <c r="C15" s="94"/>
      <c r="D15" s="90"/>
      <c r="E15" s="90"/>
      <c r="F15" s="91" t="s">
        <v>145</v>
      </c>
      <c r="G15" s="92">
        <v>19</v>
      </c>
      <c r="H15" s="141"/>
      <c r="I15" s="141"/>
      <c r="J15" s="141"/>
      <c r="K15" s="127"/>
      <c r="L15" s="2" t="s">
        <v>2</v>
      </c>
      <c r="M15" s="2"/>
      <c r="N15" s="2">
        <v>0</v>
      </c>
      <c r="O15" s="2"/>
      <c r="P15" s="2"/>
      <c r="Q15" s="2"/>
    </row>
    <row r="16" spans="1:17" ht="15.5" thickTop="1" thickBot="1">
      <c r="A16" s="95"/>
      <c r="B16" s="96"/>
      <c r="C16" s="89"/>
      <c r="D16" s="89"/>
      <c r="E16" s="89"/>
      <c r="F16" s="89"/>
      <c r="G16" s="89"/>
      <c r="H16" s="141"/>
      <c r="I16" s="141"/>
      <c r="J16" s="141"/>
      <c r="K16" s="127"/>
      <c r="L16" s="2" t="s">
        <v>3</v>
      </c>
      <c r="M16" s="2"/>
      <c r="N16" s="2">
        <v>0</v>
      </c>
      <c r="O16" s="2"/>
      <c r="P16" s="2"/>
      <c r="Q16" s="2"/>
    </row>
    <row r="17" spans="1:17" ht="15.5" thickTop="1" thickBot="1">
      <c r="A17" s="7"/>
      <c r="B17" s="7"/>
      <c r="C17" s="2"/>
      <c r="D17" s="2"/>
      <c r="E17" s="2"/>
      <c r="F17" s="2"/>
      <c r="G17" s="2"/>
      <c r="H17" s="141" t="e">
        <f t="array" ref="H17">VLOOKUP(#REF!,[1]Guidelines!$B$4:$E$19,2,FALSE)</f>
        <v>#REF!</v>
      </c>
      <c r="I17" s="141"/>
      <c r="J17" s="141"/>
      <c r="K17" s="127"/>
      <c r="L17" s="2"/>
      <c r="M17" s="2"/>
      <c r="N17" s="2"/>
      <c r="O17" s="2"/>
      <c r="P17" s="2"/>
      <c r="Q17" s="2"/>
    </row>
    <row r="18" spans="1:17" ht="15.5" thickTop="1" thickBot="1">
      <c r="A18" s="7"/>
      <c r="B18" s="7"/>
      <c r="C18" s="9" t="s">
        <v>20</v>
      </c>
      <c r="D18" s="12">
        <v>0.16</v>
      </c>
      <c r="E18" s="9" t="e">
        <f t="array" ref="E18">VLOOKUP(D1,'[1]Baseline Productivity '!A4:D8,4,FALSE)</f>
        <v>#N/A</v>
      </c>
      <c r="F18" s="2"/>
      <c r="G18" s="2"/>
      <c r="H18" s="141" t="e">
        <f t="array" ref="H18">VLOOKUP(#REF!,[1]Guidelines!$B$4:$E$19,2,FALSE)</f>
        <v>#REF!</v>
      </c>
      <c r="I18" s="141"/>
      <c r="J18" s="141"/>
      <c r="K18" s="127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7"/>
      <c r="B19" s="7"/>
      <c r="C19" s="15" t="s">
        <v>0</v>
      </c>
      <c r="D19" s="14">
        <v>19</v>
      </c>
      <c r="E19" s="15" t="s">
        <v>43</v>
      </c>
      <c r="F19" s="2"/>
      <c r="G19" s="2"/>
      <c r="H19" s="141"/>
      <c r="I19" s="141" t="e">
        <f t="array" ref="I19">VLOOKUP(#REF!,[1]Guidelines!$B$4:$E$19,3,FALSE)</f>
        <v>#REF!</v>
      </c>
      <c r="J19" s="141" t="e">
        <f t="array" ref="J19">VLOOKUP(#REF!,[1]Guidelines!$B$4:$E$19,4,FALSE)</f>
        <v>#REF!</v>
      </c>
      <c r="K19" s="127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7"/>
      <c r="B20" s="7"/>
      <c r="C20" s="9" t="s">
        <v>44</v>
      </c>
      <c r="D20" s="16">
        <f>D19/D18</f>
        <v>118.75</v>
      </c>
      <c r="E20" s="9" t="s">
        <v>45</v>
      </c>
      <c r="F20" s="2"/>
      <c r="G20" s="2"/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7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7"/>
      <c r="B21" s="7"/>
      <c r="C21" s="9" t="s">
        <v>46</v>
      </c>
      <c r="D21" s="12">
        <f>0.65+0.01*$N$31</f>
        <v>1.01</v>
      </c>
      <c r="E21" s="2"/>
      <c r="F21" s="2"/>
      <c r="G21" s="2"/>
      <c r="H21" s="130"/>
      <c r="I21" s="131"/>
      <c r="J21" s="131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9" t="s">
        <v>47</v>
      </c>
      <c r="D22" s="17">
        <v>0.05</v>
      </c>
      <c r="E22" s="2"/>
      <c r="F22" s="2"/>
      <c r="G22" s="2"/>
      <c r="H22" s="85"/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48</v>
      </c>
      <c r="D23" s="17">
        <v>0.1</v>
      </c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9" t="s">
        <v>146</v>
      </c>
      <c r="D24" s="18">
        <f>((D20*D21)+(D20*D21*D22))+((D20*D21)+(D20*D21*D22))*D23</f>
        <v>138.52781250000001</v>
      </c>
      <c r="E24" s="9" t="s">
        <v>45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2"/>
      <c r="D25" s="2"/>
      <c r="E25" s="2"/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2" t="s">
        <v>50</v>
      </c>
      <c r="D26" s="19">
        <f>D24+5%*D24</f>
        <v>145.45420312500002</v>
      </c>
      <c r="E26" s="19">
        <f>D24-5%*D24</f>
        <v>131.601421875</v>
      </c>
      <c r="F26" s="2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2"/>
      <c r="D27" s="2"/>
      <c r="E27" s="2"/>
      <c r="F27" s="2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27"/>
      <c r="D28" s="117"/>
      <c r="E28" s="27"/>
      <c r="F28" s="25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118"/>
      <c r="D29" s="119"/>
      <c r="E29" s="118"/>
      <c r="F29" s="25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7"/>
      <c r="D30" s="120"/>
      <c r="E30" s="27"/>
      <c r="F30" s="25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7"/>
      <c r="D31" s="117"/>
      <c r="E31" s="25"/>
      <c r="F31" s="25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7"/>
      <c r="D32" s="121"/>
      <c r="E32" s="25"/>
      <c r="F32" s="25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21"/>
      <c r="E33" s="25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27"/>
      <c r="D34" s="122"/>
      <c r="E34" s="27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"/>
      <c r="D35" s="2"/>
      <c r="E35" s="2"/>
      <c r="F35" s="2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"/>
      <c r="D36" s="19"/>
      <c r="E36" s="19"/>
      <c r="F36" s="2"/>
      <c r="G36" s="2"/>
    </row>
    <row r="37" spans="1:17" ht="15" thickBot="1">
      <c r="A37" s="7"/>
      <c r="B37" s="7"/>
      <c r="C37" s="2"/>
      <c r="D37" s="2"/>
      <c r="E37" s="2"/>
      <c r="F37" s="2"/>
      <c r="G37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zoomScale="85" zoomScaleNormal="85" workbookViewId="0">
      <selection activeCell="B8" sqref="B8:F21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2"/>
      <c r="B5" s="2"/>
      <c r="C5" s="2"/>
      <c r="D5" s="21" t="s">
        <v>30</v>
      </c>
      <c r="E5" s="20"/>
      <c r="F5" s="20"/>
      <c r="G5" s="4"/>
      <c r="H5" s="22" t="s">
        <v>31</v>
      </c>
      <c r="I5" s="20"/>
      <c r="J5" s="20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86"/>
      <c r="B7" s="86"/>
      <c r="C7" s="87"/>
      <c r="D7" s="86">
        <v>1</v>
      </c>
      <c r="E7" s="86">
        <v>3</v>
      </c>
      <c r="F7" s="86">
        <v>5</v>
      </c>
      <c r="G7" s="86"/>
      <c r="H7" s="6"/>
      <c r="I7" s="6"/>
      <c r="J7" s="6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thickBot="1">
      <c r="A8" s="99" t="s">
        <v>22</v>
      </c>
      <c r="B8" s="98"/>
      <c r="C8" s="98"/>
      <c r="D8" s="98"/>
      <c r="E8" s="98"/>
      <c r="F8" s="98"/>
      <c r="G8" s="98">
        <f>D8*$D$7+E8*$E$7+F8*$F$7</f>
        <v>0</v>
      </c>
      <c r="H8" s="85"/>
      <c r="I8" s="8"/>
      <c r="J8" s="8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2" customHeight="1" thickBot="1">
      <c r="A9" s="99" t="s">
        <v>22</v>
      </c>
      <c r="B9" s="98"/>
      <c r="C9" s="98"/>
      <c r="D9" s="98"/>
      <c r="E9" s="98"/>
      <c r="F9" s="98"/>
      <c r="G9" s="98">
        <f t="shared" ref="G9:G21" si="0">D9*$D$7+E9*$E$7+F9*$F$7</f>
        <v>0</v>
      </c>
      <c r="H9" s="85" t="e">
        <f t="array" ref="H9">VLOOKUP(D8,[1]Guidelines!$B$4:$E$19,2,FALSE)</f>
        <v>#N/A</v>
      </c>
      <c r="I9" s="8" t="e">
        <f t="array" ref="I9">VLOOKUP(D8,[1]Guidelines!$B$4:$E$19,3,FALSE)</f>
        <v>#N/A</v>
      </c>
      <c r="J9" s="8" t="e">
        <f t="array" ref="J9">VLOOKUP(D8,[1]Guidelines!$B$4:$E$19,4,FALSE)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99" t="s">
        <v>22</v>
      </c>
      <c r="B10" s="98"/>
      <c r="C10" s="98"/>
      <c r="D10" s="98"/>
      <c r="E10" s="98"/>
      <c r="F10" s="98"/>
      <c r="G10" s="98">
        <f t="shared" si="0"/>
        <v>0</v>
      </c>
      <c r="H10" s="85"/>
      <c r="I10" s="8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97" customHeight="1" thickBot="1">
      <c r="A11" s="99" t="s">
        <v>22</v>
      </c>
      <c r="B11" s="98"/>
      <c r="C11" s="98"/>
      <c r="D11" s="98"/>
      <c r="E11" s="98"/>
      <c r="F11" s="98"/>
      <c r="G11" s="98">
        <f t="shared" si="0"/>
        <v>0</v>
      </c>
      <c r="H11" s="85"/>
      <c r="I11" s="8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8.65" customHeight="1" thickBot="1">
      <c r="A12" s="99" t="s">
        <v>23</v>
      </c>
      <c r="B12" s="98"/>
      <c r="C12" s="98"/>
      <c r="D12" s="98"/>
      <c r="E12" s="98"/>
      <c r="F12" s="98"/>
      <c r="G12" s="98">
        <f t="shared" si="0"/>
        <v>0</v>
      </c>
      <c r="H12" s="85"/>
      <c r="I12" s="8"/>
      <c r="J12" s="8"/>
      <c r="K12" s="2"/>
      <c r="L12" s="22" t="s">
        <v>40</v>
      </c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9.5" customHeight="1" thickBot="1">
      <c r="A13" s="99" t="s">
        <v>23</v>
      </c>
      <c r="B13" s="98"/>
      <c r="C13" s="98"/>
      <c r="D13" s="98"/>
      <c r="E13" s="98"/>
      <c r="F13" s="98"/>
      <c r="G13" s="98">
        <f t="shared" si="0"/>
        <v>0</v>
      </c>
      <c r="H13" s="85"/>
      <c r="I13" s="8"/>
      <c r="J13" s="8"/>
      <c r="K13" s="2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6.5" customHeight="1" thickBot="1">
      <c r="A14" s="99" t="s">
        <v>23</v>
      </c>
      <c r="B14" s="98"/>
      <c r="C14" s="98"/>
      <c r="D14" s="98"/>
      <c r="E14" s="98"/>
      <c r="F14" s="98"/>
      <c r="G14" s="98">
        <f t="shared" si="0"/>
        <v>0</v>
      </c>
      <c r="H14" s="85"/>
      <c r="I14" s="8"/>
      <c r="J14" s="8"/>
      <c r="K14" s="2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91.15" customHeight="1" thickBot="1">
      <c r="A15" s="99" t="s">
        <v>23</v>
      </c>
      <c r="B15" s="98"/>
      <c r="C15" s="98"/>
      <c r="D15" s="98"/>
      <c r="E15" s="98"/>
      <c r="F15" s="98"/>
      <c r="G15" s="98">
        <f t="shared" si="0"/>
        <v>0</v>
      </c>
      <c r="H15" s="85"/>
      <c r="I15" s="8"/>
      <c r="J15" s="8"/>
      <c r="K15" s="2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86.5" customHeight="1" thickBot="1">
      <c r="A16" s="99" t="s">
        <v>23</v>
      </c>
      <c r="B16" s="98"/>
      <c r="C16" s="98"/>
      <c r="D16" s="98"/>
      <c r="E16" s="98"/>
      <c r="F16" s="98"/>
      <c r="G16" s="98">
        <f t="shared" si="0"/>
        <v>0</v>
      </c>
      <c r="H16" s="85"/>
      <c r="I16" s="8"/>
      <c r="J16" s="8"/>
      <c r="K16" s="2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thickBot="1">
      <c r="A17" s="99" t="s">
        <v>23</v>
      </c>
      <c r="B17" s="98"/>
      <c r="C17" s="98"/>
      <c r="D17" s="98"/>
      <c r="E17" s="98"/>
      <c r="F17" s="98"/>
      <c r="G17" s="98">
        <f t="shared" si="0"/>
        <v>0</v>
      </c>
      <c r="H17" s="85"/>
      <c r="I17" s="8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" customHeight="1" thickBot="1">
      <c r="A18" s="99" t="s">
        <v>23</v>
      </c>
      <c r="B18" s="98"/>
      <c r="C18" s="98"/>
      <c r="D18" s="98"/>
      <c r="E18" s="98"/>
      <c r="F18" s="98"/>
      <c r="G18" s="98">
        <f t="shared" si="0"/>
        <v>0</v>
      </c>
      <c r="H18" s="85" t="e">
        <f t="array" ref="H18">VLOOKUP(#REF!,[1]Guidelines!$B$4:$E$19,2,FALSE)</f>
        <v>#REF!</v>
      </c>
      <c r="I18" s="8" t="e">
        <f t="array" ref="I18">VLOOKUP(#REF!,[1]Guidelines!$B$4:$E$19,3,FALSE)</f>
        <v>#REF!</v>
      </c>
      <c r="J18" s="8" t="e">
        <f t="array" ref="J18">VLOOKUP(#REF!,[1]Guidelines!$B$4:$E$19,4,FALSE)</f>
        <v>#REF!</v>
      </c>
      <c r="K18" s="2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thickBot="1">
      <c r="A19" s="99" t="s">
        <v>23</v>
      </c>
      <c r="B19" s="98"/>
      <c r="C19" s="98"/>
      <c r="D19" s="98"/>
      <c r="E19" s="98"/>
      <c r="F19" s="98"/>
      <c r="G19" s="98">
        <f t="shared" si="0"/>
        <v>0</v>
      </c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2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99" t="s">
        <v>23</v>
      </c>
      <c r="B20" s="98"/>
      <c r="C20" s="98"/>
      <c r="D20" s="98"/>
      <c r="E20" s="98"/>
      <c r="F20" s="98"/>
      <c r="G20" s="98">
        <f t="shared" si="0"/>
        <v>0</v>
      </c>
      <c r="H20" s="85"/>
      <c r="I20" s="8"/>
      <c r="J20" s="8"/>
      <c r="K20" s="2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thickBot="1">
      <c r="A21" s="99" t="s">
        <v>159</v>
      </c>
      <c r="B21" s="98"/>
      <c r="C21" s="98"/>
      <c r="D21" s="98"/>
      <c r="E21" s="98"/>
      <c r="F21" s="98"/>
      <c r="G21" s="98">
        <f t="shared" si="0"/>
        <v>0</v>
      </c>
      <c r="H21" s="85" t="e">
        <f t="array" ref="H21">VLOOKUP(#REF!,[1]Guidelines!$B$4:$E$19,2,FALSE)</f>
        <v>#REF!</v>
      </c>
      <c r="I21" s="8" t="e">
        <f t="array" ref="I21">VLOOKUP(#REF!,[1]Guidelines!$B$4:$E$19,3,FALSE)</f>
        <v>#REF!</v>
      </c>
      <c r="J21" s="8" t="e">
        <f t="array" ref="J21">VLOOKUP(#REF!,[1]Guidelines!$B$4:$E$19,4,FALSE)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98"/>
      <c r="B22" s="98"/>
      <c r="C22" s="98"/>
      <c r="D22" s="98"/>
      <c r="E22" s="98"/>
      <c r="F22" s="98"/>
      <c r="G22" s="98"/>
      <c r="H22" s="85"/>
      <c r="I22" s="8"/>
      <c r="J22" s="8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8.5" thickBot="1">
      <c r="A23" s="99" t="s">
        <v>160</v>
      </c>
      <c r="B23" s="99"/>
      <c r="C23" s="99"/>
      <c r="D23" s="99"/>
      <c r="E23" s="99"/>
      <c r="F23" s="99"/>
      <c r="G23" s="98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thickTop="1" thickBot="1">
      <c r="A24" s="93"/>
      <c r="B24" s="93"/>
      <c r="C24" s="94"/>
      <c r="D24" s="93"/>
      <c r="E24" s="93"/>
      <c r="F24" s="93"/>
      <c r="G24" s="116">
        <f>SUM(G8:G21)</f>
        <v>0</v>
      </c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thickTop="1" thickBot="1">
      <c r="A25" s="93"/>
      <c r="B25" s="93"/>
      <c r="C25" s="94"/>
      <c r="D25" s="90"/>
      <c r="E25" s="90"/>
      <c r="F25" s="91" t="s">
        <v>145</v>
      </c>
      <c r="G25" s="92">
        <v>59</v>
      </c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thickTop="1" thickBot="1">
      <c r="A26" s="88"/>
      <c r="B26" s="89"/>
      <c r="C26" s="89"/>
      <c r="D26" s="89"/>
      <c r="E26" s="89"/>
      <c r="F26" s="89"/>
      <c r="G26" s="89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2"/>
      <c r="D27" s="2"/>
      <c r="E27" s="2"/>
      <c r="F27" s="2"/>
      <c r="G27" s="2"/>
      <c r="H27" s="8" t="e">
        <f t="array" ref="H27">VLOOKUP(#REF!,[1]Guidelines!$B$4:$E$19,2,FALSE)</f>
        <v>#REF!</v>
      </c>
      <c r="I27" s="8" t="e">
        <f t="array" ref="I27">VLOOKUP(#REF!,[1]Guidelines!$B$4:$E$19,3,FALSE)</f>
        <v>#REF!</v>
      </c>
      <c r="J27" s="8" t="e">
        <f t="array" ref="J27">VLOOKUP(#REF!,[1]Guidelines!$B$4:$E$19,4,FALSE)</f>
        <v>#REF!</v>
      </c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9" t="s">
        <v>20</v>
      </c>
      <c r="D28" s="12">
        <v>0.16</v>
      </c>
      <c r="E28" s="9" t="e">
        <f t="array" ref="E28">VLOOKUP(D1,'[1]Baseline Productivity '!A4:D8,4,FALSE)</f>
        <v>#N/A</v>
      </c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5" t="s">
        <v>0</v>
      </c>
      <c r="D29" s="14">
        <v>59</v>
      </c>
      <c r="E29" s="15" t="s">
        <v>43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9" t="s">
        <v>44</v>
      </c>
      <c r="D30" s="16">
        <f>D29/D28</f>
        <v>368.75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9" t="s">
        <v>46</v>
      </c>
      <c r="D31" s="12">
        <f>0.65+0.01*$N$31</f>
        <v>1.01</v>
      </c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9" t="s">
        <v>47</v>
      </c>
      <c r="D32" s="17">
        <v>0.05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9" t="s">
        <v>48</v>
      </c>
      <c r="D33" s="17">
        <v>0.1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9" t="s">
        <v>146</v>
      </c>
      <c r="D34" s="18">
        <f>((D30*D31)+(D30*D31*D32))+((D30*D31)+(D30*D31*D32))*D33</f>
        <v>430.16531249999997</v>
      </c>
      <c r="E34" s="9" t="s">
        <v>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 t="s">
        <v>50</v>
      </c>
      <c r="D36" s="19">
        <f>D34+5%*D34</f>
        <v>451.67357812499995</v>
      </c>
      <c r="E36" s="19">
        <f>D34-5%*D34</f>
        <v>408.65704687499999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thickBot="1">
      <c r="A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thickBot="1">
      <c r="A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customHeight="1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tabSelected="1" topLeftCell="A6" zoomScale="70" zoomScaleNormal="70" workbookViewId="0">
      <selection activeCell="B14" sqref="B14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86"/>
      <c r="B3" s="86" t="s">
        <v>29</v>
      </c>
      <c r="C3" s="148"/>
      <c r="D3" s="129"/>
      <c r="E3" s="129"/>
      <c r="F3" s="129"/>
      <c r="G3" s="129"/>
      <c r="H3" s="129"/>
      <c r="I3" s="129"/>
      <c r="J3" s="1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2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5.650000000000006" customHeight="1" thickBot="1">
      <c r="A8" s="124" t="s">
        <v>241</v>
      </c>
      <c r="B8" s="125"/>
      <c r="C8" s="125"/>
      <c r="D8" s="125"/>
      <c r="E8" s="125"/>
      <c r="F8" s="125"/>
      <c r="G8" s="125"/>
      <c r="H8" s="149" t="e">
        <f t="array" ref="H8">VLOOKUP(#REF!,[1]Guidelines!$B$4:$E$19,2,FALSE)</f>
        <v>#REF!</v>
      </c>
      <c r="I8" s="141" t="e">
        <f t="array" ref="I8">VLOOKUP(#REF!,[1]Guidelines!$B$4:$E$19,3,FALSE)</f>
        <v>#REF!</v>
      </c>
      <c r="J8" s="141" t="e">
        <f t="array" ref="J8">VLOOKUP(#REF!,[1]Guidelines!$B$4:$E$19,4,FALSE)</f>
        <v>#REF!</v>
      </c>
      <c r="K8" s="126"/>
      <c r="O8" s="2"/>
      <c r="P8" s="2" t="s">
        <v>39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0" customHeight="1" thickBot="1">
      <c r="A9" s="124" t="s">
        <v>241</v>
      </c>
      <c r="B9" s="125"/>
      <c r="C9" s="125"/>
      <c r="D9" s="125"/>
      <c r="E9" s="125"/>
      <c r="F9" s="125"/>
      <c r="G9" s="125"/>
      <c r="H9" s="149"/>
      <c r="I9" s="141"/>
      <c r="J9" s="141"/>
      <c r="K9" s="12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4.5" customHeight="1" thickBot="1">
      <c r="A10" s="124" t="s">
        <v>241</v>
      </c>
      <c r="B10" s="125"/>
      <c r="C10" s="125"/>
      <c r="D10" s="125"/>
      <c r="E10" s="125"/>
      <c r="F10" s="125"/>
      <c r="G10" s="125"/>
      <c r="H10" s="149" t="e">
        <f t="array" ref="H10">VLOOKUP(#REF!,[1]Guidelines!$B$4:$E$19,2,FALSE)</f>
        <v>#REF!</v>
      </c>
      <c r="I10" s="141" t="e">
        <f t="array" ref="I10">VLOOKUP(#REF!,[1]Guidelines!$B$4:$E$19,3,FALSE)</f>
        <v>#REF!</v>
      </c>
      <c r="J10" s="141" t="e">
        <f t="array" ref="J10">VLOOKUP(#REF!,[1]Guidelines!$B$4:$E$19,4,FALSE)</f>
        <v>#REF!</v>
      </c>
      <c r="K10" s="12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5" customHeight="1" thickBot="1">
      <c r="A11" s="124" t="s">
        <v>242</v>
      </c>
      <c r="B11" s="125"/>
      <c r="C11" s="125"/>
      <c r="D11" s="125"/>
      <c r="E11" s="125"/>
      <c r="F11" s="125"/>
      <c r="G11" s="125"/>
      <c r="H11" s="149"/>
      <c r="I11" s="141"/>
      <c r="J11" s="141"/>
      <c r="K11" s="1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3" customHeight="1" thickBot="1">
      <c r="A12" s="124" t="s">
        <v>242</v>
      </c>
      <c r="B12" s="125"/>
      <c r="C12" s="125"/>
      <c r="D12" s="125"/>
      <c r="E12" s="125"/>
      <c r="F12" s="125"/>
      <c r="G12" s="125"/>
      <c r="H12" s="149"/>
      <c r="I12" s="141"/>
      <c r="J12" s="141"/>
      <c r="K12" s="12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6" customHeight="1" thickBot="1">
      <c r="A13" s="124" t="s">
        <v>242</v>
      </c>
      <c r="B13" s="125"/>
      <c r="C13" s="125"/>
      <c r="D13" s="125"/>
      <c r="E13" s="125"/>
      <c r="F13" s="125"/>
      <c r="G13" s="125"/>
      <c r="H13" s="149"/>
      <c r="I13" s="141"/>
      <c r="J13" s="141"/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46" customHeight="1" thickBot="1">
      <c r="A14" s="125"/>
      <c r="B14" s="125"/>
      <c r="C14" s="125"/>
      <c r="D14" s="125"/>
      <c r="E14" s="125"/>
      <c r="F14" s="125"/>
      <c r="G14" s="125"/>
      <c r="H14" s="149"/>
      <c r="I14" s="141"/>
      <c r="J14" s="141"/>
      <c r="K14" s="126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46" customHeight="1" thickBot="1">
      <c r="A15" s="124" t="s">
        <v>243</v>
      </c>
      <c r="B15" s="124"/>
      <c r="C15" s="124"/>
      <c r="D15" s="124"/>
      <c r="E15" s="124"/>
      <c r="F15" s="124"/>
      <c r="G15" s="124">
        <f>SUM(G8:G13)</f>
        <v>0</v>
      </c>
      <c r="H15" s="149"/>
      <c r="I15" s="141"/>
      <c r="J15" s="141"/>
      <c r="K15" s="126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51" customHeight="1" thickBot="1">
      <c r="A16" s="150"/>
      <c r="B16" s="124"/>
      <c r="C16" s="124"/>
      <c r="D16" s="124"/>
      <c r="E16" s="124"/>
      <c r="F16" s="124" t="s">
        <v>150</v>
      </c>
      <c r="G16" s="150">
        <v>18</v>
      </c>
      <c r="H16" s="149"/>
      <c r="I16" s="141"/>
      <c r="J16" s="141"/>
      <c r="K16" s="126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44.5" customHeight="1" thickBot="1">
      <c r="A17" s="89"/>
      <c r="B17" s="89"/>
      <c r="C17" s="89"/>
      <c r="D17" s="89"/>
      <c r="E17" s="89"/>
      <c r="F17" s="88"/>
      <c r="G17" s="89"/>
      <c r="H17" s="141"/>
      <c r="I17" s="141"/>
      <c r="J17" s="141"/>
      <c r="K17" s="12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48.5" customHeight="1" thickBot="1">
      <c r="A18" s="2"/>
      <c r="B18" s="2"/>
      <c r="C18" s="10" t="s">
        <v>20</v>
      </c>
      <c r="D18" s="12">
        <v>0.16</v>
      </c>
      <c r="E18" s="9" t="e">
        <f t="array" ref="E18">VLOOKUP(D1,'[1]Baseline Productivity '!A4:D8,4,FALSE)</f>
        <v>#N/A</v>
      </c>
      <c r="F18" s="2"/>
      <c r="G18" s="2"/>
      <c r="H18" s="141"/>
      <c r="I18" s="141"/>
      <c r="J18" s="141"/>
      <c r="K18" s="126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67.5" customHeight="1" thickBot="1">
      <c r="A19" s="2"/>
      <c r="B19" s="2"/>
      <c r="C19" s="13" t="s">
        <v>0</v>
      </c>
      <c r="D19" s="14">
        <v>18</v>
      </c>
      <c r="E19" s="15" t="s">
        <v>43</v>
      </c>
      <c r="F19" s="2"/>
      <c r="G19" s="2"/>
      <c r="H19" s="141" t="e">
        <f t="array" ref="H19">VLOOKUP(C13,[1]Guidelines!$B$4:$E$19,2,FALSE)</f>
        <v>#N/A</v>
      </c>
      <c r="I19" s="141" t="e">
        <f t="array" ref="I19">VLOOKUP(C13,[1]Guidelines!$B$4:$E$19,3,FALSE)</f>
        <v>#N/A</v>
      </c>
      <c r="J19" s="141" t="e">
        <f t="array" ref="J19">VLOOKUP(C13,[1]Guidelines!$B$4:$E$19,4,FALSE)</f>
        <v>#N/A</v>
      </c>
      <c r="K19" s="126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38" customHeight="1" thickBot="1">
      <c r="A20" s="2"/>
      <c r="B20" s="2"/>
      <c r="C20" s="10" t="s">
        <v>44</v>
      </c>
      <c r="D20" s="16">
        <f>D19/D18</f>
        <v>112.5</v>
      </c>
      <c r="E20" s="9" t="s">
        <v>45</v>
      </c>
      <c r="F20" s="2"/>
      <c r="G20" s="2"/>
      <c r="H20" s="141" t="e">
        <f t="array" ref="H20">VLOOKUP(#REF!,[1]Guidelines!$B$4:$E$19,2,FALSE)</f>
        <v>#REF!</v>
      </c>
      <c r="I20" s="141" t="e">
        <f t="array" ref="I20">VLOOKUP(#REF!,[1]Guidelines!$B$4:$E$19,3,FALSE)</f>
        <v>#REF!</v>
      </c>
      <c r="J20" s="141" t="e">
        <f t="array" ref="J20">VLOOKUP(#REF!,[1]Guidelines!$B$4:$E$19,4,FALSE)</f>
        <v>#REF!</v>
      </c>
      <c r="K20" s="126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52.15" customHeight="1" thickBot="1">
      <c r="A21" s="2"/>
      <c r="B21" s="2"/>
      <c r="C21" s="10" t="s">
        <v>46</v>
      </c>
      <c r="D21" s="12">
        <f>0.65+0.01*$N$31</f>
        <v>1.01</v>
      </c>
      <c r="E21" s="2"/>
      <c r="F21" s="2"/>
      <c r="G21" s="2"/>
      <c r="H21" s="141"/>
      <c r="I21" s="141"/>
      <c r="J21" s="141"/>
      <c r="K21" s="12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8.5" customHeight="1" thickBot="1">
      <c r="A22" s="2"/>
      <c r="B22" s="2"/>
      <c r="C22" s="10" t="s">
        <v>47</v>
      </c>
      <c r="D22" s="17">
        <v>0.05</v>
      </c>
      <c r="E22" s="2"/>
      <c r="F22" s="2"/>
      <c r="G22" s="2"/>
      <c r="H22" s="131" t="e">
        <f t="array" ref="H22">VLOOKUP(#REF!,[1]Guidelines!$B$4:$E$19,2,FALSE)</f>
        <v>#REF!</v>
      </c>
      <c r="I22" s="131" t="e">
        <f t="array" ref="I22">VLOOKUP(#REF!,[1]Guidelines!$B$4:$E$19,3,FALSE)</f>
        <v>#REF!</v>
      </c>
      <c r="J22" s="131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10" t="s">
        <v>48</v>
      </c>
      <c r="D23" s="17">
        <v>0.1</v>
      </c>
      <c r="E23" s="2"/>
      <c r="F23" s="2"/>
      <c r="G23" s="2"/>
      <c r="H23" s="8" t="e">
        <f t="array" ref="H23">VLOOKUP(#REF!,[1]Guidelines!$B$4:$E$19,2,FALSE)</f>
        <v>#REF!</v>
      </c>
      <c r="I23" s="8" t="e">
        <f t="array" ref="I23">VLOOKUP(#REF!,[1]Guidelines!$B$4:$E$19,3,FALSE)</f>
        <v>#REF!</v>
      </c>
      <c r="J23" s="8" t="e">
        <f t="array" ref="J23">VLOOKUP(#REF!,[1]Guidelines!$B$4:$E$19,4,FALSE)</f>
        <v>#REF!</v>
      </c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10" t="s">
        <v>49</v>
      </c>
      <c r="D24" s="18">
        <f>((D20*D21)+(D20*D21*D22))+((D20*D21)+(D20*D21*D22))*D23</f>
        <v>131.236875</v>
      </c>
      <c r="E24" s="9" t="s">
        <v>45</v>
      </c>
      <c r="F24" s="2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2" t="s">
        <v>50</v>
      </c>
      <c r="D26" s="19">
        <f>D24+5%*D24</f>
        <v>137.79871875000001</v>
      </c>
      <c r="E26" s="19">
        <f>D24-5%*D24</f>
        <v>124.67503125</v>
      </c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8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opLeftCell="A15" zoomScale="80" zoomScaleNormal="80" workbookViewId="0">
      <selection activeCell="G37" sqref="G37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2.453125" style="3" customWidth="1"/>
    <col min="5" max="5" width="7.36328125" style="3" customWidth="1"/>
    <col min="6" max="6" width="20.4531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1.15" customHeight="1" thickBot="1">
      <c r="A8" s="124" t="s">
        <v>216</v>
      </c>
      <c r="B8" s="125" t="s">
        <v>51</v>
      </c>
      <c r="C8" s="125" t="s">
        <v>217</v>
      </c>
      <c r="D8" s="125">
        <v>0</v>
      </c>
      <c r="E8" s="125">
        <v>1</v>
      </c>
      <c r="F8" s="125">
        <v>0</v>
      </c>
      <c r="G8" s="125">
        <f>D8*$D$7+E8*$E$7+F8*$F$7</f>
        <v>3</v>
      </c>
      <c r="H8" s="141"/>
      <c r="I8" s="141"/>
      <c r="J8" s="141"/>
      <c r="K8" s="126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8.9" customHeight="1" thickBot="1">
      <c r="A9" s="124" t="s">
        <v>216</v>
      </c>
      <c r="B9" s="125" t="s">
        <v>218</v>
      </c>
      <c r="C9" s="125" t="s">
        <v>219</v>
      </c>
      <c r="D9" s="125">
        <v>0</v>
      </c>
      <c r="E9" s="125">
        <v>1</v>
      </c>
      <c r="F9" s="125">
        <v>0</v>
      </c>
      <c r="G9" s="125">
        <f t="shared" ref="G9:G17" si="0">D9*$D$7+E9*$E$7+F9*$F$7</f>
        <v>3</v>
      </c>
      <c r="H9" s="141"/>
      <c r="I9" s="141"/>
      <c r="J9" s="141"/>
      <c r="K9" s="126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09.9" customHeight="1" thickBot="1">
      <c r="A10" s="124" t="s">
        <v>216</v>
      </c>
      <c r="B10" s="125" t="s">
        <v>220</v>
      </c>
      <c r="C10" s="125" t="s">
        <v>221</v>
      </c>
      <c r="D10" s="125">
        <v>0</v>
      </c>
      <c r="E10" s="125">
        <v>0</v>
      </c>
      <c r="F10" s="125">
        <v>1</v>
      </c>
      <c r="G10" s="125">
        <f t="shared" si="0"/>
        <v>5</v>
      </c>
      <c r="H10" s="141"/>
      <c r="I10" s="141"/>
      <c r="J10" s="141"/>
      <c r="K10" s="126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7.5" customHeight="1" thickBot="1">
      <c r="A11" s="124" t="s">
        <v>151</v>
      </c>
      <c r="B11" s="125" t="s">
        <v>222</v>
      </c>
      <c r="C11" s="125" t="s">
        <v>223</v>
      </c>
      <c r="D11" s="125">
        <v>0</v>
      </c>
      <c r="E11" s="125">
        <v>1</v>
      </c>
      <c r="F11" s="125">
        <v>0</v>
      </c>
      <c r="G11" s="125">
        <f t="shared" si="0"/>
        <v>3</v>
      </c>
      <c r="H11" s="141" t="e">
        <f t="array" ref="H11">VLOOKUP(C9,[1]Guidelines!$B$4:$E$19,2,FALSE)</f>
        <v>#VALUE!</v>
      </c>
      <c r="I11" s="141" t="e">
        <f t="array" ref="I11">VLOOKUP(C9,[1]Guidelines!$B$4:$E$19,3,FALSE)</f>
        <v>#VALUE!</v>
      </c>
      <c r="J11" s="141" t="e">
        <f t="array" ref="J11">VLOOKUP(C9,[1]Guidelines!$B$4:$E$19,4,FALSE)</f>
        <v>#VALUE!</v>
      </c>
      <c r="K11" s="126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4" t="s">
        <v>151</v>
      </c>
      <c r="B12" s="125" t="s">
        <v>224</v>
      </c>
      <c r="C12" s="125" t="s">
        <v>225</v>
      </c>
      <c r="D12" s="125">
        <v>0</v>
      </c>
      <c r="E12" s="125">
        <v>1</v>
      </c>
      <c r="F12" s="125">
        <v>0</v>
      </c>
      <c r="G12" s="125">
        <f t="shared" si="0"/>
        <v>3</v>
      </c>
      <c r="H12" s="141"/>
      <c r="I12" s="141"/>
      <c r="J12" s="141"/>
      <c r="K12" s="126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4" t="s">
        <v>151</v>
      </c>
      <c r="B13" s="125" t="s">
        <v>226</v>
      </c>
      <c r="C13" s="125" t="s">
        <v>227</v>
      </c>
      <c r="D13" s="125">
        <v>0</v>
      </c>
      <c r="E13" s="125">
        <v>0</v>
      </c>
      <c r="F13" s="125">
        <v>1</v>
      </c>
      <c r="G13" s="125">
        <f t="shared" si="0"/>
        <v>5</v>
      </c>
      <c r="H13" s="141" t="e">
        <f t="array" ref="H13">VLOOKUP(#REF!,[1]Guidelines!$B$4:$E$19,2,FALSE)</f>
        <v>#REF!</v>
      </c>
      <c r="I13" s="141" t="e">
        <f t="array" ref="I13">VLOOKUP(#REF!,[1]Guidelines!$B$4:$E$19,3,FALSE)</f>
        <v>#REF!</v>
      </c>
      <c r="J13" s="141" t="e">
        <f t="array" ref="J13">VLOOKUP(#REF!,[1]Guidelines!$B$4:$E$19,4,FALSE)</f>
        <v>#REF!</v>
      </c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4" t="s">
        <v>228</v>
      </c>
      <c r="B14" s="125" t="s">
        <v>229</v>
      </c>
      <c r="C14" s="125" t="s">
        <v>230</v>
      </c>
      <c r="D14" s="125">
        <v>1</v>
      </c>
      <c r="E14" s="125">
        <v>0</v>
      </c>
      <c r="F14" s="125">
        <v>0</v>
      </c>
      <c r="G14" s="125">
        <f t="shared" si="0"/>
        <v>1</v>
      </c>
      <c r="H14" s="153"/>
      <c r="I14" s="153"/>
      <c r="J14" s="153"/>
      <c r="K14" s="151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24" t="s">
        <v>228</v>
      </c>
      <c r="B15" s="125" t="s">
        <v>231</v>
      </c>
      <c r="C15" s="125" t="s">
        <v>232</v>
      </c>
      <c r="D15" s="125">
        <v>0</v>
      </c>
      <c r="E15" s="125">
        <v>1</v>
      </c>
      <c r="F15" s="125">
        <v>0</v>
      </c>
      <c r="G15" s="125">
        <f t="shared" si="0"/>
        <v>3</v>
      </c>
      <c r="H15" s="153"/>
      <c r="I15" s="153"/>
      <c r="J15" s="153"/>
      <c r="K15" s="151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24" t="s">
        <v>228</v>
      </c>
      <c r="B16" s="125" t="s">
        <v>233</v>
      </c>
      <c r="C16" s="125" t="s">
        <v>234</v>
      </c>
      <c r="D16" s="125">
        <v>1</v>
      </c>
      <c r="E16" s="125">
        <v>1</v>
      </c>
      <c r="F16" s="125">
        <v>1</v>
      </c>
      <c r="G16" s="125">
        <f t="shared" si="0"/>
        <v>9</v>
      </c>
      <c r="H16" s="153"/>
      <c r="I16" s="153"/>
      <c r="J16" s="153"/>
      <c r="K16" s="151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24" t="s">
        <v>228</v>
      </c>
      <c r="B17" s="125" t="s">
        <v>270</v>
      </c>
      <c r="C17" s="125" t="s">
        <v>235</v>
      </c>
      <c r="D17" s="125">
        <v>2</v>
      </c>
      <c r="E17" s="125">
        <v>1</v>
      </c>
      <c r="F17" s="125">
        <v>0</v>
      </c>
      <c r="G17" s="125">
        <f t="shared" si="0"/>
        <v>5</v>
      </c>
      <c r="H17" s="153"/>
      <c r="I17" s="153"/>
      <c r="J17" s="153"/>
      <c r="K17" s="151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152"/>
      <c r="B18" s="152"/>
      <c r="C18" s="152"/>
      <c r="D18" s="152"/>
      <c r="E18" s="152"/>
      <c r="F18" s="152"/>
      <c r="G18" s="152"/>
      <c r="H18" s="153"/>
      <c r="I18" s="153"/>
      <c r="J18" s="153"/>
      <c r="K18" s="151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99" t="s">
        <v>236</v>
      </c>
      <c r="B19" s="99"/>
      <c r="C19" s="99"/>
      <c r="D19" s="99"/>
      <c r="E19" s="99"/>
      <c r="F19" s="99"/>
      <c r="G19" s="99">
        <f>SUM(G8:G17)</f>
        <v>40</v>
      </c>
      <c r="H19" s="153"/>
      <c r="I19" s="153"/>
      <c r="J19" s="153"/>
      <c r="K19" s="151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10"/>
      <c r="B20" s="2"/>
      <c r="C20" s="10"/>
      <c r="D20" s="11"/>
      <c r="E20" s="11"/>
      <c r="F20" s="11" t="s">
        <v>41</v>
      </c>
      <c r="G20" s="27">
        <v>40</v>
      </c>
      <c r="H20" s="153"/>
      <c r="I20" s="153"/>
      <c r="J20" s="153"/>
      <c r="K20" s="151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"/>
      <c r="H21" s="153"/>
      <c r="I21" s="153"/>
      <c r="J21" s="153"/>
      <c r="K21" s="151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A22" s="24"/>
      <c r="B22" s="25"/>
      <c r="C22" s="24"/>
      <c r="D22" s="26"/>
      <c r="E22" s="26"/>
      <c r="F22" s="26"/>
      <c r="G22" s="2"/>
      <c r="H22" s="141" t="e">
        <f t="array" ref="H22">VLOOKUP(#REF!,[1]Guidelines!$B$4:$E$19,2,FALSE)</f>
        <v>#REF!</v>
      </c>
      <c r="I22" s="141" t="e">
        <f t="array" ref="I22">VLOOKUP(#REF!,[1]Guidelines!$B$4:$E$19,3,FALSE)</f>
        <v>#REF!</v>
      </c>
      <c r="J22" s="141" t="e">
        <f t="array" ref="J22">VLOOKUP(#REF!,[1]Guidelines!$B$4:$E$19,4,FALSE)</f>
        <v>#REF!</v>
      </c>
      <c r="K22" s="126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4"/>
      <c r="B23" s="25"/>
      <c r="C23" s="24"/>
      <c r="D23" s="26"/>
      <c r="E23" s="26"/>
      <c r="F23" s="26"/>
      <c r="G23" s="2"/>
      <c r="H23" s="89"/>
      <c r="I23" s="89"/>
      <c r="J23" s="89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4"/>
      <c r="B24" s="25"/>
      <c r="C24" s="24"/>
      <c r="D24" s="26"/>
      <c r="E24" s="26"/>
      <c r="F24" s="26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4"/>
      <c r="B25" s="25"/>
      <c r="C25" s="24"/>
      <c r="D25" s="26"/>
      <c r="E25" s="26"/>
      <c r="F25" s="26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4"/>
      <c r="B26" s="25"/>
      <c r="C26" s="24"/>
      <c r="D26" s="26"/>
      <c r="E26" s="26"/>
      <c r="F26" s="26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4"/>
      <c r="B27" s="25"/>
      <c r="C27" s="24"/>
      <c r="D27" s="26"/>
      <c r="E27" s="26"/>
      <c r="F27" s="26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4"/>
      <c r="B28" s="25"/>
      <c r="C28" s="24"/>
      <c r="D28" s="26"/>
      <c r="E28" s="26"/>
      <c r="F28" s="26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10" t="s">
        <v>20</v>
      </c>
      <c r="D31" s="12">
        <v>0.16</v>
      </c>
      <c r="E31" s="9" t="e">
        <f t="array" ref="E31">VLOOKUP(D1,'[1]Baseline Productivity '!A4:D8,4,FALSE)</f>
        <v>#N/A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13" t="s">
        <v>0</v>
      </c>
      <c r="D32" s="14">
        <v>40</v>
      </c>
      <c r="E32" s="15" t="s">
        <v>43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10" t="s">
        <v>44</v>
      </c>
      <c r="D33" s="16">
        <f>D32/D31</f>
        <v>250</v>
      </c>
      <c r="E33" s="9" t="s">
        <v>45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10" t="s">
        <v>46</v>
      </c>
      <c r="D34" s="12">
        <f>0.65+0.01*$N$31</f>
        <v>1.01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10" t="s">
        <v>47</v>
      </c>
      <c r="D35" s="17">
        <v>0.05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10" t="s">
        <v>48</v>
      </c>
      <c r="D36" s="17">
        <v>0.1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10" t="s">
        <v>49</v>
      </c>
      <c r="D37" s="18">
        <f>((D33*D34)+(D33*D34*D35))+((D33*D34)+(D33*D34*D35))*D36</f>
        <v>291.63749999999999</v>
      </c>
      <c r="E37" s="9" t="s">
        <v>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 t="s">
        <v>50</v>
      </c>
      <c r="D39" s="19">
        <f>D37+5%*D37</f>
        <v>306.21937500000001</v>
      </c>
      <c r="E39" s="19">
        <f>D37-5%*D37</f>
        <v>277.05562499999996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A997" s="2"/>
      <c r="B997" s="2"/>
      <c r="C997" s="2"/>
      <c r="D997" s="2"/>
      <c r="E997" s="2"/>
      <c r="F997" s="2"/>
    </row>
    <row r="998" spans="1:27" thickBot="1">
      <c r="A998" s="2"/>
      <c r="B998" s="2"/>
      <c r="C998" s="2"/>
      <c r="D998" s="2"/>
      <c r="E998" s="2"/>
      <c r="F998" s="2"/>
    </row>
    <row r="999" spans="1:27" thickBot="1">
      <c r="A999" s="2"/>
      <c r="B999" s="2"/>
      <c r="C999" s="2"/>
      <c r="D999" s="2"/>
      <c r="E999" s="2"/>
      <c r="F999" s="2"/>
    </row>
    <row r="1000" spans="1:27" thickBot="1">
      <c r="A1000" s="2"/>
      <c r="B1000" s="2"/>
      <c r="C1000" s="2"/>
      <c r="D1000" s="2"/>
      <c r="E1000" s="2"/>
      <c r="F1000" s="2"/>
    </row>
    <row r="1001" spans="1:27" thickBot="1">
      <c r="A1001" s="2"/>
      <c r="B1001" s="2"/>
      <c r="C1001" s="2"/>
      <c r="D1001" s="2"/>
      <c r="E1001" s="2"/>
      <c r="F1001" s="2"/>
    </row>
    <row r="1002" spans="1:27" thickBot="1">
      <c r="A1002" s="2"/>
    </row>
    <row r="1003" spans="1:27" thickBot="1">
      <c r="A1003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opLeftCell="A7" zoomScale="70" zoomScaleNormal="70" workbookViewId="0">
      <selection activeCell="A11" sqref="A11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97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9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9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3"/>
      <c r="B5" s="133"/>
      <c r="C5" s="133"/>
      <c r="D5" s="134" t="s">
        <v>30</v>
      </c>
      <c r="E5" s="135"/>
      <c r="F5" s="135"/>
      <c r="G5" s="136"/>
      <c r="H5" s="137" t="s">
        <v>31</v>
      </c>
      <c r="I5" s="135"/>
      <c r="J5" s="135"/>
      <c r="K5" s="12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8" t="s">
        <v>32</v>
      </c>
      <c r="B6" s="138" t="s">
        <v>33</v>
      </c>
      <c r="C6" s="138" t="s">
        <v>34</v>
      </c>
      <c r="D6" s="138" t="s">
        <v>35</v>
      </c>
      <c r="E6" s="138" t="s">
        <v>36</v>
      </c>
      <c r="F6" s="138" t="s">
        <v>37</v>
      </c>
      <c r="G6" s="138" t="s">
        <v>38</v>
      </c>
      <c r="H6" s="139" t="s">
        <v>35</v>
      </c>
      <c r="I6" s="139" t="s">
        <v>36</v>
      </c>
      <c r="J6" s="139" t="s">
        <v>37</v>
      </c>
      <c r="K6" s="1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8"/>
      <c r="B7" s="138"/>
      <c r="C7" s="138"/>
      <c r="D7" s="138">
        <v>1</v>
      </c>
      <c r="E7" s="138">
        <v>3</v>
      </c>
      <c r="F7" s="138">
        <v>5</v>
      </c>
      <c r="G7" s="138"/>
      <c r="H7" s="140"/>
      <c r="I7" s="140"/>
      <c r="J7" s="140"/>
      <c r="K7" s="12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.5" customHeight="1" thickBot="1">
      <c r="A8" s="124" t="s">
        <v>244</v>
      </c>
      <c r="B8" s="125" t="s">
        <v>271</v>
      </c>
      <c r="C8" s="125" t="s">
        <v>272</v>
      </c>
      <c r="D8" s="125">
        <v>1</v>
      </c>
      <c r="E8" s="125">
        <v>1</v>
      </c>
      <c r="F8" s="125">
        <v>0</v>
      </c>
      <c r="G8" s="125">
        <f>D8*$D$7+E8*$E$7+F8*$F$7</f>
        <v>4</v>
      </c>
      <c r="H8" s="149"/>
      <c r="I8" s="141"/>
      <c r="J8" s="141"/>
      <c r="K8" s="126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8" customHeight="1" thickBot="1">
      <c r="A9" s="124" t="s">
        <v>244</v>
      </c>
      <c r="B9" s="125" t="s">
        <v>245</v>
      </c>
      <c r="C9" s="125" t="s">
        <v>246</v>
      </c>
      <c r="D9" s="125">
        <v>0</v>
      </c>
      <c r="E9" s="125">
        <v>0</v>
      </c>
      <c r="F9" s="125">
        <v>1</v>
      </c>
      <c r="G9" s="125">
        <f t="shared" ref="G9:G12" si="0">D9*$D$7+E9*$E$7+F9*$F$7</f>
        <v>5</v>
      </c>
      <c r="H9" s="149"/>
      <c r="I9" s="141"/>
      <c r="J9" s="141"/>
      <c r="K9" s="126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customHeight="1" thickBot="1">
      <c r="A10" s="124" t="s">
        <v>247</v>
      </c>
      <c r="B10" s="125" t="s">
        <v>248</v>
      </c>
      <c r="C10" s="125" t="s">
        <v>249</v>
      </c>
      <c r="D10" s="125">
        <v>0</v>
      </c>
      <c r="E10" s="125">
        <v>1</v>
      </c>
      <c r="F10" s="125">
        <v>0</v>
      </c>
      <c r="G10" s="125">
        <f t="shared" si="0"/>
        <v>3</v>
      </c>
      <c r="H10" s="149"/>
      <c r="I10" s="141"/>
      <c r="J10" s="141"/>
      <c r="K10" s="126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8" customHeight="1" thickBot="1">
      <c r="A11" s="124" t="s">
        <v>247</v>
      </c>
      <c r="B11" s="125" t="s">
        <v>250</v>
      </c>
      <c r="C11" s="125" t="s">
        <v>251</v>
      </c>
      <c r="D11" s="125">
        <v>2</v>
      </c>
      <c r="E11" s="125">
        <v>1</v>
      </c>
      <c r="F11" s="125">
        <v>0</v>
      </c>
      <c r="G11" s="125">
        <f t="shared" si="0"/>
        <v>5</v>
      </c>
      <c r="H11" s="149" t="e">
        <f t="array" ref="H11">VLOOKUP(C14,[1]Guidelines!$B$4:$E$19,2,FALSE)</f>
        <v>#N/A</v>
      </c>
      <c r="I11" s="141" t="e">
        <f t="array" ref="I11">VLOOKUP(C14,[1]Guidelines!$B$4:$E$19,3,FALSE)</f>
        <v>#N/A</v>
      </c>
      <c r="J11" s="141" t="e">
        <f t="array" ref="J11">VLOOKUP(C14,[1]Guidelines!$B$4:$E$19,4,FALSE)</f>
        <v>#N/A</v>
      </c>
      <c r="K11" s="126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4" t="s">
        <v>247</v>
      </c>
      <c r="B12" s="125" t="s">
        <v>252</v>
      </c>
      <c r="C12" s="125" t="s">
        <v>253</v>
      </c>
      <c r="D12" s="125">
        <v>0</v>
      </c>
      <c r="E12" s="125">
        <v>1</v>
      </c>
      <c r="F12" s="125">
        <v>0</v>
      </c>
      <c r="G12" s="125">
        <f t="shared" si="0"/>
        <v>3</v>
      </c>
      <c r="H12" s="149"/>
      <c r="I12" s="141"/>
      <c r="J12" s="141"/>
      <c r="K12" s="126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5"/>
      <c r="B13" s="125"/>
      <c r="C13" s="125"/>
      <c r="D13" s="125"/>
      <c r="E13" s="125"/>
      <c r="F13" s="125"/>
      <c r="G13" s="125"/>
      <c r="H13" s="149" t="e">
        <f t="array" ref="H13">VLOOKUP(#REF!,[1]Guidelines!$B$4:$E$19,2,FALSE)</f>
        <v>#REF!</v>
      </c>
      <c r="I13" s="141" t="e">
        <f t="array" ref="I13">VLOOKUP(#REF!,[1]Guidelines!$B$4:$E$19,3,FALSE)</f>
        <v>#REF!</v>
      </c>
      <c r="J13" s="141" t="e">
        <f t="array" ref="J13">VLOOKUP(#REF!,[1]Guidelines!$B$4:$E$19,4,FALSE)</f>
        <v>#REF!</v>
      </c>
      <c r="K13" s="126"/>
      <c r="L13" s="166" t="s">
        <v>40</v>
      </c>
      <c r="M13" s="167"/>
      <c r="N13" s="1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4" t="s">
        <v>254</v>
      </c>
      <c r="B14" s="124"/>
      <c r="C14" s="124"/>
      <c r="D14" s="124"/>
      <c r="E14" s="124"/>
      <c r="F14" s="124"/>
      <c r="G14" s="124"/>
      <c r="H14" s="156"/>
      <c r="I14" s="153"/>
      <c r="J14" s="153"/>
      <c r="K14" s="151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59"/>
      <c r="B15" s="159"/>
      <c r="C15" s="132"/>
      <c r="D15" s="160"/>
      <c r="E15" s="160"/>
      <c r="F15" s="160"/>
      <c r="G15" s="133"/>
      <c r="H15" s="156"/>
      <c r="I15" s="153"/>
      <c r="J15" s="153"/>
      <c r="K15" s="151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58"/>
      <c r="B16" s="158"/>
      <c r="C16" s="96"/>
      <c r="D16" s="154"/>
      <c r="E16" s="154"/>
      <c r="F16" s="154"/>
      <c r="G16" s="89"/>
      <c r="H16" s="156"/>
      <c r="I16" s="153"/>
      <c r="J16" s="153"/>
      <c r="K16" s="151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0"/>
      <c r="B17" s="2"/>
      <c r="C17" s="10"/>
      <c r="D17" s="11"/>
      <c r="E17" s="11"/>
      <c r="F17" s="11" t="s">
        <v>41</v>
      </c>
      <c r="G17" s="9">
        <f>SUM(G8:G12)</f>
        <v>20</v>
      </c>
      <c r="H17" s="156"/>
      <c r="I17" s="153"/>
      <c r="J17" s="153"/>
      <c r="K17" s="151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24"/>
      <c r="B18" s="25"/>
      <c r="C18" s="24"/>
      <c r="D18" s="26"/>
      <c r="E18" s="26"/>
      <c r="F18" s="26"/>
      <c r="G18" s="27"/>
      <c r="H18" s="156"/>
      <c r="I18" s="153"/>
      <c r="J18" s="153"/>
      <c r="K18" s="151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24"/>
      <c r="B19" s="25"/>
      <c r="C19" s="24"/>
      <c r="D19" s="26"/>
      <c r="E19" s="26"/>
      <c r="F19" s="26"/>
      <c r="G19" s="27"/>
      <c r="H19" s="157"/>
      <c r="I19" s="155"/>
      <c r="J19" s="155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24"/>
      <c r="B20" s="25"/>
      <c r="C20" s="24"/>
      <c r="D20" s="26"/>
      <c r="E20" s="26"/>
      <c r="F20" s="26"/>
      <c r="G20" s="27"/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B22" s="2"/>
      <c r="C22" s="2"/>
      <c r="D22" s="2"/>
      <c r="E22" s="2"/>
      <c r="F22" s="2"/>
      <c r="G22" s="27"/>
      <c r="H22" s="8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2"/>
      <c r="D23" s="2"/>
      <c r="E23" s="2"/>
      <c r="F23" s="2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10" t="s">
        <v>20</v>
      </c>
      <c r="D24" s="12">
        <v>0.16</v>
      </c>
      <c r="E24" s="9" t="e">
        <f t="array" ref="E24">VLOOKUP(D1,'[1]Baseline Productivity '!A4:D8,4,FALSE)</f>
        <v>#N/A</v>
      </c>
      <c r="F24" s="2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13" t="s">
        <v>0</v>
      </c>
      <c r="D25" s="14">
        <v>20</v>
      </c>
      <c r="E25" s="15" t="s">
        <v>43</v>
      </c>
      <c r="F25" s="2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10" t="s">
        <v>44</v>
      </c>
      <c r="D26" s="16">
        <f>D25/D24</f>
        <v>125</v>
      </c>
      <c r="E26" s="9" t="s">
        <v>45</v>
      </c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10" t="s">
        <v>46</v>
      </c>
      <c r="D27" s="12">
        <f>0.65+0.01*$N$31</f>
        <v>1.01</v>
      </c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0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10" t="s">
        <v>49</v>
      </c>
      <c r="D30" s="18">
        <f>((D26*D27)+(D26*D27*D28))+((D26*D27)+(D26*D27*D28))*D29</f>
        <v>145.81874999999999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 t="s">
        <v>50</v>
      </c>
      <c r="D32" s="19">
        <f>D30+5%*D30</f>
        <v>153.10968750000001</v>
      </c>
      <c r="E32" s="19">
        <f>D30-5%*D30</f>
        <v>138.52781249999998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G997" s="2"/>
    </row>
    <row r="998" spans="1:27" thickBot="1">
      <c r="G998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N15:N30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2" zoomScale="85" zoomScaleNormal="85" workbookViewId="0">
      <selection activeCell="F23" sqref="F23"/>
    </sheetView>
  </sheetViews>
  <sheetFormatPr defaultRowHeight="14.5"/>
  <cols>
    <col min="1" max="1" width="19.453125" customWidth="1"/>
    <col min="2" max="2" width="17.1796875" customWidth="1"/>
    <col min="3" max="3" width="48.90625" bestFit="1" customWidth="1"/>
    <col min="4" max="4" width="11" customWidth="1"/>
    <col min="7" max="7" width="18.6328125" customWidth="1"/>
    <col min="8" max="10" width="0" hidden="1" customWidth="1"/>
  </cols>
  <sheetData>
    <row r="1" spans="1:17" ht="15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3" customHeight="1" thickBot="1">
      <c r="A4" s="7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7" customHeight="1" thickBot="1">
      <c r="A5" s="7"/>
      <c r="B5" s="7"/>
      <c r="C5" s="2"/>
      <c r="D5" s="21" t="s">
        <v>30</v>
      </c>
      <c r="E5" s="102"/>
      <c r="F5" s="102"/>
      <c r="G5" s="4"/>
      <c r="H5" s="101" t="s">
        <v>31</v>
      </c>
      <c r="I5" s="102"/>
      <c r="J5" s="102"/>
      <c r="K5" s="2"/>
      <c r="L5" s="3"/>
      <c r="M5" s="3"/>
      <c r="N5" s="3"/>
      <c r="O5" s="2"/>
      <c r="P5" s="2"/>
      <c r="Q5" s="2"/>
    </row>
    <row r="6" spans="1:17" ht="41" customHeight="1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L6" s="3"/>
      <c r="M6" s="3"/>
      <c r="N6" s="3"/>
      <c r="O6" s="2"/>
      <c r="P6" s="2"/>
      <c r="Q6" s="2"/>
    </row>
    <row r="7" spans="1:17" ht="13" customHeight="1" thickBot="1">
      <c r="A7" s="1"/>
      <c r="B7" s="1"/>
      <c r="C7" s="21"/>
      <c r="D7" s="1">
        <v>1</v>
      </c>
      <c r="E7" s="1">
        <v>3</v>
      </c>
      <c r="F7" s="1">
        <v>5</v>
      </c>
      <c r="G7" s="1"/>
      <c r="H7" s="5"/>
      <c r="I7" s="5"/>
      <c r="J7" s="5"/>
      <c r="K7" s="2"/>
      <c r="L7" s="3"/>
      <c r="M7" s="3"/>
      <c r="N7" s="3"/>
      <c r="O7" s="2"/>
      <c r="P7" s="2"/>
      <c r="Q7" s="2"/>
    </row>
    <row r="8" spans="1:17" ht="56.5" customHeight="1" thickBot="1">
      <c r="A8" s="99" t="s">
        <v>161</v>
      </c>
      <c r="B8" s="98" t="s">
        <v>162</v>
      </c>
      <c r="C8" s="98" t="s">
        <v>163</v>
      </c>
      <c r="D8" s="98">
        <v>0</v>
      </c>
      <c r="E8" s="98">
        <v>1</v>
      </c>
      <c r="F8" s="98">
        <v>0</v>
      </c>
      <c r="G8" s="98">
        <f>D8*$D$7+E8*$E$7+F8*$F$7</f>
        <v>3</v>
      </c>
      <c r="H8" s="6"/>
      <c r="I8" s="6"/>
      <c r="J8" s="6"/>
      <c r="K8" s="2"/>
      <c r="L8" s="3"/>
      <c r="M8" s="3"/>
      <c r="N8" s="3"/>
      <c r="O8" s="2"/>
      <c r="P8" s="2"/>
      <c r="Q8" s="2"/>
    </row>
    <row r="9" spans="1:17" ht="127" thickTop="1" thickBot="1">
      <c r="A9" s="99" t="s">
        <v>161</v>
      </c>
      <c r="B9" s="98" t="s">
        <v>164</v>
      </c>
      <c r="C9" s="98" t="s">
        <v>165</v>
      </c>
      <c r="D9" s="98">
        <v>0</v>
      </c>
      <c r="E9" s="98">
        <v>1</v>
      </c>
      <c r="F9" s="98">
        <v>0</v>
      </c>
      <c r="G9" s="98">
        <f t="shared" ref="G9:G17" si="0">D9*$D$7+E9*$E$7+F9*$F$7</f>
        <v>3</v>
      </c>
      <c r="H9" s="85"/>
      <c r="I9" s="8"/>
      <c r="J9" s="8"/>
      <c r="K9" s="93"/>
      <c r="L9" s="3"/>
      <c r="M9" s="3"/>
      <c r="N9" s="3"/>
      <c r="O9" s="2"/>
      <c r="P9" s="2"/>
      <c r="Q9" s="2"/>
    </row>
    <row r="10" spans="1:17" ht="41" customHeight="1" thickTop="1" thickBot="1">
      <c r="A10" s="99" t="s">
        <v>161</v>
      </c>
      <c r="B10" s="98" t="s">
        <v>166</v>
      </c>
      <c r="C10" s="98" t="s">
        <v>167</v>
      </c>
      <c r="D10" s="98">
        <v>1</v>
      </c>
      <c r="E10" s="98">
        <v>1</v>
      </c>
      <c r="F10" s="98">
        <v>0</v>
      </c>
      <c r="G10" s="98">
        <f t="shared" si="0"/>
        <v>4</v>
      </c>
      <c r="H10" s="85" t="e">
        <f t="array" ref="H10">VLOOKUP(D8,[1]Guidelines!$B$4:$E$19,2,FALSE)</f>
        <v>#N/A</v>
      </c>
      <c r="I10" s="8" t="e">
        <f t="array" ref="I10">VLOOKUP(D8,[1]Guidelines!$B$4:$E$19,3,FALSE)</f>
        <v>#N/A</v>
      </c>
      <c r="J10" s="8" t="e">
        <f t="array" ref="J10">VLOOKUP(D8,[1]Guidelines!$B$4:$E$19,4,FALSE)</f>
        <v>#N/A</v>
      </c>
      <c r="K10" s="93"/>
      <c r="L10" s="3"/>
      <c r="M10" s="3"/>
      <c r="N10" s="3"/>
      <c r="O10" s="166"/>
      <c r="P10" s="167"/>
      <c r="Q10" s="167"/>
    </row>
    <row r="11" spans="1:17" ht="58.5" customHeight="1" thickTop="1" thickBot="1">
      <c r="A11" s="99" t="s">
        <v>161</v>
      </c>
      <c r="B11" s="98" t="s">
        <v>168</v>
      </c>
      <c r="C11" s="98" t="s">
        <v>169</v>
      </c>
      <c r="D11" s="98">
        <v>0</v>
      </c>
      <c r="E11" s="98">
        <v>1</v>
      </c>
      <c r="F11" s="98">
        <v>0</v>
      </c>
      <c r="G11" s="98">
        <f t="shared" si="0"/>
        <v>3</v>
      </c>
      <c r="H11" s="85"/>
      <c r="I11" s="8"/>
      <c r="J11" s="8"/>
      <c r="K11" s="93"/>
      <c r="L11" s="2"/>
      <c r="M11" s="2"/>
      <c r="N11" s="2"/>
      <c r="O11" s="9"/>
      <c r="P11" s="2"/>
      <c r="Q11" s="9"/>
    </row>
    <row r="12" spans="1:17" ht="31.5" customHeight="1" thickTop="1" thickBot="1">
      <c r="A12" s="99" t="s">
        <v>161</v>
      </c>
      <c r="B12" s="98" t="s">
        <v>170</v>
      </c>
      <c r="C12" s="98" t="s">
        <v>171</v>
      </c>
      <c r="D12" s="98">
        <v>1</v>
      </c>
      <c r="E12" s="98">
        <v>1</v>
      </c>
      <c r="F12" s="98">
        <v>0</v>
      </c>
      <c r="G12" s="98">
        <f t="shared" si="0"/>
        <v>4</v>
      </c>
      <c r="H12" s="85"/>
      <c r="I12" s="8"/>
      <c r="J12" s="8"/>
      <c r="K12" s="93"/>
      <c r="L12" s="2"/>
      <c r="M12" s="2"/>
      <c r="N12" s="2"/>
      <c r="O12" s="2"/>
      <c r="P12" s="2"/>
      <c r="Q12" s="2"/>
    </row>
    <row r="13" spans="1:17" ht="38.5" customHeight="1" thickTop="1" thickBot="1">
      <c r="A13" s="99" t="s">
        <v>161</v>
      </c>
      <c r="B13" s="98" t="s">
        <v>172</v>
      </c>
      <c r="C13" s="98" t="s">
        <v>173</v>
      </c>
      <c r="D13" s="98">
        <v>1</v>
      </c>
      <c r="E13" s="98">
        <v>1</v>
      </c>
      <c r="F13" s="98">
        <v>0</v>
      </c>
      <c r="G13" s="98">
        <f t="shared" si="0"/>
        <v>4</v>
      </c>
      <c r="H13" s="85"/>
      <c r="I13" s="8"/>
      <c r="J13" s="8"/>
      <c r="K13" s="93"/>
      <c r="L13" s="166" t="s">
        <v>40</v>
      </c>
      <c r="M13" s="167"/>
      <c r="N13" s="167"/>
      <c r="O13" s="2"/>
      <c r="P13" s="2"/>
      <c r="Q13" s="2"/>
    </row>
    <row r="14" spans="1:17" ht="70" customHeight="1" thickTop="1" thickBot="1">
      <c r="A14" s="99" t="s">
        <v>161</v>
      </c>
      <c r="B14" s="98" t="s">
        <v>174</v>
      </c>
      <c r="C14" s="98" t="s">
        <v>175</v>
      </c>
      <c r="D14" s="98">
        <v>1</v>
      </c>
      <c r="E14" s="98">
        <v>0</v>
      </c>
      <c r="F14" s="98">
        <v>0</v>
      </c>
      <c r="G14" s="98">
        <f t="shared" si="0"/>
        <v>1</v>
      </c>
      <c r="H14" s="85"/>
      <c r="I14" s="8"/>
      <c r="J14" s="8"/>
      <c r="K14" s="93"/>
      <c r="L14" s="9" t="s">
        <v>15</v>
      </c>
      <c r="M14" s="2"/>
      <c r="N14" s="9" t="s">
        <v>16</v>
      </c>
      <c r="O14" s="2"/>
      <c r="P14" s="2"/>
      <c r="Q14" s="2"/>
    </row>
    <row r="15" spans="1:17" ht="49" customHeight="1" thickTop="1" thickBot="1">
      <c r="A15" s="99" t="s">
        <v>161</v>
      </c>
      <c r="B15" s="98" t="s">
        <v>176</v>
      </c>
      <c r="C15" s="98" t="s">
        <v>177</v>
      </c>
      <c r="D15" s="98">
        <v>0</v>
      </c>
      <c r="E15" s="98">
        <v>0</v>
      </c>
      <c r="F15" s="98">
        <v>1</v>
      </c>
      <c r="G15" s="98">
        <f t="shared" si="0"/>
        <v>5</v>
      </c>
      <c r="H15" s="85"/>
      <c r="I15" s="8"/>
      <c r="J15" s="8"/>
      <c r="K15" s="93"/>
      <c r="L15" s="2" t="s">
        <v>2</v>
      </c>
      <c r="M15" s="2"/>
      <c r="N15" s="2">
        <v>0</v>
      </c>
      <c r="O15" s="2"/>
      <c r="P15" s="2"/>
      <c r="Q15" s="2"/>
    </row>
    <row r="16" spans="1:17" ht="36.5" customHeight="1" thickTop="1" thickBot="1">
      <c r="A16" s="99" t="s">
        <v>161</v>
      </c>
      <c r="B16" s="98" t="s">
        <v>178</v>
      </c>
      <c r="C16" s="98" t="s">
        <v>179</v>
      </c>
      <c r="D16" s="98">
        <v>0</v>
      </c>
      <c r="E16" s="98">
        <v>0</v>
      </c>
      <c r="F16" s="98">
        <v>1</v>
      </c>
      <c r="G16" s="98">
        <f t="shared" si="0"/>
        <v>5</v>
      </c>
      <c r="H16" s="85"/>
      <c r="I16" s="8"/>
      <c r="J16" s="8"/>
      <c r="K16" s="93"/>
      <c r="L16" s="2" t="s">
        <v>3</v>
      </c>
      <c r="M16" s="2"/>
      <c r="N16" s="2">
        <v>0</v>
      </c>
      <c r="O16" s="2"/>
      <c r="P16" s="2"/>
      <c r="Q16" s="2"/>
    </row>
    <row r="17" spans="1:17" ht="36" customHeight="1" thickTop="1" thickBot="1">
      <c r="A17" s="99" t="s">
        <v>161</v>
      </c>
      <c r="B17" s="98" t="s">
        <v>180</v>
      </c>
      <c r="C17" s="98" t="s">
        <v>181</v>
      </c>
      <c r="D17" s="98">
        <v>1</v>
      </c>
      <c r="E17" s="98">
        <v>0</v>
      </c>
      <c r="F17" s="98">
        <v>0</v>
      </c>
      <c r="G17" s="98">
        <f t="shared" si="0"/>
        <v>1</v>
      </c>
      <c r="H17" s="85"/>
      <c r="I17" s="8"/>
      <c r="J17" s="8"/>
      <c r="K17" s="93"/>
      <c r="L17" s="2"/>
      <c r="M17" s="2"/>
      <c r="N17" s="2"/>
      <c r="O17" s="2"/>
      <c r="P17" s="2"/>
      <c r="Q17" s="2"/>
    </row>
    <row r="18" spans="1:17" ht="15.5" thickTop="1" thickBot="1">
      <c r="A18" s="98"/>
      <c r="B18" s="98"/>
      <c r="C18" s="98"/>
      <c r="D18" s="98"/>
      <c r="E18" s="98"/>
      <c r="F18" s="98"/>
      <c r="G18" s="98"/>
      <c r="H18" s="85"/>
      <c r="I18" s="8"/>
      <c r="J18" s="8"/>
      <c r="K18" s="93"/>
      <c r="L18" s="2" t="s">
        <v>4</v>
      </c>
      <c r="M18" s="2"/>
      <c r="N18" s="2">
        <v>0</v>
      </c>
      <c r="O18" s="2"/>
      <c r="P18" s="2"/>
      <c r="Q18" s="2"/>
    </row>
    <row r="19" spans="1:17" ht="43" thickTop="1" thickBot="1">
      <c r="A19" s="99" t="s">
        <v>182</v>
      </c>
      <c r="B19" s="99"/>
      <c r="C19" s="99"/>
      <c r="D19" s="99"/>
      <c r="E19" s="99"/>
      <c r="F19" s="99"/>
      <c r="G19" s="99">
        <f>SUM(G8:G17)</f>
        <v>33</v>
      </c>
      <c r="H19" s="85" t="e">
        <f t="array" ref="H19">VLOOKUP(#REF!,[1]Guidelines!$B$4:$E$19,2,FALSE)</f>
        <v>#REF!</v>
      </c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93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93"/>
      <c r="B20" s="93"/>
      <c r="C20" s="94"/>
      <c r="D20" s="90"/>
      <c r="E20" s="90"/>
      <c r="F20" s="91" t="s">
        <v>145</v>
      </c>
      <c r="G20" s="92">
        <v>33</v>
      </c>
      <c r="H20" s="85" t="e">
        <f t="array" ref="H20">VLOOKUP(#REF!,[1]Guidelines!$B$4:$E$19,2,FALSE)</f>
        <v>#REF!</v>
      </c>
      <c r="I20" s="8" t="e">
        <f t="array" ref="I20">VLOOKUP(#REF!,[1]Guidelines!$B$4:$E$19,3,FALSE)</f>
        <v>#REF!</v>
      </c>
      <c r="J20" s="8" t="e">
        <f t="array" ref="J20">VLOOKUP(#REF!,[1]Guidelines!$B$4:$E$19,4,FALSE)</f>
        <v>#REF!</v>
      </c>
      <c r="K20" s="93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5"/>
      <c r="B21" s="96"/>
      <c r="C21" s="89"/>
      <c r="D21" s="89"/>
      <c r="E21" s="89"/>
      <c r="F21" s="89"/>
      <c r="G21" s="89"/>
      <c r="H21" s="85"/>
      <c r="I21" s="8"/>
      <c r="J21" s="8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85" t="e">
        <f t="array" ref="H22">VLOOKUP(#REF!,[1]Guidelines!$B$4:$E$19,2,FALSE)</f>
        <v>#REF!</v>
      </c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0.16</v>
      </c>
      <c r="E23" s="9" t="e">
        <f t="array" ref="E23">VLOOKUP(D1,'[1]Baseline Productivity '!A4:D8,4,FALSE)</f>
        <v>#N/A</v>
      </c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33</v>
      </c>
      <c r="E24" s="15" t="s">
        <v>43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206.25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</row>
    <row r="27" spans="1:17" ht="15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2"/>
      <c r="L27" s="2" t="s">
        <v>12</v>
      </c>
      <c r="M27" s="2"/>
      <c r="N27" s="2">
        <v>4</v>
      </c>
      <c r="O27" s="2"/>
      <c r="P27" s="2"/>
      <c r="Q27" s="2"/>
    </row>
    <row r="28" spans="1:17" ht="15" thickBot="1">
      <c r="A28" s="7"/>
      <c r="B28" s="7"/>
      <c r="C28" s="9" t="s">
        <v>48</v>
      </c>
      <c r="D28" s="17">
        <v>0.1</v>
      </c>
      <c r="E28" s="2"/>
      <c r="F28" s="2"/>
      <c r="G28" s="2"/>
      <c r="H28" s="8" t="e">
        <f t="array" ref="H28">VLOOKUP(#REF!,[1]Guidelines!$B$4:$E$19,2,FALSE)</f>
        <v>#REF!</v>
      </c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2"/>
      <c r="L28" s="2" t="s">
        <v>13</v>
      </c>
      <c r="M28" s="2"/>
      <c r="N28" s="2">
        <v>4</v>
      </c>
      <c r="O28" s="9"/>
      <c r="P28" s="9"/>
      <c r="Q28" s="9"/>
    </row>
    <row r="29" spans="1:17" ht="15" thickBot="1">
      <c r="A29" s="7"/>
      <c r="B29" s="7"/>
      <c r="C29" s="9" t="s">
        <v>146</v>
      </c>
      <c r="D29" s="18">
        <f>((D25*D26)+(D25*D26*D27))+((D25*D26)+(D25*D26*D27))*D28</f>
        <v>240.60093750000001</v>
      </c>
      <c r="E29" s="9" t="s">
        <v>45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</row>
    <row r="30" spans="1:17" ht="15" thickBot="1">
      <c r="A30" s="7"/>
      <c r="B30" s="7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</row>
    <row r="31" spans="1:17" ht="15" thickBot="1">
      <c r="A31" s="7"/>
      <c r="B31" s="7"/>
      <c r="C31" s="2" t="s">
        <v>50</v>
      </c>
      <c r="D31" s="19">
        <f>D29+5%*D29</f>
        <v>252.63098437500003</v>
      </c>
      <c r="E31" s="19">
        <f>D29-5%*D29</f>
        <v>228.570890625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8:17" ht="15" thickBot="1"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8:17" ht="15" thickBot="1"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8:17" ht="15" thickBot="1"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8:17" ht="15" thickBot="1"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8:17" ht="15" thickBot="1"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8:17" ht="15" thickBot="1"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8:17" ht="15" thickBot="1">
      <c r="H39" s="2"/>
      <c r="I39" s="2"/>
      <c r="J39" s="2"/>
      <c r="K39" s="2"/>
      <c r="O39" s="2"/>
      <c r="P39" s="2"/>
      <c r="Q39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7" zoomScale="70" zoomScaleNormal="70" workbookViewId="0">
      <selection activeCell="E11" sqref="E11"/>
    </sheetView>
  </sheetViews>
  <sheetFormatPr defaultRowHeight="14.5"/>
  <cols>
    <col min="1" max="1" width="16.54296875" customWidth="1"/>
    <col min="2" max="2" width="18.453125" customWidth="1"/>
    <col min="3" max="3" width="58.81640625" customWidth="1"/>
    <col min="4" max="4" width="20.81640625" customWidth="1"/>
    <col min="5" max="5" width="10" bestFit="1" customWidth="1"/>
    <col min="6" max="6" width="11.81640625" customWidth="1"/>
    <col min="7" max="7" width="8.26953125" customWidth="1"/>
    <col min="8" max="8" width="9.90625" hidden="1" customWidth="1"/>
    <col min="9" max="9" width="8.6328125" hidden="1" customWidth="1"/>
    <col min="10" max="10" width="0" hidden="1" customWidth="1"/>
    <col min="12" max="12" width="23.36328125" bestFit="1" customWidth="1"/>
    <col min="14" max="14" width="6.36328125" bestFit="1" customWidth="1"/>
  </cols>
  <sheetData>
    <row r="1" spans="1:17" ht="21" customHeight="1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7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" thickBot="1">
      <c r="A5" s="7"/>
      <c r="B5" s="7"/>
      <c r="C5" s="2"/>
      <c r="D5" s="21" t="s">
        <v>30</v>
      </c>
      <c r="E5" s="102"/>
      <c r="F5" s="102"/>
      <c r="G5" s="4"/>
      <c r="H5" s="101" t="s">
        <v>31</v>
      </c>
      <c r="I5" s="102"/>
      <c r="J5" s="102"/>
      <c r="K5" s="2"/>
      <c r="L5" s="3"/>
      <c r="M5" s="3"/>
      <c r="N5" s="3"/>
      <c r="O5" s="2"/>
      <c r="P5" s="2"/>
      <c r="Q5" s="2"/>
    </row>
    <row r="6" spans="1:17" ht="32" customHeight="1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L6" s="3"/>
      <c r="M6" s="3"/>
      <c r="N6" s="3"/>
      <c r="O6" s="2"/>
      <c r="P6" s="2"/>
      <c r="Q6" s="2"/>
    </row>
    <row r="7" spans="1:17" ht="15" thickBot="1">
      <c r="A7" s="1"/>
      <c r="B7" s="1"/>
      <c r="C7" s="21"/>
      <c r="D7" s="1">
        <v>1</v>
      </c>
      <c r="E7" s="1">
        <v>3</v>
      </c>
      <c r="F7" s="1">
        <v>5</v>
      </c>
      <c r="G7" s="1"/>
      <c r="H7" s="5"/>
      <c r="I7" s="5"/>
      <c r="J7" s="5"/>
      <c r="K7" s="2"/>
      <c r="L7" s="3"/>
      <c r="M7" s="3"/>
      <c r="N7" s="3"/>
      <c r="O7" s="2"/>
      <c r="P7" s="2"/>
      <c r="Q7" s="2"/>
    </row>
    <row r="8" spans="1:17" ht="98.5" thickBot="1">
      <c r="A8" s="99" t="s">
        <v>183</v>
      </c>
      <c r="B8" s="98" t="s">
        <v>184</v>
      </c>
      <c r="C8" s="98" t="s">
        <v>185</v>
      </c>
      <c r="D8" s="98">
        <v>1</v>
      </c>
      <c r="E8" s="98">
        <v>0</v>
      </c>
      <c r="F8" s="98">
        <v>0</v>
      </c>
      <c r="G8" s="98">
        <f>D8*$D$7+E8*$E$7+F8*$F$7</f>
        <v>1</v>
      </c>
      <c r="H8" s="6"/>
      <c r="I8" s="6"/>
      <c r="J8" s="6"/>
      <c r="K8" s="2"/>
      <c r="L8" s="3"/>
      <c r="M8" s="3"/>
      <c r="N8" s="3"/>
      <c r="O8" s="2"/>
      <c r="P8" s="2"/>
      <c r="Q8" s="2"/>
    </row>
    <row r="9" spans="1:17" ht="44.5" customHeight="1" thickTop="1" thickBot="1">
      <c r="A9" s="99" t="s">
        <v>183</v>
      </c>
      <c r="B9" s="98" t="s">
        <v>186</v>
      </c>
      <c r="C9" s="98" t="s">
        <v>187</v>
      </c>
      <c r="D9" s="98">
        <v>1</v>
      </c>
      <c r="E9" s="98">
        <v>1</v>
      </c>
      <c r="F9" s="98">
        <v>0</v>
      </c>
      <c r="G9" s="98">
        <f t="shared" ref="G9:G11" si="0">D9*$D$7+E9*$E$7+F9*$F$7</f>
        <v>4</v>
      </c>
      <c r="H9" s="85"/>
      <c r="I9" s="8"/>
      <c r="J9" s="8"/>
      <c r="K9" s="93"/>
      <c r="L9" s="3"/>
      <c r="M9" s="3"/>
      <c r="N9" s="3"/>
      <c r="O9" s="2"/>
      <c r="P9" s="2"/>
      <c r="Q9" s="2"/>
    </row>
    <row r="10" spans="1:17" ht="44.5" customHeight="1" thickTop="1" thickBot="1">
      <c r="A10" s="99" t="s">
        <v>183</v>
      </c>
      <c r="B10" s="98" t="s">
        <v>188</v>
      </c>
      <c r="C10" s="98" t="s">
        <v>189</v>
      </c>
      <c r="D10" s="98">
        <v>2</v>
      </c>
      <c r="E10" s="98">
        <v>0</v>
      </c>
      <c r="F10" s="98">
        <v>0</v>
      </c>
      <c r="G10" s="98">
        <f t="shared" si="0"/>
        <v>2</v>
      </c>
      <c r="H10" s="85" t="e">
        <f t="array" ref="H10">VLOOKUP(#REF!,[1]Guidelines!$B$4:$E$19,2,FALSE)</f>
        <v>#REF!</v>
      </c>
      <c r="I10" s="8" t="e">
        <f t="array" ref="I10">VLOOKUP(#REF!,[1]Guidelines!$B$4:$E$19,3,FALSE)</f>
        <v>#REF!</v>
      </c>
      <c r="J10" s="8" t="e">
        <f t="array" ref="J10">VLOOKUP(#REF!,[1]Guidelines!$B$4:$E$19,4,FALSE)</f>
        <v>#REF!</v>
      </c>
      <c r="K10" s="93"/>
      <c r="L10" s="3"/>
      <c r="M10" s="3"/>
      <c r="N10" s="3"/>
      <c r="O10" s="166"/>
      <c r="P10" s="167"/>
      <c r="Q10" s="167"/>
    </row>
    <row r="11" spans="1:17" ht="42" customHeight="1" thickTop="1" thickBot="1">
      <c r="A11" s="99" t="s">
        <v>183</v>
      </c>
      <c r="B11" s="98" t="s">
        <v>190</v>
      </c>
      <c r="C11" s="98" t="s">
        <v>191</v>
      </c>
      <c r="D11" s="98">
        <v>1</v>
      </c>
      <c r="E11" s="98">
        <v>0</v>
      </c>
      <c r="F11" s="98">
        <v>0</v>
      </c>
      <c r="G11" s="98">
        <f t="shared" si="0"/>
        <v>1</v>
      </c>
      <c r="H11" s="85"/>
      <c r="I11" s="8"/>
      <c r="J11" s="8"/>
      <c r="K11" s="93"/>
      <c r="L11" s="2"/>
      <c r="M11" s="2"/>
      <c r="N11" s="2"/>
      <c r="O11" s="9"/>
      <c r="P11" s="2"/>
      <c r="Q11" s="9"/>
    </row>
    <row r="12" spans="1:17" ht="110" customHeight="1" thickTop="1" thickBot="1">
      <c r="A12" s="98"/>
      <c r="B12" s="98"/>
      <c r="C12" s="98"/>
      <c r="D12" s="98"/>
      <c r="E12" s="98"/>
      <c r="F12" s="98"/>
      <c r="G12" s="98"/>
      <c r="H12" s="85"/>
      <c r="I12" s="8"/>
      <c r="J12" s="8"/>
      <c r="K12" s="93"/>
      <c r="L12" s="2"/>
      <c r="M12" s="2"/>
      <c r="N12" s="2"/>
      <c r="O12" s="2"/>
      <c r="P12" s="2"/>
      <c r="Q12" s="2"/>
    </row>
    <row r="13" spans="1:17" ht="43" thickTop="1" thickBot="1">
      <c r="A13" s="99" t="s">
        <v>192</v>
      </c>
      <c r="B13" s="99"/>
      <c r="C13" s="99"/>
      <c r="D13" s="99"/>
      <c r="E13" s="99"/>
      <c r="F13" s="99"/>
      <c r="G13" s="99">
        <f>SUM(G8:G11)</f>
        <v>8</v>
      </c>
      <c r="H13" s="85"/>
      <c r="I13" s="8"/>
      <c r="J13" s="8"/>
      <c r="K13" s="93"/>
      <c r="L13" s="166" t="s">
        <v>40</v>
      </c>
      <c r="M13" s="167"/>
      <c r="N13" s="167"/>
      <c r="O13" s="2"/>
      <c r="P13" s="2"/>
      <c r="Q13" s="2"/>
    </row>
    <row r="14" spans="1:17" ht="15.5" thickTop="1" thickBot="1">
      <c r="A14" s="7"/>
      <c r="B14" s="7"/>
      <c r="C14" s="2"/>
      <c r="D14" s="2"/>
      <c r="E14" s="2"/>
      <c r="F14" s="2"/>
      <c r="G14" s="2"/>
      <c r="H14" s="85"/>
      <c r="I14" s="8"/>
      <c r="J14" s="8"/>
      <c r="K14" s="93"/>
      <c r="L14" s="9" t="s">
        <v>15</v>
      </c>
      <c r="M14" s="2"/>
      <c r="N14" s="9" t="s">
        <v>16</v>
      </c>
      <c r="O14" s="2"/>
      <c r="P14" s="2"/>
      <c r="Q14" s="2"/>
    </row>
    <row r="15" spans="1:17" ht="15.5" thickTop="1" thickBot="1">
      <c r="A15" s="7"/>
      <c r="B15" s="7"/>
      <c r="C15" s="9" t="s">
        <v>20</v>
      </c>
      <c r="D15" s="12">
        <v>0.16</v>
      </c>
      <c r="E15" s="9" t="e">
        <f t="array" ref="E15">VLOOKUP(D1,'[1]Baseline Productivity '!A4:D8,4,FALSE)</f>
        <v>#N/A</v>
      </c>
      <c r="F15" s="2"/>
      <c r="G15" s="2"/>
      <c r="H15" s="85"/>
      <c r="I15" s="8"/>
      <c r="J15" s="8"/>
      <c r="K15" s="93"/>
      <c r="L15" s="2" t="s">
        <v>2</v>
      </c>
      <c r="M15" s="2"/>
      <c r="N15" s="2">
        <v>0</v>
      </c>
      <c r="O15" s="2"/>
      <c r="P15" s="2"/>
      <c r="Q15" s="2"/>
    </row>
    <row r="16" spans="1:17" ht="15.5" thickTop="1" thickBot="1">
      <c r="A16" s="7"/>
      <c r="B16" s="7"/>
      <c r="C16" s="15" t="s">
        <v>0</v>
      </c>
      <c r="D16" s="14">
        <v>8</v>
      </c>
      <c r="E16" s="15" t="s">
        <v>43</v>
      </c>
      <c r="F16" s="2"/>
      <c r="G16" s="2"/>
      <c r="H16" s="85"/>
      <c r="I16" s="8"/>
      <c r="J16" s="8"/>
      <c r="K16" s="93"/>
      <c r="L16" s="2" t="s">
        <v>3</v>
      </c>
      <c r="M16" s="2"/>
      <c r="N16" s="2">
        <v>0</v>
      </c>
      <c r="O16" s="2"/>
      <c r="P16" s="2"/>
      <c r="Q16" s="2"/>
    </row>
    <row r="17" spans="1:17" ht="15.5" thickTop="1" thickBot="1">
      <c r="A17" s="7"/>
      <c r="B17" s="7"/>
      <c r="C17" s="9" t="s">
        <v>44</v>
      </c>
      <c r="D17" s="16">
        <f>D16/D15</f>
        <v>50</v>
      </c>
      <c r="E17" s="9" t="s">
        <v>45</v>
      </c>
      <c r="F17" s="2"/>
      <c r="G17" s="2"/>
      <c r="H17" s="85" t="e">
        <f t="array" ref="H17">VLOOKUP(#REF!,[1]Guidelines!$B$4:$E$19,2,FALSE)</f>
        <v>#REF!</v>
      </c>
      <c r="I17" s="8"/>
      <c r="J17" s="8"/>
      <c r="K17" s="93"/>
      <c r="L17" s="2"/>
      <c r="M17" s="2"/>
      <c r="N17" s="2"/>
      <c r="O17" s="2"/>
      <c r="P17" s="2"/>
      <c r="Q17" s="2"/>
    </row>
    <row r="18" spans="1:17" ht="15.5" thickTop="1" thickBot="1">
      <c r="A18" s="7"/>
      <c r="B18" s="7"/>
      <c r="C18" s="9" t="s">
        <v>46</v>
      </c>
      <c r="D18" s="12">
        <f>0.65+0.01*$N$31</f>
        <v>1.01</v>
      </c>
      <c r="E18" s="2"/>
      <c r="F18" s="2"/>
      <c r="G18" s="2"/>
      <c r="H18" s="85" t="e">
        <f t="array" ref="H18">VLOOKUP(#REF!,[1]Guidelines!$B$4:$E$19,2,FALSE)</f>
        <v>#REF!</v>
      </c>
      <c r="I18" s="8"/>
      <c r="J18" s="8"/>
      <c r="K18" s="93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7"/>
      <c r="B19" s="7"/>
      <c r="C19" s="9" t="s">
        <v>47</v>
      </c>
      <c r="D19" s="17">
        <v>0.05</v>
      </c>
      <c r="E19" s="2"/>
      <c r="F19" s="2"/>
      <c r="G19" s="2"/>
      <c r="H19" s="85"/>
      <c r="I19" s="8" t="e">
        <f t="array" ref="I19">VLOOKUP(#REF!,[1]Guidelines!$B$4:$E$19,3,FALSE)</f>
        <v>#REF!</v>
      </c>
      <c r="J19" s="8" t="e">
        <f t="array" ref="J19">VLOOKUP(#REF!,[1]Guidelines!$B$4:$E$19,4,FALSE)</f>
        <v>#REF!</v>
      </c>
      <c r="K19" s="93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7"/>
      <c r="B20" s="7"/>
      <c r="C20" s="9" t="s">
        <v>48</v>
      </c>
      <c r="D20" s="17">
        <v>0.1</v>
      </c>
      <c r="E20" s="2"/>
      <c r="F20" s="2"/>
      <c r="G20" s="2"/>
      <c r="H20" s="85" t="e">
        <f t="array" ref="H20">VLOOKUP(#REF!,[1]Guidelines!$B$4:$E$19,2,FALSE)</f>
        <v>#REF!</v>
      </c>
      <c r="I20" s="8" t="e">
        <f t="array" ref="I20">VLOOKUP(#REF!,[1]Guidelines!$B$4:$E$19,3,FALSE)</f>
        <v>#REF!</v>
      </c>
      <c r="J20" s="8" t="e">
        <f t="array" ref="J20">VLOOKUP(#REF!,[1]Guidelines!$B$4:$E$19,4,FALSE)</f>
        <v>#REF!</v>
      </c>
      <c r="K20" s="93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7"/>
      <c r="B21" s="7"/>
      <c r="C21" s="9" t="s">
        <v>146</v>
      </c>
      <c r="D21" s="18">
        <f>((D17*D18)+(D17*D18*D19))+((D17*D18)+(D17*D18*D19))*D20</f>
        <v>58.327500000000001</v>
      </c>
      <c r="E21" s="9" t="s">
        <v>45</v>
      </c>
      <c r="F21" s="2"/>
      <c r="G21" s="2"/>
      <c r="H21" s="85"/>
      <c r="I21" s="8"/>
      <c r="J21" s="8"/>
      <c r="K21" s="93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85"/>
      <c r="I22" s="8" t="e">
        <f t="array" ref="I22">VLOOKUP(#REF!,[1]Guidelines!$B$4:$E$19,3,FALSE)</f>
        <v>#REF!</v>
      </c>
      <c r="J22" s="8" t="e">
        <f t="array" ref="J22">VLOOKUP(#REF!,[1]Guidelines!$B$4:$E$19,4,FALSE)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2" t="s">
        <v>50</v>
      </c>
      <c r="D23" s="19">
        <f>D21+5%*D21</f>
        <v>61.243875000000003</v>
      </c>
      <c r="E23" s="19">
        <f>D21-5%*D21</f>
        <v>55.411124999999998</v>
      </c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2"/>
      <c r="D24" s="2"/>
      <c r="E24" s="2"/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27"/>
      <c r="D25" s="117"/>
      <c r="E25" s="27"/>
      <c r="F25" s="25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118"/>
      <c r="D26" s="119"/>
      <c r="E26" s="118"/>
      <c r="F26" s="25"/>
      <c r="G26" s="2"/>
      <c r="H26" s="85" t="e">
        <f t="array" ref="H26">VLOOKUP(#REF!,[1]Guidelines!$B$4:$E$19,2,FALSE)</f>
        <v>#REF!</v>
      </c>
      <c r="I26" s="8"/>
      <c r="J26" s="8"/>
      <c r="K26" s="93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27"/>
      <c r="D27" s="120"/>
      <c r="E27" s="27"/>
      <c r="F27" s="25"/>
      <c r="G27" s="2"/>
      <c r="H27" s="85"/>
      <c r="I27" s="8"/>
      <c r="J27" s="8"/>
      <c r="K27" s="93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27"/>
      <c r="D28" s="117"/>
      <c r="E28" s="25"/>
      <c r="F28" s="25"/>
      <c r="G28" s="2"/>
      <c r="H28" s="85"/>
      <c r="I28" s="8" t="e">
        <f t="array" ref="I28">VLOOKUP(#REF!,[1]Guidelines!$B$4:$E$19,3,FALSE)</f>
        <v>#REF!</v>
      </c>
      <c r="J28" s="8" t="e">
        <f t="array" ref="J28">VLOOKUP(#REF!,[1]Guidelines!$B$4:$E$19,4,FALSE)</f>
        <v>#REF!</v>
      </c>
      <c r="K28" s="93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27"/>
      <c r="D29" s="121"/>
      <c r="E29" s="25"/>
      <c r="F29" s="25"/>
      <c r="G29" s="2"/>
      <c r="H29" s="85"/>
      <c r="I29" s="8"/>
      <c r="J29" s="8"/>
      <c r="K29" s="93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7"/>
      <c r="D30" s="121"/>
      <c r="E30" s="25"/>
      <c r="F30" s="25"/>
      <c r="G30" s="2"/>
      <c r="H30" s="85"/>
      <c r="I30" s="8"/>
      <c r="J30" s="8"/>
      <c r="K30" s="93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7"/>
      <c r="D31" s="122"/>
      <c r="E31" s="27"/>
      <c r="F31" s="25"/>
      <c r="G31" s="2"/>
      <c r="H31" s="85"/>
      <c r="I31" s="8"/>
      <c r="J31" s="8"/>
      <c r="K31" s="93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"/>
      <c r="D33" s="19"/>
      <c r="E33" s="19"/>
      <c r="F33" s="2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2"/>
      <c r="D34" s="2"/>
      <c r="E34" s="2"/>
      <c r="F34" s="2"/>
      <c r="G34" s="2"/>
      <c r="H34" s="85"/>
      <c r="I34" s="8"/>
      <c r="J34" s="8"/>
      <c r="K34" s="2"/>
      <c r="L34" s="2"/>
    </row>
    <row r="35" spans="1:17" ht="15" thickBot="1">
      <c r="H35" s="85"/>
      <c r="I35" s="8"/>
      <c r="J35" s="8"/>
      <c r="K35" s="2"/>
      <c r="L35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[2]Master!#REF!</xm:f>
          </x14:formula1>
          <xm:sqref>Q12:Q27 N15:N30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Guidelines</vt:lpstr>
      <vt:lpstr>Version History</vt:lpstr>
      <vt:lpstr>Master</vt:lpstr>
      <vt:lpstr>Baseline Productivity </vt:lpstr>
      <vt:lpstr>Anusharavan Estimation</vt:lpstr>
      <vt:lpstr>Bharosa Estimation</vt:lpstr>
      <vt:lpstr>Material Testing Estimation</vt:lpstr>
      <vt:lpstr>FHTC Estimation</vt:lpstr>
      <vt:lpstr>O&amp;M Estimation</vt:lpstr>
      <vt:lpstr>DHARA CR Estimation</vt:lpstr>
      <vt:lpstr>NIRMAL CR Estimation</vt:lpstr>
      <vt:lpstr>Sahbhagita CR</vt:lpstr>
      <vt:lpstr>CMMI Doc Estimation</vt:lpstr>
      <vt:lpstr>Cube Testing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2025-12-09T08:10:08Z</dcterms:created>
  <dcterms:modified xsi:type="dcterms:W3CDTF">2026-02-26T07:51:52Z</dcterms:modified>
</cp:coreProperties>
</file>