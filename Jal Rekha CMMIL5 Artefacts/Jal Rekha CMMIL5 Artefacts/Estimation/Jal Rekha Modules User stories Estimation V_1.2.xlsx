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Estimation\"/>
    </mc:Choice>
  </mc:AlternateContent>
  <bookViews>
    <workbookView xWindow="0" yWindow="0" windowWidth="19200" windowHeight="7190" activeTab="1"/>
  </bookViews>
  <sheets>
    <sheet name="Guidelines" sheetId="15" r:id="rId1"/>
    <sheet name="Version History" sheetId="12" r:id="rId2"/>
    <sheet name="Master" sheetId="13" r:id="rId3"/>
    <sheet name="Baseline Productivity " sheetId="14" r:id="rId4"/>
    <sheet name="FHTC Estimation" sheetId="16" r:id="rId5"/>
    <sheet name="O&amp;M Estimation" sheetId="17" r:id="rId6"/>
    <sheet name="Bharosa Estimation" sheetId="18" r:id="rId7"/>
    <sheet name="DHARA CR Estimation" sheetId="9" r:id="rId8"/>
    <sheet name="MASTER CR Estimation" sheetId="11" r:id="rId9"/>
    <sheet name="NIRMAL CR Estimation" sheetId="10" r:id="rId10"/>
    <sheet name="Sahbhagita CR" sheetId="4" r:id="rId11"/>
    <sheet name="Sopan CR" sheetId="5" r:id="rId12"/>
  </sheets>
  <externalReferences>
    <externalReference r:id="rId13"/>
    <externalReference r:id="rId14"/>
  </externalReferences>
  <definedNames>
    <definedName name="ACE" localSheetId="4">Master!#REF!</definedName>
    <definedName name="ACE">Master!#REF!</definedName>
    <definedName name="AGILE_1" localSheetId="4">Master!#REF!</definedName>
    <definedName name="AGILE_1">Master!#REF!</definedName>
    <definedName name="AGILE_2" localSheetId="4">Master!#REF!</definedName>
    <definedName name="AGILE_2">Master!#REF!</definedName>
    <definedName name="AUT" localSheetId="4">Master!#REF!</definedName>
    <definedName name="AUT">Master!#REF!</definedName>
    <definedName name="Automation" localSheetId="4">Master!#REF!</definedName>
    <definedName name="Automation">Master!#REF!</definedName>
    <definedName name="Code_element">Master!$A$4:$B$4</definedName>
    <definedName name="DACL" localSheetId="4">Master!#REF!</definedName>
    <definedName name="DACL">Master!#REF!</definedName>
    <definedName name="Data" localSheetId="4">Master!#REF!</definedName>
    <definedName name="Data">Master!#REF!</definedName>
    <definedName name="Data_Modeling" localSheetId="4">Master!#REF!</definedName>
    <definedName name="Data_Modeling">Master!#REF!</definedName>
    <definedName name="Development">Master!$A$3:$A$28</definedName>
    <definedName name="Enhancement_and_customization">Master!$B$3:$B$21</definedName>
    <definedName name="GEN_AI" localSheetId="4">Master!#REF!</definedName>
    <definedName name="GEN_AI">Master!#REF!</definedName>
    <definedName name="GLBS" localSheetId="4">Master!#REF!</definedName>
    <definedName name="GLBS">Master!#REF!</definedName>
    <definedName name="Infra_Setup">Master!$A$7:$B$7</definedName>
    <definedName name="Ingestion">Master!$A$6:$B$6</definedName>
    <definedName name="IOT" localSheetId="4">Master!#REF!</definedName>
    <definedName name="IOT">Master!#REF!</definedName>
    <definedName name="Marktek" localSheetId="4">Master!#REF!</definedName>
    <definedName name="Marktek">Master!#REF!</definedName>
    <definedName name="MSDA" localSheetId="4">Master!#REF!</definedName>
    <definedName name="MSDA">Master!#REF!</definedName>
    <definedName name="MSI">Master!$A$3:$A$11</definedName>
    <definedName name="New_Development">Master!$A$3:$A$21</definedName>
    <definedName name="Reports">Master!$A$5:$B$5</definedName>
    <definedName name="Scalable_development" localSheetId="4">Master!#REF!</definedName>
    <definedName name="Scalable_development">Master!#REF!</definedName>
    <definedName name="Screen">Master!$A$3:$B$3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11" l="1" a="1"/>
  <c r="E32" i="11" s="1"/>
  <c r="D34" i="11"/>
  <c r="E25" i="9" a="1"/>
  <c r="E25" i="9" s="1"/>
  <c r="H8" i="9" a="1"/>
  <c r="H8" i="9" s="1"/>
  <c r="I8" i="9" a="1"/>
  <c r="I8" i="9" s="1"/>
  <c r="J8" i="9" a="1"/>
  <c r="J8" i="9" s="1"/>
  <c r="N31" i="5"/>
  <c r="D39" i="5" s="1"/>
  <c r="D38" i="5"/>
  <c r="E36" i="5" a="1"/>
  <c r="E36" i="5" s="1"/>
  <c r="J22" i="5" a="1"/>
  <c r="J22" i="5" s="1"/>
  <c r="I22" i="5" a="1"/>
  <c r="I22" i="5" s="1"/>
  <c r="H22" i="5" a="1"/>
  <c r="H22" i="5" s="1"/>
  <c r="J13" i="5" a="1"/>
  <c r="J13" i="5" s="1"/>
  <c r="I13" i="5" a="1"/>
  <c r="I13" i="5" s="1"/>
  <c r="H13" i="5" a="1"/>
  <c r="H13" i="5" s="1"/>
  <c r="J11" i="5" a="1"/>
  <c r="J11" i="5" s="1"/>
  <c r="I11" i="5" a="1"/>
  <c r="I11" i="5" s="1"/>
  <c r="H11" i="5" a="1"/>
  <c r="H11" i="5" s="1"/>
  <c r="N31" i="4"/>
  <c r="D29" i="4" s="1"/>
  <c r="N31" i="10"/>
  <c r="D32" i="10" s="1"/>
  <c r="N31" i="11"/>
  <c r="D35" i="11" s="1"/>
  <c r="D38" i="11" s="1"/>
  <c r="N31" i="9"/>
  <c r="D28" i="9" s="1"/>
  <c r="D28" i="4"/>
  <c r="E26" i="4" a="1"/>
  <c r="E26" i="4" s="1"/>
  <c r="J22" i="4" a="1"/>
  <c r="J22" i="4" s="1"/>
  <c r="I22" i="4" a="1"/>
  <c r="I22" i="4" s="1"/>
  <c r="H22" i="4" a="1"/>
  <c r="H22" i="4" s="1"/>
  <c r="J13" i="4" a="1"/>
  <c r="J13" i="4" s="1"/>
  <c r="I13" i="4" a="1"/>
  <c r="I13" i="4" s="1"/>
  <c r="H13" i="4" a="1"/>
  <c r="H13" i="4" s="1"/>
  <c r="J11" i="4" a="1"/>
  <c r="J11" i="4" s="1"/>
  <c r="I11" i="4" a="1"/>
  <c r="I11" i="4" s="1"/>
  <c r="H11" i="4" a="1"/>
  <c r="H11" i="4" s="1"/>
  <c r="D42" i="5" l="1"/>
  <c r="E44" i="5" s="1"/>
  <c r="D32" i="4"/>
  <c r="E34" i="4" s="1"/>
  <c r="E40" i="11"/>
  <c r="D40" i="11"/>
  <c r="D20" i="16"/>
  <c r="N31" i="16"/>
  <c r="D33" i="17"/>
  <c r="N31" i="17"/>
  <c r="D33" i="18"/>
  <c r="N31" i="18"/>
  <c r="D44" i="5" l="1"/>
  <c r="D34" i="4"/>
  <c r="D32" i="18"/>
  <c r="E30" i="18" a="1"/>
  <c r="E30" i="18" s="1"/>
  <c r="J27" i="18" a="1"/>
  <c r="J27" i="18" s="1"/>
  <c r="I27" i="18" a="1"/>
  <c r="I27" i="18" s="1"/>
  <c r="H27" i="18" a="1"/>
  <c r="H27" i="18" s="1"/>
  <c r="J21" i="18" a="1"/>
  <c r="J21" i="18" s="1"/>
  <c r="I21" i="18" a="1"/>
  <c r="I21" i="18" s="1"/>
  <c r="H21" i="18" a="1"/>
  <c r="H21" i="18" s="1"/>
  <c r="J19" i="18" a="1"/>
  <c r="J19" i="18" s="1"/>
  <c r="I19" i="18" a="1"/>
  <c r="I19" i="18" s="1"/>
  <c r="H19" i="18" a="1"/>
  <c r="H19" i="18" s="1"/>
  <c r="J18" i="18" a="1"/>
  <c r="J18" i="18" s="1"/>
  <c r="I18" i="18" a="1"/>
  <c r="I18" i="18" s="1"/>
  <c r="H18" i="18" a="1"/>
  <c r="H18" i="18" s="1"/>
  <c r="J9" i="18" a="1"/>
  <c r="J9" i="18" s="1"/>
  <c r="I9" i="18" a="1"/>
  <c r="I9" i="18" s="1"/>
  <c r="H9" i="18" a="1"/>
  <c r="H9" i="18" s="1"/>
  <c r="G9" i="17"/>
  <c r="G10" i="17"/>
  <c r="G11" i="17"/>
  <c r="G12" i="17"/>
  <c r="G13" i="17"/>
  <c r="G14" i="17"/>
  <c r="G15" i="17"/>
  <c r="G16" i="17"/>
  <c r="G17" i="17"/>
  <c r="G18" i="17"/>
  <c r="G19" i="17"/>
  <c r="G20" i="17"/>
  <c r="G21" i="17"/>
  <c r="G22" i="17"/>
  <c r="G23" i="17"/>
  <c r="G24" i="17"/>
  <c r="G25" i="17"/>
  <c r="G8" i="17"/>
  <c r="G8" i="16"/>
  <c r="H27" i="17" a="1"/>
  <c r="H27" i="17" s="1"/>
  <c r="I27" i="17" a="1"/>
  <c r="I27" i="17" s="1"/>
  <c r="J27" i="17" a="1"/>
  <c r="J27" i="17" s="1"/>
  <c r="D36" i="18" l="1"/>
  <c r="G27" i="17"/>
  <c r="E38" i="18" l="1"/>
  <c r="D38" i="18"/>
  <c r="J21" i="17" l="1" a="1"/>
  <c r="J21" i="17" s="1"/>
  <c r="I21" i="17" a="1"/>
  <c r="I21" i="17" s="1"/>
  <c r="H21" i="17" a="1"/>
  <c r="H21" i="17" s="1"/>
  <c r="J19" i="17" a="1"/>
  <c r="J19" i="17" s="1"/>
  <c r="I19" i="17" a="1"/>
  <c r="I19" i="17" s="1"/>
  <c r="H19" i="17" a="1"/>
  <c r="H19" i="17" s="1"/>
  <c r="D32" i="17"/>
  <c r="J18" i="17" a="1"/>
  <c r="J18" i="17" s="1"/>
  <c r="I18" i="17" a="1"/>
  <c r="I18" i="17" s="1"/>
  <c r="H18" i="17" a="1"/>
  <c r="H18" i="17" s="1"/>
  <c r="E30" i="17" a="1"/>
  <c r="E30" i="17" s="1"/>
  <c r="J9" i="17" a="1"/>
  <c r="J9" i="17" s="1"/>
  <c r="I9" i="17" a="1"/>
  <c r="I9" i="17" s="1"/>
  <c r="H9" i="17" a="1"/>
  <c r="H9" i="17" s="1"/>
  <c r="D36" i="17" l="1"/>
  <c r="E38" i="17" s="1"/>
  <c r="G9" i="16"/>
  <c r="G10" i="16"/>
  <c r="G11" i="16"/>
  <c r="G12" i="16"/>
  <c r="G13" i="16"/>
  <c r="D38" i="17" l="1"/>
  <c r="G14" i="16"/>
  <c r="D19" i="16" l="1"/>
  <c r="E17" i="16" a="1"/>
  <c r="E17" i="16" s="1"/>
  <c r="J22" i="16" a="1"/>
  <c r="J22" i="16" s="1"/>
  <c r="I22" i="16" a="1"/>
  <c r="I22" i="16" s="1"/>
  <c r="H22" i="16" a="1"/>
  <c r="H22" i="16" s="1"/>
  <c r="J21" i="16" a="1"/>
  <c r="J21" i="16" s="1"/>
  <c r="I21" i="16" a="1"/>
  <c r="I21" i="16" s="1"/>
  <c r="H21" i="16" a="1"/>
  <c r="H21" i="16" s="1"/>
  <c r="J19" i="16" a="1"/>
  <c r="J19" i="16" s="1"/>
  <c r="I19" i="16" a="1"/>
  <c r="I19" i="16" s="1"/>
  <c r="H19" i="16" a="1"/>
  <c r="H19" i="16" s="1"/>
  <c r="J18" i="16" a="1"/>
  <c r="J18" i="16" s="1"/>
  <c r="I18" i="16" a="1"/>
  <c r="I18" i="16" s="1"/>
  <c r="H18" i="16" a="1"/>
  <c r="H18" i="16" s="1"/>
  <c r="J9" i="16" a="1"/>
  <c r="J9" i="16" s="1"/>
  <c r="I9" i="16" a="1"/>
  <c r="I9" i="16" s="1"/>
  <c r="H9" i="16" a="1"/>
  <c r="H9" i="16" s="1"/>
  <c r="D23" i="16" l="1"/>
  <c r="E25" i="16" s="1"/>
  <c r="J22" i="11" a="1"/>
  <c r="J22" i="11" s="1"/>
  <c r="I22" i="11" a="1"/>
  <c r="I22" i="11" s="1"/>
  <c r="H22" i="11" a="1"/>
  <c r="H22" i="11" s="1"/>
  <c r="J13" i="11" a="1"/>
  <c r="J13" i="11" s="1"/>
  <c r="I13" i="11" a="1"/>
  <c r="I13" i="11" s="1"/>
  <c r="H13" i="11" a="1"/>
  <c r="H13" i="11" s="1"/>
  <c r="J11" i="11" a="1"/>
  <c r="J11" i="11" s="1"/>
  <c r="I11" i="11" a="1"/>
  <c r="I11" i="11" s="1"/>
  <c r="H11" i="11" a="1"/>
  <c r="H11" i="11" s="1"/>
  <c r="D31" i="10"/>
  <c r="E29" i="10" a="1"/>
  <c r="E29" i="10" s="1"/>
  <c r="J22" i="10" a="1"/>
  <c r="J22" i="10" s="1"/>
  <c r="I22" i="10" a="1"/>
  <c r="I22" i="10" s="1"/>
  <c r="H22" i="10" a="1"/>
  <c r="H22" i="10" s="1"/>
  <c r="J13" i="10" a="1"/>
  <c r="J13" i="10" s="1"/>
  <c r="I13" i="10" a="1"/>
  <c r="I13" i="10" s="1"/>
  <c r="H13" i="10" a="1"/>
  <c r="H13" i="10" s="1"/>
  <c r="J11" i="10" a="1"/>
  <c r="J11" i="10" s="1"/>
  <c r="I11" i="10" a="1"/>
  <c r="I11" i="10" s="1"/>
  <c r="H11" i="10" a="1"/>
  <c r="H11" i="10" s="1"/>
  <c r="D27" i="9"/>
  <c r="J23" i="9" a="1"/>
  <c r="J23" i="9" s="1"/>
  <c r="I23" i="9" a="1"/>
  <c r="I23" i="9" s="1"/>
  <c r="H23" i="9" a="1"/>
  <c r="H23" i="9" s="1"/>
  <c r="J22" i="9" a="1"/>
  <c r="J22" i="9" s="1"/>
  <c r="I22" i="9" a="1"/>
  <c r="I22" i="9" s="1"/>
  <c r="H22" i="9" a="1"/>
  <c r="H22" i="9" s="1"/>
  <c r="J20" i="9" a="1"/>
  <c r="J20" i="9" s="1"/>
  <c r="I20" i="9" a="1"/>
  <c r="I20" i="9" s="1"/>
  <c r="H20" i="9" a="1"/>
  <c r="H20" i="9" s="1"/>
  <c r="J19" i="9" a="1"/>
  <c r="J19" i="9" s="1"/>
  <c r="I19" i="9" a="1"/>
  <c r="I19" i="9" s="1"/>
  <c r="H19" i="9" a="1"/>
  <c r="H19" i="9" s="1"/>
  <c r="J10" i="9" a="1"/>
  <c r="J10" i="9" s="1"/>
  <c r="I10" i="9" a="1"/>
  <c r="I10" i="9" s="1"/>
  <c r="H10" i="9" a="1"/>
  <c r="H10" i="9" s="1"/>
  <c r="D31" i="9" l="1"/>
  <c r="E33" i="9" s="1"/>
  <c r="D25" i="16"/>
  <c r="D35" i="10"/>
  <c r="D33" i="9" l="1"/>
  <c r="E37" i="10"/>
  <c r="D37" i="10"/>
</calcChain>
</file>

<file path=xl/sharedStrings.xml><?xml version="1.0" encoding="utf-8"?>
<sst xmlns="http://schemas.openxmlformats.org/spreadsheetml/2006/main" count="778" uniqueCount="360">
  <si>
    <t>Size</t>
  </si>
  <si>
    <t>VAF Rating</t>
  </si>
  <si>
    <t>Dhara - GM PIU User</t>
  </si>
  <si>
    <t>Login Screen</t>
  </si>
  <si>
    <t>Data Communications</t>
  </si>
  <si>
    <t>Habitation Mapping (OHT-wise)</t>
  </si>
  <si>
    <t>Distributed Data Processing</t>
  </si>
  <si>
    <t>Component Assignment to FE</t>
  </si>
  <si>
    <t>Performance</t>
  </si>
  <si>
    <t>CWGM/CWPM Mapping</t>
  </si>
  <si>
    <t>Heavily used Configuration</t>
  </si>
  <si>
    <t>Dhara - Admin/Contractor</t>
  </si>
  <si>
    <t>Month-wise Open/Close - Intake</t>
  </si>
  <si>
    <t>Transaction Rate</t>
  </si>
  <si>
    <t>Month-wise Open/Close - OHT</t>
  </si>
  <si>
    <t>Online Data Entry</t>
  </si>
  <si>
    <t>Month-wise Open/Close - WTP</t>
  </si>
  <si>
    <t>End-User Efficiency</t>
  </si>
  <si>
    <t>Month-wise Open/Close - Bulk User</t>
  </si>
  <si>
    <t>Online Update</t>
  </si>
  <si>
    <t>Dhara - FE Mobile</t>
  </si>
  <si>
    <t>Complex Processing</t>
  </si>
  <si>
    <t>Meter Survey Update</t>
  </si>
  <si>
    <t>Reusability</t>
  </si>
  <si>
    <t>Dhara - Admin</t>
  </si>
  <si>
    <t>WTP Meter Configuration</t>
  </si>
  <si>
    <t>Installation Ease</t>
  </si>
  <si>
    <t>Dhara - GM PIU/TL</t>
  </si>
  <si>
    <t>Village Habitation Mapping (OHT)</t>
  </si>
  <si>
    <t>Operational Ease</t>
  </si>
  <si>
    <t>Dhara - Admin/Contractor Report</t>
  </si>
  <si>
    <t>Water Supply Reports (DWSR, MWSR, Scheme, Village, UFW)</t>
  </si>
  <si>
    <t>Multiple Sites</t>
  </si>
  <si>
    <t>Factor</t>
  </si>
  <si>
    <t>Rating</t>
  </si>
  <si>
    <t>Facilitate Change</t>
  </si>
  <si>
    <t>Low</t>
  </si>
  <si>
    <t>High</t>
  </si>
  <si>
    <t>Productivity</t>
  </si>
  <si>
    <t>Sahbhagita - Contractor/GM</t>
  </si>
  <si>
    <t>Sahbhagita - GM</t>
  </si>
  <si>
    <t>Report View Changes (Village-wise Triggers)</t>
  </si>
  <si>
    <t>Sahbhagita - PM</t>
  </si>
  <si>
    <t>Sopan - Contractor Web Interface</t>
  </si>
  <si>
    <t>Sopan - Contractor Mobile App</t>
  </si>
  <si>
    <t>Sopan - GM Module</t>
  </si>
  <si>
    <t>Sopan - GM Reports</t>
  </si>
  <si>
    <t>Sopan - GM Document Upload</t>
  </si>
  <si>
    <t>Sopan - System Integration</t>
  </si>
  <si>
    <t>Unit</t>
  </si>
  <si>
    <t>O&amp;M Billing - GM</t>
  </si>
  <si>
    <t>O&amp;M Billing - Contractor</t>
  </si>
  <si>
    <t>O&amp;M Billing - GM PIU/SQC</t>
  </si>
  <si>
    <t>O&amp;M Billing - Workflow</t>
  </si>
  <si>
    <t>O&amp;M Billing - PMC</t>
  </si>
  <si>
    <t>O&amp;M Billing - Change Request</t>
  </si>
  <si>
    <t>Bharosa - Factory Testing Web</t>
  </si>
  <si>
    <t>Bharosa - Factory Testing Mobile</t>
  </si>
  <si>
    <t>Bharosa - System Integration</t>
  </si>
  <si>
    <t>Type Of work</t>
  </si>
  <si>
    <t>New Development</t>
  </si>
  <si>
    <t>Project Name</t>
  </si>
  <si>
    <t>Remark</t>
  </si>
  <si>
    <t>Volume/Count of elements</t>
  </si>
  <si>
    <t>Guidelines</t>
  </si>
  <si>
    <t>Module + sub MOdule</t>
  </si>
  <si>
    <t>Functionality ( Sub Module)</t>
  </si>
  <si>
    <t>Elements (Refer Guidelines and Put here for reference)</t>
  </si>
  <si>
    <t>Low Complexity</t>
  </si>
  <si>
    <t>Medium compexity</t>
  </si>
  <si>
    <t>High Complexity</t>
  </si>
  <si>
    <t xml:space="preserve"> Size</t>
  </si>
  <si>
    <t>1*1+3*1+5*0 =4</t>
  </si>
  <si>
    <t>Value added factors</t>
  </si>
  <si>
    <t>Total Size</t>
  </si>
  <si>
    <t>Total</t>
  </si>
  <si>
    <t>Point</t>
  </si>
  <si>
    <t>Effort</t>
  </si>
  <si>
    <t>Man hours</t>
  </si>
  <si>
    <t>VAF</t>
  </si>
  <si>
    <t>Risk contingency</t>
  </si>
  <si>
    <t>Project Management</t>
  </si>
  <si>
    <t>Total effort</t>
  </si>
  <si>
    <t>Permissible Range(Man hours)</t>
  </si>
  <si>
    <t>CMMIL5 Documentation</t>
  </si>
  <si>
    <t>WTP Report Parameter Changes</t>
  </si>
  <si>
    <t>CMMIL5 Document creation/Meeting</t>
  </si>
  <si>
    <t>Date</t>
  </si>
  <si>
    <t>Version</t>
  </si>
  <si>
    <t xml:space="preserve">Description </t>
  </si>
  <si>
    <t>Prepared by</t>
  </si>
  <si>
    <t>Reviewed &amp; approved by</t>
  </si>
  <si>
    <t>Size base Estimation Model First baseline</t>
  </si>
  <si>
    <t xml:space="preserve">SEPG Team </t>
  </si>
  <si>
    <t xml:space="preserve">SEPG Head </t>
  </si>
  <si>
    <t>Estimation Elements</t>
  </si>
  <si>
    <t>Enhancement and customization</t>
  </si>
  <si>
    <t xml:space="preserve">Web Page / Screen with no of input fields </t>
  </si>
  <si>
    <t>Type of exit scenario</t>
  </si>
  <si>
    <t>No of Validation on the fields</t>
  </si>
  <si>
    <t>No of Prefilled fields</t>
  </si>
  <si>
    <t xml:space="preserve">No of API Integrations </t>
  </si>
  <si>
    <t>No API integrations for saving the data</t>
  </si>
  <si>
    <t>Queries or Business rules for the application</t>
  </si>
  <si>
    <t>No of Integration</t>
  </si>
  <si>
    <t>mobile App-UI</t>
  </si>
  <si>
    <t>Data Migration</t>
  </si>
  <si>
    <t>Reports</t>
  </si>
  <si>
    <t>Complexity</t>
  </si>
  <si>
    <t>Type of work</t>
  </si>
  <si>
    <t xml:space="preserve">5 - Very Strong Influence </t>
  </si>
  <si>
    <t>Medium</t>
  </si>
  <si>
    <t xml:space="preserve">4 - Strong Influence </t>
  </si>
  <si>
    <t>3 - Average Influence</t>
  </si>
  <si>
    <t>Complex</t>
  </si>
  <si>
    <t>2 - Moderate Influence</t>
  </si>
  <si>
    <t>1- Slight Influence</t>
  </si>
  <si>
    <t xml:space="preserve">0 - No Influence </t>
  </si>
  <si>
    <t>Effort Distribution Guidelines</t>
  </si>
  <si>
    <t>Effort Distribution</t>
  </si>
  <si>
    <t>Cost</t>
  </si>
  <si>
    <t>Min</t>
  </si>
  <si>
    <t>Max</t>
  </si>
  <si>
    <t xml:space="preserve">Business Analyst </t>
  </si>
  <si>
    <t>Solution Architecht</t>
  </si>
  <si>
    <t>Developer / Data Scientist</t>
  </si>
  <si>
    <t>Tester</t>
  </si>
  <si>
    <t>Project Manager</t>
  </si>
  <si>
    <t>Infrastructure Setup</t>
  </si>
  <si>
    <t xml:space="preserve">Calculated Productivity </t>
  </si>
  <si>
    <t>Targated Productivity</t>
  </si>
  <si>
    <t xml:space="preserve">Development &amp; Enhancement </t>
  </si>
  <si>
    <t>Point / per hour</t>
  </si>
  <si>
    <t>1  Point</t>
  </si>
  <si>
    <t>Work Type</t>
  </si>
  <si>
    <t xml:space="preserve">Component </t>
  </si>
  <si>
    <t xml:space="preserve">High </t>
  </si>
  <si>
    <t xml:space="preserve">Development </t>
  </si>
  <si>
    <t>10-15</t>
  </si>
  <si>
    <t>&gt; 15</t>
  </si>
  <si>
    <r>
      <rPr>
        <b/>
        <sz val="10"/>
        <color theme="1"/>
        <rFont val="Aptos Display"/>
      </rPr>
      <t>Elements</t>
    </r>
    <r>
      <rPr>
        <sz val="10"/>
        <color theme="1"/>
        <rFont val="Aptos Display"/>
      </rPr>
      <t xml:space="preserve">
Label
Graph
Tile
Grid
Pop-up
Drop Down
Data Entery Field
Button
Custom Built element</t>
    </r>
  </si>
  <si>
    <t xml:space="preserve">
</t>
  </si>
  <si>
    <t>1 to 2</t>
  </si>
  <si>
    <t>&gt;3</t>
  </si>
  <si>
    <t>label</t>
  </si>
  <si>
    <t>text box</t>
  </si>
  <si>
    <t xml:space="preserve">1 to 5 </t>
  </si>
  <si>
    <t xml:space="preserve">5 To 10 </t>
  </si>
  <si>
    <t>&gt;10</t>
  </si>
  <si>
    <t>button</t>
  </si>
  <si>
    <t>10 to 30</t>
  </si>
  <si>
    <t>30 to 50</t>
  </si>
  <si>
    <t>&gt;50</t>
  </si>
  <si>
    <t>drop down</t>
  </si>
  <si>
    <t>2 to 5</t>
  </si>
  <si>
    <t xml:space="preserve">&gt; 5 </t>
  </si>
  <si>
    <t>checkbox</t>
  </si>
  <si>
    <t>3 to 5</t>
  </si>
  <si>
    <t>&gt;5</t>
  </si>
  <si>
    <t>aadhar</t>
  </si>
  <si>
    <t>No validation or business rules. One data store</t>
  </si>
  <si>
    <t>No validation or business rules. Up to 3 data stores</t>
  </si>
  <si>
    <t>Validation or business rules involved. Multiple data stores</t>
  </si>
  <si>
    <t>samagra integration</t>
  </si>
  <si>
    <t>report</t>
  </si>
  <si>
    <t>Static screen</t>
  </si>
  <si>
    <t xml:space="preserve">Screen with 2-4 internal components
</t>
  </si>
  <si>
    <t xml:space="preserve">Screen with external components
</t>
  </si>
  <si>
    <t>MObile app</t>
  </si>
  <si>
    <t xml:space="preserve">Master Table </t>
  </si>
  <si>
    <t>Table with data errors and involves Data validation and cleansing</t>
  </si>
  <si>
    <t>Table with relationship with data errors and requires data validation and cleansing</t>
  </si>
  <si>
    <t xml:space="preserve">submit </t>
  </si>
  <si>
    <t>tabular report. &lt;10 columns.
1 data source
Elements( Table, PIE chart, 
Report count: 1-2</t>
  </si>
  <si>
    <t>2-3 data source. Simple (Pie/Bar) chart
Elements( Stack,Line etc.)
Report type: 3-5</t>
  </si>
  <si>
    <t>&gt;3 data source. Multiple complex graphs
Elements( Doughnut, Trend analysis etc.)
Report type: More than 5</t>
  </si>
  <si>
    <t>clear</t>
  </si>
  <si>
    <t>reset</t>
  </si>
  <si>
    <r>
      <rPr>
        <b/>
        <sz val="10"/>
        <color theme="1"/>
        <rFont val="Aptos Display"/>
      </rPr>
      <t>Code element</t>
    </r>
    <r>
      <rPr>
        <sz val="10"/>
        <color theme="1"/>
        <rFont val="Aptos Display"/>
      </rPr>
      <t xml:space="preserve">
Data Tranformation
Data Pre-processing
Custom Build element
API creation for UI\UX
API Integration</t>
    </r>
  </si>
  <si>
    <t xml:space="preserve">7.08 Hours </t>
  </si>
  <si>
    <t>Module + sub Module</t>
  </si>
  <si>
    <t>FHTC – FE Reports</t>
  </si>
  <si>
    <t>FE login to FHTC module</t>
  </si>
  <si>
    <t>FHTC – Change Request</t>
  </si>
  <si>
    <t>Contractor updates tap connection with photograph and sends to GM</t>
  </si>
  <si>
    <t>Total Count</t>
  </si>
  <si>
    <t>Visit each village household and capture data via API
Capture tap status, details and upload beneficiary &amp; tap photos</t>
  </si>
  <si>
    <t xml:space="preserve">API whitelisting and security control
NIC API Integration </t>
  </si>
  <si>
    <t>No of input fields: 4
Type of exit scenario: 1
No of Validation on the fields: 3
mobile App‑UI: Static login screen</t>
  </si>
  <si>
    <t>Send  rejected connections to GM &amp; contractor. Accepted connections to GM
HSC Report including mandatory beneficiary photo and complete details</t>
  </si>
  <si>
    <t>No of input fields: 10–15 (filters + 8–10 entry fields) 
Type of exit scenario: 2 (Save/Submit, Cancel) 
No of Validation on the fields: 5–10 (mandatory + GPS + status) 
 No of Prefilled fields: 10–30 (from API) 
No of API Integrations: 3–4 (household list, GPS, sync, queue) 
mobile App‑UI: Screen with 2–4 internal components (list, form, GPS)
Data Migration: Local‑to‑server sync only</t>
  </si>
  <si>
    <t>No of input fields: 10 
Type of exit scenario: 1
No of Validation on the fields: 5–10 (IP format, uniqueness) 
No of Prefilled fields: 10–30 (existing rules) 
No of API Integrations: 2–5 (auth, gateway, log) 
Queries or Business rules: Security/whitelisting rules across multiple stores (API gateway, security DB, logs)</t>
  </si>
  <si>
    <t>No of input fields: 10 beneficiary fields
Type of exit scenario: 1
No of Validation on the fields: 5–10 (form + photo rules) 
No of Prefilled fields: 10–30 (beneficiary defaults)
No of API Integrations: 3–4 (photo upload, compression, save)
1 HSC Report with details</t>
  </si>
  <si>
    <t>Integrate Samagra API instead of NIC
Update mobile APK to integrate Samagra API
Fill updated HSC Report entries with new fields</t>
  </si>
  <si>
    <t>No of input fields: &lt;10 (config) 
Type of exit scenario: 2
No of Validation on the fields: 5
No of API Integrations: 5 (Samagra main, auth, retries, monitoring/mapping)
No of Integration: &gt;5 (Samagra, NIC, core DB, logs, monitoring)
Data Migration: One‑time mapping adjustments only 
1 HSC Report details updated</t>
  </si>
  <si>
    <t>No of input fields: &lt;10 (config) 
Type of exit scenario: 2
No of Validation on the fields: 5
No of Prefilled fields: 10–30 (existing details)
No of API Integrations: 2(update, notify GM)</t>
  </si>
  <si>
    <t>Total Planned effort</t>
  </si>
  <si>
    <t>GM Login &amp; Basic Details</t>
  </si>
  <si>
    <t>Advance Form with SLBM Features</t>
  </si>
  <si>
    <t>Scheme Status &amp; Financial Calculation &amp;
Scheme Assignment to Contractor</t>
  </si>
  <si>
    <t>Document Upload &amp; Data Fetch from Dhara/Nirmal</t>
  </si>
  <si>
    <t>Contractor generate Bill.
GM PIU or SQC Edit it and forward to GM of O&amp;M then to PMC.
All can check remarks then forward to Deputy Manager will only processs final bill amount with further remarks.
PMC recommendations letter annexure duly verified</t>
  </si>
  <si>
    <t>Contractor Basic &amp; Advance Details
Financial Calculations as per CPI</t>
  </si>
  <si>
    <t xml:space="preserve">Bill Generation with PIU &amp; SQC Pages
Manpower &amp; Residual Pressure SP
Bulk User Mapping &amp; Net Payable Bill
</t>
  </si>
  <si>
    <t>RA Bill Processing with RM &amp; Village Mapping
Dhara Water Supply Integration</t>
  </si>
  <si>
    <t>Edit Bill &amp; Forward Workflow</t>
  </si>
  <si>
    <t>Higher Official Approval Flow</t>
  </si>
  <si>
    <t>Establish GM-Contractor-Official Flow</t>
  </si>
  <si>
    <t>Edit &amp; Resend to PIU GM then Contractor</t>
  </si>
  <si>
    <t>RA Bill Data Retrieval &amp; Test Data Preparation
RA Bill Month Increment Logic</t>
  </si>
  <si>
    <t>PMC Recommendations Letter Verification</t>
  </si>
  <si>
    <t>Save as Draft Functionality
Census Population Location Hierarchy Correction</t>
  </si>
  <si>
    <t>"Other" Option in SLBM Norms &amp; Penalty
Penalty Label &amp; Radio Button Changes</t>
  </si>
  <si>
    <t>CPI-W Increment Type &amp; Yearly Calculation Changes
Scheme Status Section with View Document &amp; O&amp;M Dates</t>
  </si>
  <si>
    <t>GST Services Option for O&amp;M
Document Upload Yes/No with Screen Freeze</t>
  </si>
  <si>
    <t>Screen (18 fields): SLBM sections (Quality, Quantity, Pressure, UFW, Complaint), Norms dropdown, Penalty dropdown, Scheme status fields • Exit scenarios: 2 (Save, Draft) • Validations: 8 (SLBM rules, CPI validations, scheme-contractor mapping, UFW calculations) • Prefilled: 25 (scheme master data, last submission, contractor history) • API integrations: 3 (Scheme service, CPI lookup, Contractor service) • API save: 2 (SLBM data, Status updates) • Business rules: Complex CPI-based calculations, scheme eligibility across 3 data stores • Integration: 3 (Scheme, CPI, Contractor DBs) • Reports: None</t>
  </si>
  <si>
    <t>Dashboard screen (4 internal components): Status widget, CPI calculator, Bill computation grid, Eligibility matrix • Exit scenarios: 2 (View, Export) • Validations: 6 (CPI factor validation, historical comparisons, month-year consistency) • Prefilled: 40 (scheme data, historical CPI, previous bills) • API integrations: 4 (Scheme, CPI history, Bill archive, Eligibility engine) • API save: 1 (Audit trail only) • Business rules: Multi-period financial logic across scheme &amp; bill stores • Integration: 4 points • Reports: 1 financial summary report (tabular, &lt;10 columns)</t>
  </si>
  <si>
    <t>Screen with external components: File upload widget (accepts PDF/DOC/XLS max 10MB), Dhara integration panel, Nirmal integration panel • Exit scenarios: 2 (Upload, Sync) • Validations: 8 (file format, size, virus scan, data format consistency, relationship validation) • Prefilled: 30 (document history, previous sync data) • API integrations: 5 (Document store, Dhara portal, Nirmal portal, virus scanner, data mapper) • API save: 3 (Document store, Audit, Data reconciliation) • Business rules: Data relationship validation across Dhara &amp; Nirmal multiple data stores • Integration: 5+ (APIs, Storage, Audit, Mapping engine) • Reports: 1 data sync audit report (2-3 columns)</t>
  </si>
  <si>
    <t>Screen with 4 internal components: Bill header, PIU details section, SQC details section, PDF preview • Exit scenarios: 2 (Submit, Save draft) • Validations: 10 (PIU data completeness, SQC compliance, bill amount consistency) • Prefilled: 40 (scheme details, rates, manpower data, norms) • API integrations: 4 (PIU service, SQC template, PDF generator, Bill archive) • API save: 3 (Bill draft, Submission log, PDF storage) • Business rules: Validation &amp; business rules across multiple data stores (scheme, rates, template) • Integration: 4 • Reports: 1 bill summary report (tabular + pie chart)</t>
  </si>
  <si>
    <t>Screen with external components: RM-Village mapping grid (20 rows), Management norms dropdown, Compliance checklist • Exit scenarios: 2 (Process, Revert) • Validations: 9 (village mapping consistency, norms applicability, compliance rules) • Prefilled: 50 (RM master, village list, norms for 147 schemes) • API integrations: 5 (RM service, Village service, Norms master, RA bill engine, Compliance checker) • API save: 2 (RA bill records, Compliance log) • Business rules: Compliance validation across multiple data stores (RM, village, norms) • Integration: 5 • Reports: 1 compliance checklist report (table)</t>
  </si>
  <si>
    <t>Screen (27 fields): Basic (10 fields), Advance (15 fields), Document attachments (3 docs) • Exit scenarios: 2 (Submit, Draft) • Validations: 8 (PAN format, GST validity, bank account validation, document verification) • Prefilled: 30 (contractor master, previous submissions, bank details) • API integrations: 3 (Contractor master, Document service, Validation service) • API save: 2 (Contractor profile, Document store) • Business rules: No complex validation (single data store) • Integration: 3 • Reports: None</t>
  </si>
  <si>
    <t>Screen with 4 internal components: Bill editor, Remarks section, Workflow status tracker, Approval buttons • Exit scenarios: 3 (Approve, Reject, Send back) • Validations: 8 (Bill amount consistency, remarks requirement, authority level) • Prefilled: 35 (current bill, previous remarks, user role) • API integrations: 4 (Bill service, Workflow engine, Notification service, Audit logger) • API save: 3 (Bill amendments, Remarks log, Status update) • Business rules: Validation &amp; authority-based rules across multiple data stores • Integration: 4 • Reports: None</t>
  </si>
  <si>
    <t>Dashboard screen (3 internal components): Workflow queue, Remarks display, Approval controls • Exit scenarios: 3 (Approve, Reject, Escalate) • Validations: 6 (approval authority, bill completeness, MD override rules) • Prefilled: 30 (pending bills, role configuration, notification preferences) • API integrations: 3 (Workflow engine, Bill service, Email service) • API save: 2 (Approval log, Status update) • Business rules: Authority-based approval logic (single data store) • Integration: 3 • Reports: 1 approval audit report (tabular)</t>
  </si>
  <si>
    <t>Workflow engine component: Status transition matrix, Role-based routing rules, Notification templates • Exit scenarios: 4 (Draft → Submit → Approve → Process) • Validations: 8 (role-based access, status transitions, mandatory fields per stage) • Prefilled: 40 (workflow templates, role definitions, notification templates) • API integrations: 5 (Bill service, User service, Notification engine, Audit logger, Status tracker) • API save: 3 (Status records, Audit trail, Notification history) • Business rules: Complex multi-stage workflow with validation across multiple data stores • Integration: 5+ • Reports: 1 workflow audit trail (line chart tracking)</t>
  </si>
  <si>
    <t>Database backend component: om_ra_bill table structure, Data retrieval queries, Test data generation scripts • Exit scenarios: 2 (Generate, Validate) • Validations: 6 (data integrity, foreign key consistency, backup validation) • Prefilled: 30 (existing test data, backup references, query templates) • API integrations: 3 (Database service, Backup service, Validation engine) • API save: 1 (Test data, Backup records) • Business rules: Data validation &amp; relationship checks (single data store) • Integration: 3 • Reports: 1 data integrity report (tabular, &lt;10 columns)</t>
  </si>
  <si>
    <t>Screen (2 internal components): Edit panel, Resend workflow controls • Exit scenarios: 2 (Resend, Cancel) • Validations: 5 (edit authority, resend path validation, version control) • Prefilled: 25 (current bill version, edit history, resend templates) • API integrations: 3 (Bill service, Workflow engine, Version control) • API save: 2 (Bill edit, Version record) • Business rules: No complex rules (single data store) • Integration: 3 • Reports: None</t>
  </si>
  <si>
    <t>Screen (2 internal components): Recommendations letter display, Verification checklist • Exit scenarios: 2 (Verify, Reject) • Validations: 4 (signature validation, checklist completion, document completeness) • Prefilled: 20 (letter template, previous verifications, checklist) • API integrations: 2 (Letter service, Verification logger) • API save: 1 (Verification record) • Business rules: No complex rules (single data store) • Integration: 2 • Reports: 1 verification summary report (tabular)</t>
  </si>
  <si>
    <t>Screen (1 main component): Form with Draft button, Auto-save timer display • Exit scenarios: 2 (Save, Auto-save) • Validations: 3 (draft data completeness, storage validation) • Prefilled: 15 (previous draft, form context) • API integrations: 2 (Draft storage, Session service) • API save: 1 (Draft data with metadata) • Business rules: Draft expiry, auto-save interval (single data store) • Integration: 2 • Reports: None</t>
  </si>
  <si>
    <t>Screen (3 fields): Norms dropdown with "Other" option, Penalty dropdown with "Other" option, Custom text field (conditional display) • Exit scenarios: 2 (Submit, Cancel) • Validations: 4 (custom text validation, dropdown selection) • Prefilled: 20 (existing SLBM values, custom history) • API integrations: 2 (SLBM service, Custom value logger) • API save: 1 (SLBM records with custom values) • Business rules: No complex rules (single data store) • Integration: 2 • Reports: None</t>
  </si>
  <si>
    <t>Screen (4 fields): CPI-W factor dropdown, Increment type selector (Fixed/Variable), Yearly calculation formula, Historical CPI-W data display • Exit scenarios: 2 (Calculate, Reset) • Validations: 6 (CPI-W format, formula syntax, historical data consistency) • Prefilled: 35 (CPI-W history, calculation templates, previous increments) • API integrations: 4 (CPI-W master, Calculation engine, Historical data service, Validation service) • API save: 2 (CPI-W selections, Calculation results) • Business rules: Validation &amp; calculation across multiple data stores (CPI-W, rates, history) • Integration: 4 • Reports: 1 calculation comparison report (line chart, 2-3 data sources)</t>
  </si>
  <si>
    <t>Screen (3 fields): GST checkbox, GST rate dropdown (4 options: 5%, 12%, 18%, 28%), GST invoice preview • Exit scenarios: 2 (Apply, Cancel) • Validations: 4 (GST applicability rules, rate selection, invoice consistency) • Prefilled: 15 (previous GST choice, applicable rates) • API integrations: 2 (GST master, Invoice generator) • API save: 1 (GST choice) • Business rules: No complex rules (single data store) • Integration: 2-3 • Reports: 1 GST compliance report (tabular, &lt;10 columns)</t>
  </si>
  <si>
    <t xml:space="preserve">Screen with 4+ internal components: Bill header, PIU section (8 fields), SQC section (8 fields), Manpower grid (12 fields + residual pressure readings), Bulk user mapping grid (village-wise), PDF preview • Exit scenarios: 2 (Submit, Draft) • Validations: 12–15 (PIU completeness, SQC compliance, bill consistency, manpower format, pressure range, mapping validation, UFW deduction) • Prefilled: 40–50 (scheme details, rates, manpower history, norms, bulk user list from APIs) • API integrations: 5–6 (PIU, SQC template, Manpower service, Bulk user, Penalty calculator, PDF generator) • API save: 4–5 (Bill draft, Submission log, Manpower records, Mapping records, PDF) • Business rules: Validation &amp; business rules across multiple data stores (scheme, rates, norms, bulk users) • Mobile App-UI: Screen with 2–4 internal components (Bill form, PIU section, SQC section, Manpower grid, User mapping) • Data Migration: Not applicable • Reports: 1 billing summary report (stacked bar chart, 2–3 data sources)
Screen 2 internal components: Recommendations letter display (PDF/text viewer), Verification checklist (3–5 checkpoints: signature, format, completeness) • Exit scenarios: 2 (Verify, Reject) • Validations: 4–5 (signature validation, checklist completion, document completeness, format compliance) • Prefilled: 15–20 (letter template, previous verifications, checklist items from APIs) • API integrations: 2–3 (Letter service, Verification logger, Audit logger) • API save: 1–2 (Verification record, Audit log) • Business rules: No complex logic (single data store) • Mobile App-UI: Screen with 2–4 internal components (Letter viewer, Checklist widget, Verification buttons, History) • Data Migration: Not applicable • Reports: 1 verification summary report (tabular, &lt;10 columns)
</t>
  </si>
  <si>
    <t>Add New Vendor to Empanelled List</t>
  </si>
  <si>
    <t>Create API and Service for Inspector</t>
  </si>
  <si>
    <t>View Factory Testing Summary Dashboard</t>
  </si>
  <si>
    <t>Generate Compliance Reports</t>
  </si>
  <si>
    <t>Inspector Login to Factory Testing</t>
  </si>
  <si>
    <t>Fetch Component Details</t>
  </si>
  <si>
    <t>Fill Details on Mobile App</t>
  </si>
  <si>
    <t>Upload Doc, Images, and Videos</t>
  </si>
  <si>
    <t>Increased Count of Inspector</t>
  </si>
  <si>
    <t>Bharosa Module Integration</t>
  </si>
  <si>
    <t>Screen 6 fields (Emp Id, User Name, Password, Submit, Forgot buttons) • Exit: 2 (Login, Cancel) • Validations: 4 (format, session timeout, role-based access, password) • Prefilled: 2 (PIU, Department) • APIs: 2 (Auth, Profile) • Business rules: Session management (1 store) • UI: Static screen • Reports: 1 audit report</t>
  </si>
  <si>
    <t>Screen 18 fields (Vendor details: 10 basic + 8 category fields) • Exit: 2 (Submit, Reject) • Validations: 8 (GST, PAN, email, phone, document type) • Prefilled: 15 (vendor categories, document templates) • APIs: 4 (Vendor service, Validation service, Document store, Approval workflow) • Business rules: Vendor approval logic (3 stores) • UI: Screen with 3 internal components (form, document upload, approval tracker) • Reports: 1 vendor compliance report</t>
  </si>
  <si>
    <t>API insert inspector • API get inspector list • API update inspector • Service layer for business logic • Database integration • Error handling • Exit: 2 (Process, Revert) • Validations: 6 (data format, relationship integrity) • Prefilled: 20 (previous submissions, defaults) • APIs: 5 (Insert, Get, Update, Error handler, Audit logger) • Business rules: Data consistency (2 stores) • Reports: 1 API audit report</t>
  </si>
  <si>
    <t>Dashboard 5 fields (KPI widgets, Component summary, Vendor performance, Filter, Export) • Exit: 2 (View, Export) • Validations: 4 (date range, selection validation) • Prefilled: 25 (KPI defaults, last filters) • APIs: 3 (Dashboard service, Filter service, Summary service) • Business rules: KPI calculation logic (2 stores) • UI: Screen with 4 internal components (KPI widgets, charts, filters) • Reports: 2 summary reports (tabular &amp; pie chart) with 2 data sources</t>
  </si>
  <si>
    <t>Screen 8 fields (Report template selector, batch option, signature field, retention settings) • Exit: 2 (Generate, Cancel) • Validations: 6 (template validation, batch selection, signature verification) • Prefilled: 20 (templates, signature defaults) • APIs: 5 (Report generator, Digital signature service, Archive service, Batch processor, Audit logger) • Business rules: Compliance validation &amp; archival logic (3 stores) • UI: Screen with 3 internal components (template selector, batch grid, signature panel) • Reports: 3 compliance reports (tabular, certificate, batch summary) with 3 data sources</t>
  </si>
  <si>
    <t>Screen 5 fields (Emp Id, Password, Remember, Sync status, Offline indicator) • Exit: 2 (Login, Cancel) • Validations: 3 (credentials, offline cache, sync) • Prefilled: 8 (last user, offline data) • APIs: 3 (Auth service, Offline cache, Sync service) • Business rules: Offline authentication (2 stores) • UI: Mobile static screen • Data Migration: Offline cache table • Reports: 1 mobile login audit report</t>
  </si>
  <si>
    <t>Screen 6 fields (Component list, Filter by inspector, Type, Sub-type, Vendor, Test params) • Exit: 2 (View, Refresh) • Validations: 4 (inspector assignment, data availability) • Prefilled: 20 (assigned components, test parameters) • APIs: 3 (Component list service, Offline cache, Refresh service) • Business rules: Component assignment validation (2 stores) • UI: Mobile screen with 3 internal components (list, filter, details) • Reports: 1 assignment report</t>
  </si>
  <si>
    <t>Screen 20 fields (Inspector form: 10 fields + Component form: 10 fields) • Exit: 2 (Submit, Draft) • Validations: 10 (field formats, parameter ranges, form consistency) • Prefilled: 35 (inspector details, test parameters, norms) • APIs: 4 (Inspector service, Component service, Validation service, Save service) • Business rules: Test parameter validation &amp; pass/fail logic (3 stores) • UI: Mobile screen with 3 internal components (inspector form, component form, status) • Reports: 1 test result report</t>
  </si>
  <si>
    <t>Screen 8 fields (Document upload, Image multi-upload, Video upload, Compression, Progress, Storage) • Exit: 2 (Submit, Cancel) • Validations: 8 (file format, size limits, virus scan, compression status) • Prefilled: 15 (upload templates, file size limits, storage paths) • APIs: 6 (Document store, Image processor, Video processor, Compression engine, Virus scanner, Progress tracker) • Business rules: File validation &amp; compression logic (3 stores) • UI: Mobile screen with external components (upload widget, progress bar, storage indicator) • Data Migration: File storage table with cleanup • Reports: 2 storage &amp; upload audit reports with line charts (3 data sources)</t>
  </si>
  <si>
    <t>Screen 15 fields (Inspector master table, Add form: 12 fields, Role assignment, Activation toggle, Count dashboard) • Exit: 3 (Add, Update, Deactivate) • Validations: 6 (inspector ID uniqueness, role validity) • Prefilled: 20 (role templates, inspector status) • APIs: 4 (Inspector master service, Role assignment service, Activation service, Count dashboard service) • Business rules: Role-based access &amp; activation logic (2 stores) • UI: Screen with 4 internal components (master table, add form, role selector, count widget) • Reports: 1 inspector count &amp; role report</t>
  </si>
  <si>
    <t>API integration with Master module (Component master) • API integration with Sopan (OHT/WTP/IPS) • Data mapping logic • Error handling • Real-time sync • Exit: 2 (Sync, Validate) • Validations: 8 (data consistency, relationship integrity, format compliance) • Prefilled: 40 (mapping templates, sync rules) • APIs: 6 (Master API, Sopan API, Data mapper, Sync engine, Error handler, Audit logger) • Business rules: Complex data relationship &amp; real-time sync logic (4 stores) • Reports: 3 integration audit reports with multiple complex charts (4 data sources)</t>
  </si>
  <si>
    <t>Meter Reading Modification</t>
  </si>
  <si>
    <t>TOTAL DHARA CR ESTIMATION</t>
  </si>
  <si>
    <t>No of input fields: &lt;10; Exit scenario: 1; No of screens: &lt;10; 1 data source; Static UI</t>
  </si>
  <si>
    <t>User, Scheme, Component dropdown, Assign button, Search Field, Report table with 8 columns; No of input fields: &lt;10; Exit scenario: 1; No of Validations: &gt;5; Report Column: 8; Mobile Screen View: 2-4 internal components</t>
  </si>
  <si>
    <t>FE dropdown, Assistant Eng dropdown, FE/Assistant Eng selection, Scheme, Component, Assign button, Search functionality; No. of input fields: 6; No. of exit: 2; No of Validations: 3; Authorization rules</t>
  </si>
  <si>
    <t>Scheme dropdown, Component dropdown, Block selection, Search button, Reset button, Search input field, Report table with 10 columns, ADD NEW window (13 fields); No. of input fields: 4; No. of exit scenario: 2; No of Validations: 3; ADD NEW window (No. of input fields: 13; No. of exit scenario: 1; No of Validations: 2); Inside/Outside scheme village logic</t>
  </si>
  <si>
    <t>Scheme dropdown, From Survey Date picker, To Survey Date picker, Search button, Reset button, Search input field, Export to Excel button, Report Table with 13 columns; No. of input fields: 4; No. of exit: 2; Report Column: 13; Mobile Screen View: 2-4 internal components; No of Validations: &lt;5; Month-wise workflow; Approval rules</t>
  </si>
  <si>
    <t>Scheme dropdown, Component Name dropdown, Village Name dropdown, From Survey Date picker, To Survey Date picker, Search button, Reset button, Search input, Export to Excel button, Report table with 24 columns; No. of input field: 6; No. of exit: 2; Report table: 24 column; Mobile Screen View: 2-4 internal components; No of Validations: &lt;5; Approval/Fill workflow; Data locking rules</t>
  </si>
  <si>
    <t>Scheme dropdown, From Survey Date picker, To Survey Date picker, Search button, Reset button, Report Table with 14 columns; No. of input fields: 3; No. of exits: 2; Report table: 14 column; No of Validations: 3; Month-wise workflow; Status update rules</t>
  </si>
  <si>
    <t>Scheme dropdown, Month selector, Search button, Report Table with 8 columns; No. of input fields: 3; No. of exits: 2; Report table: 8 column; No of Validations: 3; Aggregation logic</t>
  </si>
  <si>
    <t>Mobile form with meter parameters (Meter functional, Meter not functional, Meter replace, No water supply); Default value selection; Validation rules; Offline cache support; Real-time sync; Form submission with confirmation</t>
  </si>
  <si>
    <t>Survey update form for Intake, WTP, OHT, Village meters; Component-wise tracking; Historical data capture; Validation against master; Report generation; Data persistence; Mobile-first design</t>
  </si>
  <si>
    <t>Configuration parameters for WTP meters; Meter mapping to components; Validation rules; Range limits; API integrations (3-4); Audit trail logging; Change tracking; Multi-store data validation</t>
  </si>
  <si>
    <t>Village selection dropdown; Habitation assignment grid; OHT component linking; Approval workflow (2 exits); Report view with drill-down; Validation rules (&gt;5); Data locking mechanism; Audit trail</t>
  </si>
  <si>
    <t>Multi-report view (5+ report types); No of input fields: 3 (filters); Exit scenario: 1 (View); Tabular report format; &gt;10 columns per report; 1 data source; Drill-down functionality; Export to PDF/Excel; Filter validation; Report generation engine; Historical data comparison</t>
  </si>
  <si>
    <t>CMMI L5 Documentation</t>
  </si>
  <si>
    <t>CMMI L5 Documentation &amp; Training</t>
  </si>
  <si>
    <t>VC training materials; Process documentation; User guides; Best practices; Knowledge transfer; Quality assurance procedures; Traceability matrices</t>
  </si>
  <si>
    <t>13 Functionalities</t>
  </si>
  <si>
    <t>All Guidelines-based estimations included</t>
  </si>
  <si>
    <t>Master - GM/Contractor</t>
  </si>
  <si>
    <t>Village Component Mapping (Other Scheme)</t>
  </si>
  <si>
    <t>Master - Contractor</t>
  </si>
  <si>
    <t>Pipeline Master Zone Numbers</t>
  </si>
  <si>
    <t>Edit Functionality Before Submission</t>
  </si>
  <si>
    <t>Bulk Meter Village Mapping</t>
  </si>
  <si>
    <t>Habitation-OHT Mapping (Scheme Village)</t>
  </si>
  <si>
    <t>Outside Scheme Village Mapping</t>
  </si>
  <si>
    <t>WTP Meter Mapping (147 Schemes)</t>
  </si>
  <si>
    <t>Master - FE Pipeline</t>
  </si>
  <si>
    <t>Pipeline Master-RFI Integration</t>
  </si>
  <si>
    <t>Habitation &amp; Data Issue Mapping (PIU)</t>
  </si>
  <si>
    <t>Master - All Users</t>
  </si>
  <si>
    <t>Master Data Reports</t>
  </si>
  <si>
    <t>Master - Admin</t>
  </si>
  <si>
    <t>User Role Management</t>
  </si>
  <si>
    <t>Master - GM</t>
  </si>
  <si>
    <t>Master Data Validation &amp; QA</t>
  </si>
  <si>
    <t>Emp Id input field, User Name input field, Password input field, Submit button, Forgot UserName button, Forgot Password link button; No of input fields: 3; Exit scenario: 1; No of Validations: 2; Static UI; Session management</t>
  </si>
  <si>
    <t>Data Entry fields (8-10); Multi-scheme selection dropdown; Component mapping grid; Water supply source dropdown; Validation rules (5-8); PIU-level filtering; No of input fields: 10-15; Exit scenario: 2; No of Validations: 5-10; Prefilled fields: 10-30; API Integrations: 2-3; Business rules: Up to 3 data stores; Screen with 2-4 internal components</t>
  </si>
  <si>
    <t>Zone number input field; Contractor-level access control; Zone validation logic; Auto-increment functionality; Master data grid display; No of input fields: 8-10; Exit scenario: 2; No of Validations: 5; Prefilled fields: 10-30; API Integrations: 2-3; Business rules: Single/multiple data stores</t>
  </si>
  <si>
    <t>Edit button on each row; Pre-submission validation; Change tracking log; Freeze mechanism post-submission; Rollback capability; No of input fields: 10-15; Exit scenario: 2-3; No of Validations: 5-10; API Integrations: 2-3; Business rules: Version control, authorization across data stores; Reports: Change history log</t>
  </si>
  <si>
    <t>Village dropdown (147 schemes); Bulk meter assignment grid; Meter ID validation; Habitation linkage; Multi-village selection; Upload functionality; No of input fields: 10-15; Exit scenario: 2; No of Validations: 5-10; Prefilled fields: 30-50; API Integrations: 2-5; Business rules: Validation across multiple data stores; Bulk operation support</t>
  </si>
  <si>
    <t>Habitation dropdown by scheme; OHT selection grid (3+ OHTs per scheme); Geospatial validation; Scheme boundary checking; Multi-habitation support; No of input fields: 15-20; Exit scenario: 2-3; No of Validations: 10+; Prefilled fields: 30-50; API Integrations: 3-5; Business rules: Complex geo-spatial rules across multiple stores; Screen with external GIS components</t>
  </si>
  <si>
    <t>Outside village search/filter; Non-scheme village grid; Component assignment for external villages; Water supply source dropdown; Approval workflow; No of input fields: 10-15; Exit scenario: 2-3; No of Validations: 5-10; Prefilled fields: 10-30; API Integrations: 2-3; Business rules: Non-scheme village rules across multiple stores; Workflow integration</t>
  </si>
  <si>
    <t>WTP dropdown (147 schemes); Meter configuration panel; Parameter assignment (15+ parameters); Scheme-wise meter validation; Multi-meter support per WTP; No of input fields: 15+; Exit scenario: 2; No of Validations: 10+; Prefilled fields: 30-50; API Integrations: 3-5; Business rules: Complex parameter validation across multiple data stores; Advanced configuration</t>
  </si>
  <si>
    <t>API integration (RFI module); Stage-wise data sync (5 stages); Real-time update mechanism; Error handling &amp; logging; Multi-stage validation; No of input fields: 8-10; Exit scenario: 2; No of Validations: 5-10; API Integrations: 3-5; Business rules: Stage-dependent validation across multiple stores; Sync protocols; Audit trail</t>
  </si>
  <si>
    <t>Habitation dropdown by PIU; Issue type dropdown (5+ categories); Issue severity assignment; Photo upload with compression; GPS location tracking; PIU-level filtering; No of input fields: 10-15; Exit scenario: 2; No of Validations: 5-10; Prefilled fields: 10-30; API Integrations: 3-5 (file upload, GPS, validation); Business rules: Issue severity rules; Photo processing</t>
  </si>
  <si>
    <t>Report type dropdown (3 types); Drill-down functionality; Export to Excel/PDF; Multi-PIU filter; Date range selection; Dashboard KPI display; No of input fields: 5-10; Exit scenario: 2; No of Validations: 3-5; Prefilled fields: 10-30; API Integrations: 2-3; Reports: Tabular report (3 types), &lt;10 columns, 1 data source; KPI dashboard</t>
  </si>
  <si>
    <t>Role creation panel; Permission matrix (10+ permissions); Audit trail logging; Cross-module access control; User activation/deactivation; No of input fields: 10-15; Exit scenario: 2-3; No of Validations: 5-10; Prefilled fields: 30-50; API Integrations: 2-3; Business rules: RBAC logic, permission matrix across multiple stores; Access control; Audit logging</t>
  </si>
  <si>
    <t>Validation engine (15+ rules); Data cleansing logic; Duplicate detection; Compliance check dashboard; Error report generation; No of input fields: 5-10; Exit scenario: 1; No of Validations: 10+; Prefilled fields: Not applicable; API Integrations: 2-3; Business rules: Complex validation rules across multiple stores; QA logic; Duplicate detection; Reports: Validation error report, compliance dashboard</t>
  </si>
  <si>
    <t>TOTAL MASTER CR ESTIMATION</t>
  </si>
  <si>
    <t>Nirmal - Change Request - WTP, OHT Report</t>
  </si>
  <si>
    <t>Parameter modification capability; Report template restructure; New parameter field addition; Validation rules for updated parameters; Version control; No of input fields: 10-15; Exit scenario: 2; No of Validations: 5-10; Prefilled fields: 10-30; API Integrations: 2-3; Business rules: Parameter dependency across data stores</t>
  </si>
  <si>
    <t>Contractor/FE login - WTP, Intake Buffer Increase to 200m</t>
  </si>
  <si>
    <t>Buffer distance configuration field; GPS range increase from default (5m) to 200m; Location validation; Mobile app parameter update; Offline sync; No of input fields: 8-10; Exit scenario: 2; No of Validations: 5-10; Prefilled fields: 10-30; API Integrations: 2-3; Business rules: Buffer zone validation across location data stores</t>
  </si>
  <si>
    <t>Nirmal - Change Request - Beneficiary Report</t>
  </si>
  <si>
    <t>Range Facility for Date Option</t>
  </si>
  <si>
    <t>Date picker with range selection (from-to dates); Calendar widget integration; Date range validation; Report refresh logic; Filter application; No of input fields: 2-3; Exit scenario: 1-2; No of Validations: 3-5; Prefilled fields: &lt;10; API Integrations: 1-2; Business rules: Date range validation</t>
  </si>
  <si>
    <t>Water Sample ID Search Option</t>
  </si>
  <si>
    <t>Sample ID search input field; Real-time search and filter logic; Auto-suggestion from sample registry; Result display with drill-down; Metadata retrieval; No of input fields: 1; Exit scenario: 2; No of Validations: 3-5; API Integrations: 2-3 (sample lookup, metadata fetch); Business rules: Sample ID validation, lookup across data stores</t>
  </si>
  <si>
    <t>Nirmal - Change Request</t>
  </si>
  <si>
    <t>Report Parameter Changes</t>
  </si>
  <si>
    <t>Parameter configuration panel; Field reordering functionality; Version control for changes; Field dependency management; Backward compatibility assurance; No of input fields: 10-15; Exit scenario: 2-3; No of Validations: 5-10; Prefilled fields: 30-50; API Integrations: 2-3; Business rules: Parameter dependency, version control across stores</t>
  </si>
  <si>
    <t>Mobile App OHT/Intake/WTP Changes</t>
  </si>
  <si>
    <t>OHT range calculation logic with buffer (±5m); WTP aggregation algorithm; Intake meter reading logic; Response time optimization (target &lt;2s); API data source integration; No of input fields: 10-15; Exit scenario: 2-3; No of Validations: 10+; Prefilled fields: 30-50; API Integrations: 3-5; Business rules: Complex calculation rules, performance optimization; Multiple data stores</t>
  </si>
  <si>
    <t>User Management (Nirmal-Dhara Integration)</t>
  </si>
  <si>
    <t>User role configuration interface; Permission assignment matrix (10+ permissions); Audit trail logging for access; UI accessibility compliance; Cross-module visibility rules; No of input fields: 15-20; Exit scenario: 2-3; No of Validations: 10+; Prefilled fields: 30-50; API Integrations: 2-3; Business rules: RBAC implementation, cross-module authorization; Audit logging across stores</t>
  </si>
  <si>
    <t xml:space="preserve">CMMI </t>
  </si>
  <si>
    <t>Emp Id input field, User Name input field, Password input field, Submit button, Forgot UserName button, Forgot Password link button; No of input fields: 3; Exit scenario: 1; No of Validations: 2; Static UI; Session management; Single data store</t>
  </si>
  <si>
    <t>Report filtering by village; Village-wise dropdown filter; Trigger mechanism for data refresh; SQL query optimization; Dashboard integration; Report table display; No of input fields: 5-8; Exit scenario: 1-2; No of Validations: 3-5; Prefilled fields: 10-30; API Integrations: 2-3; Business rules: Village-based filtering across data stores; Screen with 2-4 internal components</t>
  </si>
  <si>
    <t>Video Upload Option in Activity</t>
  </si>
  <si>
    <t>Video file input (up to 10MB); File format validation (MP4, AVI, MOV); Upload progress indicator; Video compression logic; Storage path configuration; Thumbnail generation; No of input fields: 8-10; Exit scenario: 2; No of Validations: 5-10; Prefilled fields: 10-30; API Integrations: 3-5 (upload service, compression, storage); Business rules: File size validation, compression rules; Screen with external video upload component</t>
  </si>
  <si>
    <t>TOTAL SAHBHAGITA CR ESTIMATION</t>
  </si>
  <si>
    <t>3 Change Request Functionalities</t>
  </si>
  <si>
    <t>OHT Type Selection (Conventional/Precast)</t>
  </si>
  <si>
    <t>UI Form with dropdown; OHT type dropdown (Conventional/Precast); Validation rules for type selection; Database schema update with new field; Form submission workflow; No of input fields: 10-15; Exit scenario: 2 (Save, Cancel); No of Validations: 5-10; Prefilled fields: 10-30; API Integrations: 2-3; Business rules: Type validation across data stores</t>
  </si>
  <si>
    <t>Delete Wrongly Entered OHT/IPS/WTP Records</t>
  </si>
  <si>
    <t>Delete button/function on each record; Confirmation dialog with warning; Audit trail logging (who, when, what); Permission check (role-based access); Soft delete mechanism; Rollback capability; No of input fields: Minimal (confirmation); Exit scenario: 2-3 (Delete, Cancel, Undo); No of Validations: 5-10; API Integrations: 2-3; Business rules: Authorization, audit logging across multiple stores; Screen with 2-4 internal components</t>
  </si>
  <si>
    <t>Updated WTP Form Fields</t>
  </si>
  <si>
    <t>Form layout redesign; Field addition/removal (5+ fields); Validation logic update; Database migration scripts; Data mapping; No of input fields: 10-15; Exit scenario: 2 (Save, Cancel); No of Validations: 5-10; Prefilled fields: 10-30; API Integrations: 2-3; Business rules: Field validation across data stores; Data Migration: Schema update with validation</t>
  </si>
  <si>
    <t>Updated IPS Form Fields</t>
  </si>
  <si>
    <t>Mobile APK with OHT Type Selection</t>
  </si>
  <si>
    <t>Mobile UI with dropdown component; OHT type selection (Conventional/Precast); Offline storage capability; Sync mechanism when online; Form validation; No of input fields: 10-15; Exit scenario: 2 (Save, Sync); No of Validations: 5-10; Prefilled fields: 10-30; API Integrations: 2-3; Business rules: Offline-first design, sync rules; mobile App-UI: Screen with 2-4 internal components</t>
  </si>
  <si>
    <t>Mobile APK with Updated WTP Form</t>
  </si>
  <si>
    <t>Mobile form layout; Field validation logic; Image capture functionality; GPS integration; Offline support; Photo compression; No of input fields: 10-15; Exit scenario: 2 (Submit, Draft); No of Validations: 5-10; Prefilled fields: 10-30; API Integrations: 3-4 (photo upload, GPS, sync); Business rules: GPS validation, photo quality checks; mobile App-UI: Screen with 2-4 internal components</t>
  </si>
  <si>
    <t>Mobile APK with Updated IPS Form</t>
  </si>
  <si>
    <t>Updated IPS Component Fields in Mobile</t>
  </si>
  <si>
    <t>Mobile component form; Dynamic field rendering; Component-specific validation; Local storage for draft; Field dependency management; No of input fields: 10-15; Exit scenario: 2 (Save, Cancel); No of Validations: 5-10; Prefilled fields: 30-50; API Integrations: 2-3; Business rules: Component field validation; mobile App-UI: Screen with 2-4 internal components</t>
  </si>
  <si>
    <t>Edit Contractor Details</t>
  </si>
  <si>
    <t>Edit form for contractor information; Permission control (GM-only access); Audit log for changes; Validation rules (GST, PAN, contact); Change tracking; No of input fields: 10-15; Exit scenario: 2-3 (Save, Cancel, Reset); No of Validations: 5-10; Prefilled fields: 30-50; API Integrations: 2-3; Business rules: Authorization, audit trail across multiple stores</t>
  </si>
  <si>
    <t>Drill-down Reports (OHT/WTP/Intake)</t>
  </si>
  <si>
    <t>Report interface with multi-level drill-down; Drill-down logic (District → Block → Village → Component); Data aggregation by hierarchy; Export function (Excel/PDF); Filter options (scheme, date, component type); No of input fields: 10-15; Exit scenario: 2 (View, Export); No of Validations: 5-10; API Integrations: 3-5; Business rules: Aggregation logic across multiple data stores; Reports: 3+ data sources with complex drill-down, report types 3-5</t>
  </si>
  <si>
    <t>Panchanama Count Reports</t>
  </si>
  <si>
    <t>Report generation engine; Count logic for Panchanama documents; Filter options (scheme, date, status); PDF export functionality; Summary dashboard; No of input fields: 5-10; Exit scenario: 1-2; No of Validations: 3-5; Prefilled fields: 10-30; API Integrations: 2-3; Reports: Tabular report with &lt;10 columns, 1 data source</t>
  </si>
  <si>
    <t>Separate Upload for PDF and DWG Files</t>
  </si>
  <si>
    <t>File upload interface (dual mode); File type validation (PDF/DWG); Storage management (separate folders); Document viewer integration; File size validation (max 10MB); Metadata capture; No of input fields: 8-10; Exit scenario: 2 (Upload, Cancel); No of Validations: 5-10; Prefilled fields: 10-30; API Integrations: 3-4 (file upload, storage, viewer, validation); Business rules: File type validation, storage organization across stores</t>
  </si>
  <si>
    <t>Seamless Integration with Jal Rekha Modules</t>
  </si>
  <si>
    <t>API integration layer; Database sync mechanism; Error handling &amp; logging; Rollback mechanism; Cross-module data validation; Real-time updates; Exit scenario: Not applicable; No of Validations: 10+ (cross-module); API Integrations: 5+ (Dhara, Master, Nirmal, Anusharan); Business rules: Complex integration logic, data consistency across multiple data stores; Integration: &gt;5 modules</t>
  </si>
  <si>
    <t>Plan vs Actual Timeline Report</t>
  </si>
  <si>
    <t>Timeline comparison logic; Gantt chart visualization; Variance calculation (planned vs actual); Color-coded status indicators; Drill-down by stage; No of input fields: 8-10; Exit scenario: 2 (View, Export); No of Validations: 3-5; API Integrations: 2-3; Reports: Line/Bar charts with 2-3 data sources, report types 3-5</t>
  </si>
  <si>
    <t>OHT Completion Status Sync with Anusharan</t>
  </si>
  <si>
    <t>OHT completion flag update; API sync with Anusharan/RFI module; Status change notification; Real-time integration; Error handling; No of input fields: Minimal; Exit scenario: 1; No of Validations: 3-5; API Integrations: 3-5 (Sopan, Anusharan, notification); Business rules: Status sync rules across modules</t>
  </si>
  <si>
    <t>TOTAL SOPAN CR ESTIMATION</t>
  </si>
  <si>
    <t>15 Change Request Functionalities</t>
  </si>
  <si>
    <t>Yes</t>
  </si>
  <si>
    <t>GM Login &amp; Basic Details &amp; Assign Roles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</si>
</sst>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Red]0.0"/>
  </numFmts>
  <fonts count="24">
    <font>
      <sz val="11"/>
      <color theme="1"/>
      <name val="Calibri"/>
      <family val="2"/>
      <scheme val="minor"/>
    </font>
    <font>
      <sz val="9.6"/>
      <color theme="1"/>
      <name val="Segoe UI"/>
      <family val="2"/>
    </font>
    <font>
      <sz val="9.6"/>
      <color theme="1"/>
      <name val="Segoe UI"/>
      <family val="2"/>
    </font>
    <font>
      <b/>
      <sz val="10"/>
      <color theme="1"/>
      <name val="Play"/>
    </font>
    <font>
      <sz val="11"/>
      <name val="Calibri"/>
      <family val="2"/>
    </font>
    <font>
      <sz val="10"/>
      <color theme="1"/>
      <name val="Play"/>
    </font>
    <font>
      <sz val="11"/>
      <color theme="1"/>
      <name val="Calibri"/>
      <family val="2"/>
      <scheme val="minor"/>
    </font>
    <font>
      <b/>
      <sz val="12"/>
      <color rgb="FF000000"/>
      <name val="Calibri"/>
      <family val="2"/>
    </font>
    <font>
      <sz val="11"/>
      <color theme="1"/>
      <name val="Calibri"/>
      <family val="2"/>
    </font>
    <font>
      <b/>
      <sz val="11"/>
      <color theme="1"/>
      <name val="Play"/>
    </font>
    <font>
      <sz val="11"/>
      <color theme="1"/>
      <name val="Play"/>
    </font>
    <font>
      <b/>
      <sz val="11"/>
      <color theme="1"/>
      <name val="Calibri"/>
      <family val="2"/>
    </font>
    <font>
      <sz val="10"/>
      <color theme="1"/>
      <name val="Arial"/>
      <family val="2"/>
    </font>
    <font>
      <sz val="12"/>
      <color theme="1"/>
      <name val="Play"/>
    </font>
    <font>
      <b/>
      <sz val="12"/>
      <color theme="1"/>
      <name val="Play"/>
    </font>
    <font>
      <sz val="11"/>
      <color theme="1"/>
      <name val="Calibri"/>
      <family val="2"/>
    </font>
    <font>
      <b/>
      <sz val="10"/>
      <color theme="1"/>
      <name val="Aptos Display"/>
    </font>
    <font>
      <sz val="10"/>
      <color theme="1"/>
      <name val="Aptos Display"/>
    </font>
    <font>
      <sz val="10"/>
      <color theme="1"/>
      <name val="Aptos Display"/>
      <family val="2"/>
    </font>
    <font>
      <sz val="10"/>
      <color theme="1"/>
      <name val="Calibri"/>
      <family val="2"/>
    </font>
    <font>
      <b/>
      <sz val="11"/>
      <color theme="1"/>
      <name val="Arial"/>
      <family val="2"/>
    </font>
    <font>
      <sz val="11"/>
      <color theme="1"/>
      <name val="Arial"/>
      <family val="2"/>
    </font>
    <font>
      <sz val="10"/>
      <color theme="1"/>
      <name val="Arial"/>
      <family val="2"/>
    </font>
    <font>
      <sz val="10"/>
      <color theme="1"/>
      <name val="Calibri"/>
      <family val="2"/>
      <scheme val="minor"/>
    </font>
  </fonts>
  <fills count="11">
    <fill>
      <patternFill patternType="none"/>
    </fill>
    <fill>
      <patternFill patternType="gray125"/>
    </fill>
    <fill>
      <patternFill patternType="solid">
        <fgColor rgb="FFA5A5A5"/>
        <bgColor rgb="FFA5A5A5"/>
      </patternFill>
    </fill>
    <fill>
      <patternFill patternType="solid">
        <fgColor rgb="FFE7E6E6"/>
        <bgColor rgb="FFE7E6E6"/>
      </patternFill>
    </fill>
    <fill>
      <patternFill patternType="solid">
        <fgColor rgb="FFD0CECE"/>
        <bgColor rgb="FFD0CECE"/>
      </patternFill>
    </fill>
    <fill>
      <patternFill patternType="solid">
        <fgColor rgb="FF00FF00"/>
        <bgColor rgb="FF00FF00"/>
      </patternFill>
    </fill>
    <fill>
      <patternFill patternType="solid">
        <fgColor theme="0"/>
        <bgColor indexed="64"/>
      </patternFill>
    </fill>
    <fill>
      <patternFill patternType="solid">
        <fgColor theme="0"/>
        <bgColor rgb="FFD0CECE"/>
      </patternFill>
    </fill>
    <fill>
      <patternFill patternType="solid">
        <fgColor theme="0"/>
        <bgColor rgb="FFE7E6E6"/>
      </patternFill>
    </fill>
    <fill>
      <patternFill patternType="solid">
        <fgColor rgb="FFD9D9D9"/>
        <bgColor rgb="FFD9D9D9"/>
      </patternFill>
    </fill>
    <fill>
      <patternFill patternType="solid">
        <fgColor theme="0"/>
        <bgColor theme="0"/>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ck">
        <color indexed="64"/>
      </left>
      <right style="thick">
        <color indexed="64"/>
      </right>
      <top style="thick">
        <color indexed="64"/>
      </top>
      <bottom style="thick">
        <color indexed="64"/>
      </bottom>
      <diagonal/>
    </border>
    <border>
      <left style="medium">
        <color rgb="FFDDDDDD"/>
      </left>
      <right style="medium">
        <color rgb="FFDDDDDD"/>
      </right>
      <top style="medium">
        <color rgb="FFDDDDDD"/>
      </top>
      <bottom style="medium">
        <color rgb="FFDDDDDD"/>
      </bottom>
      <diagonal/>
    </border>
  </borders>
  <cellStyleXfs count="2">
    <xf numFmtId="0" fontId="0" fillId="0" borderId="0"/>
    <xf numFmtId="0" fontId="6" fillId="0" borderId="0"/>
  </cellStyleXfs>
  <cellXfs count="116">
    <xf numFmtId="0" fontId="0" fillId="0" borderId="0" xfId="0"/>
    <xf numFmtId="0" fontId="3" fillId="2" borderId="1" xfId="0" applyFont="1" applyFill="1" applyBorder="1" applyAlignment="1">
      <alignment horizontal="left" vertical="top" wrapText="1"/>
    </xf>
    <xf numFmtId="0" fontId="5" fillId="0" borderId="1" xfId="0" applyFont="1" applyBorder="1" applyAlignment="1">
      <alignment horizontal="left" vertical="top"/>
    </xf>
    <xf numFmtId="0" fontId="0" fillId="0" borderId="1" xfId="0" applyBorder="1" applyAlignment="1">
      <alignment horizontal="left" vertical="top"/>
    </xf>
    <xf numFmtId="0" fontId="5" fillId="2" borderId="1" xfId="0" applyFont="1" applyFill="1" applyBorder="1" applyAlignment="1">
      <alignment horizontal="left" vertical="top"/>
    </xf>
    <xf numFmtId="0" fontId="3" fillId="3" borderId="1" xfId="0" applyFont="1" applyFill="1" applyBorder="1" applyAlignment="1">
      <alignment horizontal="left" vertical="top" wrapText="1"/>
    </xf>
    <xf numFmtId="0" fontId="5" fillId="3" borderId="1" xfId="0" applyFont="1" applyFill="1" applyBorder="1" applyAlignment="1">
      <alignment horizontal="left" vertical="top"/>
    </xf>
    <xf numFmtId="0" fontId="5"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3" fillId="0" borderId="1" xfId="0" applyFont="1" applyBorder="1" applyAlignment="1">
      <alignment horizontal="left" vertical="top"/>
    </xf>
    <xf numFmtId="0" fontId="5" fillId="0" borderId="3" xfId="0" applyFont="1" applyBorder="1" applyAlignment="1">
      <alignment horizontal="left" vertical="top"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xf>
    <xf numFmtId="0" fontId="5" fillId="4" borderId="1" xfId="0" applyFont="1" applyFill="1" applyBorder="1" applyAlignment="1">
      <alignment horizontal="left" vertical="top"/>
    </xf>
    <xf numFmtId="0" fontId="3" fillId="5" borderId="1" xfId="0" applyFont="1" applyFill="1" applyBorder="1" applyAlignment="1">
      <alignment horizontal="left" vertical="top" wrapText="1"/>
    </xf>
    <xf numFmtId="0" fontId="5" fillId="5" borderId="1" xfId="0" applyFont="1" applyFill="1" applyBorder="1" applyAlignment="1">
      <alignment horizontal="left" vertical="top"/>
    </xf>
    <xf numFmtId="0" fontId="3" fillId="5" borderId="1" xfId="0" applyFont="1" applyFill="1" applyBorder="1" applyAlignment="1">
      <alignment horizontal="left" vertical="top"/>
    </xf>
    <xf numFmtId="2" fontId="5" fillId="4" borderId="1" xfId="0" applyNumberFormat="1" applyFont="1" applyFill="1" applyBorder="1" applyAlignment="1">
      <alignment horizontal="left" vertical="top"/>
    </xf>
    <xf numFmtId="9" fontId="5" fillId="4" borderId="1" xfId="0" applyNumberFormat="1" applyFont="1" applyFill="1" applyBorder="1" applyAlignment="1">
      <alignment horizontal="left" vertical="top"/>
    </xf>
    <xf numFmtId="2" fontId="3" fillId="4" borderId="1" xfId="0" applyNumberFormat="1" applyFont="1" applyFill="1" applyBorder="1" applyAlignment="1">
      <alignment horizontal="left" vertical="top"/>
    </xf>
    <xf numFmtId="2" fontId="3" fillId="0" borderId="1" xfId="0" applyNumberFormat="1" applyFont="1" applyBorder="1" applyAlignment="1">
      <alignment horizontal="left" vertical="top"/>
    </xf>
    <xf numFmtId="0" fontId="4" fillId="0" borderId="1" xfId="0" applyFont="1" applyBorder="1" applyAlignment="1">
      <alignment horizontal="left" vertical="top"/>
    </xf>
    <xf numFmtId="0" fontId="3" fillId="2" borderId="1" xfId="0" applyFont="1" applyFill="1" applyBorder="1" applyAlignment="1">
      <alignment horizontal="left" vertical="top"/>
    </xf>
    <xf numFmtId="0" fontId="3" fillId="3" borderId="1" xfId="0" applyFont="1" applyFill="1"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5" fillId="6" borderId="1" xfId="0" applyFont="1" applyFill="1" applyBorder="1" applyAlignment="1">
      <alignment horizontal="left" vertical="top"/>
    </xf>
    <xf numFmtId="0" fontId="3" fillId="7" borderId="1" xfId="0" applyFont="1" applyFill="1" applyBorder="1" applyAlignment="1">
      <alignment horizontal="left" vertical="top"/>
    </xf>
    <xf numFmtId="0" fontId="3" fillId="6" borderId="1" xfId="0" applyFont="1" applyFill="1" applyBorder="1" applyAlignment="1">
      <alignment horizontal="left" vertical="top"/>
    </xf>
    <xf numFmtId="0" fontId="5" fillId="8" borderId="1" xfId="0" applyFont="1" applyFill="1" applyBorder="1" applyAlignment="1">
      <alignment horizontal="left" vertical="top" wrapText="1"/>
    </xf>
    <xf numFmtId="0" fontId="0" fillId="6" borderId="1" xfId="0" applyFill="1" applyBorder="1" applyAlignment="1">
      <alignment horizontal="left" vertical="top"/>
    </xf>
    <xf numFmtId="0" fontId="6" fillId="0" borderId="0" xfId="1"/>
    <xf numFmtId="0" fontId="7" fillId="9" borderId="5" xfId="1" applyFont="1" applyFill="1" applyBorder="1" applyAlignment="1">
      <alignment horizontal="center" vertical="center" wrapText="1"/>
    </xf>
    <xf numFmtId="0" fontId="7" fillId="9" borderId="5" xfId="1" applyFont="1" applyFill="1" applyBorder="1" applyAlignment="1">
      <alignment horizontal="left" vertical="center" wrapText="1"/>
    </xf>
    <xf numFmtId="14" fontId="8" fillId="0" borderId="5" xfId="1" applyNumberFormat="1" applyFont="1" applyBorder="1" applyAlignment="1">
      <alignment horizontal="center" vertical="center" wrapText="1"/>
    </xf>
    <xf numFmtId="164" fontId="8" fillId="0" borderId="5" xfId="1" applyNumberFormat="1" applyFont="1" applyBorder="1" applyAlignment="1">
      <alignment horizontal="center" vertical="center" wrapText="1"/>
    </xf>
    <xf numFmtId="0" fontId="8" fillId="0" borderId="5" xfId="1" applyFont="1" applyBorder="1" applyAlignment="1">
      <alignment horizontal="center" vertical="center" wrapText="1"/>
    </xf>
    <xf numFmtId="0" fontId="8" fillId="0" borderId="5" xfId="1" applyFont="1" applyBorder="1" applyAlignment="1">
      <alignment vertical="center" wrapText="1"/>
    </xf>
    <xf numFmtId="0" fontId="9" fillId="0" borderId="0" xfId="1" applyFont="1" applyAlignment="1">
      <alignment wrapText="1"/>
    </xf>
    <xf numFmtId="0" fontId="10" fillId="0" borderId="0" xfId="1" applyFont="1" applyAlignment="1">
      <alignment wrapText="1"/>
    </xf>
    <xf numFmtId="0" fontId="10" fillId="0" borderId="0" xfId="1" applyFont="1"/>
    <xf numFmtId="0" fontId="9" fillId="2" borderId="5" xfId="1" applyFont="1" applyFill="1" applyBorder="1" applyAlignment="1">
      <alignment horizontal="left" vertical="top" wrapText="1"/>
    </xf>
    <xf numFmtId="0" fontId="8" fillId="0" borderId="5" xfId="1" applyFont="1" applyBorder="1" applyAlignment="1">
      <alignment vertical="top" wrapText="1"/>
    </xf>
    <xf numFmtId="0" fontId="8" fillId="0" borderId="5" xfId="1" applyFont="1" applyBorder="1" applyAlignment="1">
      <alignment vertical="top"/>
    </xf>
    <xf numFmtId="0" fontId="5" fillId="10" borderId="5" xfId="1" applyFont="1" applyFill="1" applyBorder="1" applyAlignment="1">
      <alignment vertical="top" wrapText="1"/>
    </xf>
    <xf numFmtId="0" fontId="5" fillId="10" borderId="5" xfId="1" applyFont="1" applyFill="1" applyBorder="1" applyAlignment="1">
      <alignment wrapText="1"/>
    </xf>
    <xf numFmtId="0" fontId="5" fillId="10" borderId="5" xfId="1" applyFont="1" applyFill="1" applyBorder="1"/>
    <xf numFmtId="0" fontId="5" fillId="10" borderId="5" xfId="1" applyFont="1" applyFill="1" applyBorder="1" applyAlignment="1">
      <alignment horizontal="left" vertical="center" wrapText="1"/>
    </xf>
    <xf numFmtId="0" fontId="10" fillId="2" borderId="5" xfId="1" applyFont="1" applyFill="1" applyBorder="1" applyAlignment="1">
      <alignment horizontal="center" wrapText="1"/>
    </xf>
    <xf numFmtId="0" fontId="8" fillId="0" borderId="0" xfId="1" applyFont="1" applyAlignment="1">
      <alignment wrapText="1"/>
    </xf>
    <xf numFmtId="0" fontId="10" fillId="0" borderId="5" xfId="1" applyFont="1" applyBorder="1" applyAlignment="1">
      <alignment horizontal="center" wrapText="1"/>
    </xf>
    <xf numFmtId="0" fontId="10" fillId="0" borderId="5" xfId="1" applyFont="1" applyBorder="1" applyAlignment="1">
      <alignment horizontal="center"/>
    </xf>
    <xf numFmtId="0" fontId="10" fillId="0" borderId="5" xfId="1" applyFont="1" applyBorder="1" applyAlignment="1">
      <alignment horizontal="center" vertical="center"/>
    </xf>
    <xf numFmtId="0" fontId="10" fillId="0" borderId="5" xfId="1" applyFont="1" applyBorder="1"/>
    <xf numFmtId="0" fontId="11" fillId="0" borderId="5" xfId="1" applyFont="1" applyBorder="1" applyAlignment="1">
      <alignment wrapText="1"/>
    </xf>
    <xf numFmtId="0" fontId="8" fillId="0" borderId="5" xfId="1" applyFont="1" applyBorder="1" applyAlignment="1">
      <alignment wrapText="1"/>
    </xf>
    <xf numFmtId="0" fontId="8" fillId="0" borderId="5" xfId="1" applyFont="1" applyBorder="1"/>
    <xf numFmtId="0" fontId="12" fillId="0" borderId="5" xfId="1" applyFont="1" applyBorder="1"/>
    <xf numFmtId="0" fontId="12" fillId="0" borderId="6" xfId="1" applyFont="1" applyBorder="1" applyAlignment="1">
      <alignment horizontal="center"/>
    </xf>
    <xf numFmtId="0" fontId="12" fillId="0" borderId="5" xfId="1" applyFont="1" applyBorder="1" applyAlignment="1">
      <alignment horizontal="center"/>
    </xf>
    <xf numFmtId="9" fontId="12" fillId="0" borderId="5" xfId="1" applyNumberFormat="1" applyFont="1" applyBorder="1" applyAlignment="1">
      <alignment horizontal="center"/>
    </xf>
    <xf numFmtId="0" fontId="5" fillId="0" borderId="5" xfId="1" applyFont="1" applyBorder="1"/>
    <xf numFmtId="9" fontId="5" fillId="0" borderId="5" xfId="1" applyNumberFormat="1" applyFont="1" applyBorder="1" applyAlignment="1">
      <alignment horizontal="center"/>
    </xf>
    <xf numFmtId="9" fontId="5" fillId="0" borderId="5" xfId="1" applyNumberFormat="1" applyFont="1" applyBorder="1"/>
    <xf numFmtId="0" fontId="10" fillId="0" borderId="0" xfId="1" applyFont="1" applyAlignment="1">
      <alignment vertical="top"/>
    </xf>
    <xf numFmtId="0" fontId="10" fillId="0" borderId="0" xfId="1" applyFont="1" applyAlignment="1">
      <alignment vertical="top" wrapText="1"/>
    </xf>
    <xf numFmtId="0" fontId="9" fillId="0" borderId="5" xfId="1" applyFont="1" applyBorder="1" applyAlignment="1">
      <alignment vertical="top"/>
    </xf>
    <xf numFmtId="0" fontId="9" fillId="0" borderId="5" xfId="1" applyFont="1" applyBorder="1" applyAlignment="1">
      <alignment horizontal="center" vertical="top" wrapText="1"/>
    </xf>
    <xf numFmtId="0" fontId="9" fillId="0" borderId="5" xfId="1" applyFont="1" applyBorder="1" applyAlignment="1">
      <alignment horizontal="center" vertical="top"/>
    </xf>
    <xf numFmtId="0" fontId="10" fillId="0" borderId="5" xfId="1" applyFont="1" applyBorder="1" applyAlignment="1">
      <alignment horizontal="center" vertical="top" wrapText="1"/>
    </xf>
    <xf numFmtId="0" fontId="10" fillId="0" borderId="5" xfId="1" applyFont="1" applyBorder="1" applyAlignment="1">
      <alignment horizontal="center" vertical="top"/>
    </xf>
    <xf numFmtId="0" fontId="9" fillId="0" borderId="5" xfId="1" applyFont="1" applyBorder="1" applyAlignment="1">
      <alignment vertical="top" wrapText="1"/>
    </xf>
    <xf numFmtId="0" fontId="13" fillId="10" borderId="5" xfId="1" applyFont="1" applyFill="1" applyBorder="1" applyAlignment="1">
      <alignment horizontal="left" vertical="top"/>
    </xf>
    <xf numFmtId="0" fontId="14" fillId="10" borderId="5" xfId="1" applyFont="1" applyFill="1" applyBorder="1" applyAlignment="1">
      <alignment horizontal="left" vertical="top"/>
    </xf>
    <xf numFmtId="0" fontId="14" fillId="10" borderId="5" xfId="1" applyFont="1" applyFill="1" applyBorder="1" applyAlignment="1">
      <alignment horizontal="center" vertical="top"/>
    </xf>
    <xf numFmtId="0" fontId="10" fillId="10" borderId="0" xfId="1" applyFont="1" applyFill="1" applyBorder="1" applyAlignment="1">
      <alignment vertical="top"/>
    </xf>
    <xf numFmtId="0" fontId="15" fillId="0" borderId="5" xfId="1" applyFont="1" applyBorder="1" applyAlignment="1">
      <alignment vertical="top" wrapText="1"/>
    </xf>
    <xf numFmtId="0" fontId="15" fillId="0" borderId="5" xfId="1" applyFont="1" applyBorder="1" applyAlignment="1">
      <alignment horizontal="center" vertical="top"/>
    </xf>
    <xf numFmtId="17" fontId="15" fillId="0" borderId="5" xfId="1" quotePrefix="1" applyNumberFormat="1" applyFont="1" applyBorder="1" applyAlignment="1">
      <alignment horizontal="center" vertical="top"/>
    </xf>
    <xf numFmtId="0" fontId="10" fillId="0" borderId="5" xfId="1" applyFont="1" applyBorder="1" applyAlignment="1">
      <alignment vertical="top"/>
    </xf>
    <xf numFmtId="0" fontId="15" fillId="0" borderId="5" xfId="1" applyFont="1" applyBorder="1" applyAlignment="1">
      <alignment vertical="top"/>
    </xf>
    <xf numFmtId="0" fontId="15" fillId="0" borderId="5" xfId="1" quotePrefix="1" applyFont="1" applyBorder="1" applyAlignment="1">
      <alignment horizontal="center" vertical="top"/>
    </xf>
    <xf numFmtId="0" fontId="15" fillId="0" borderId="5" xfId="1" applyFont="1" applyBorder="1" applyAlignment="1">
      <alignment horizontal="center" vertical="top" wrapText="1"/>
    </xf>
    <xf numFmtId="0" fontId="18" fillId="6" borderId="10" xfId="1" applyFont="1" applyFill="1" applyBorder="1" applyAlignment="1">
      <alignment wrapText="1"/>
    </xf>
    <xf numFmtId="0" fontId="19" fillId="10" borderId="5" xfId="1" applyFont="1" applyFill="1" applyBorder="1" applyAlignment="1">
      <alignment vertical="top" wrapText="1"/>
    </xf>
    <xf numFmtId="0" fontId="5" fillId="10" borderId="5" xfId="1" applyFont="1" applyFill="1" applyBorder="1" applyAlignment="1">
      <alignment vertical="top"/>
    </xf>
    <xf numFmtId="0" fontId="5" fillId="3" borderId="3"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left" vertical="top"/>
    </xf>
    <xf numFmtId="0" fontId="0" fillId="0" borderId="4" xfId="0" applyBorder="1" applyAlignment="1">
      <alignment horizontal="left" vertical="top"/>
    </xf>
    <xf numFmtId="0" fontId="5" fillId="0" borderId="4" xfId="0" applyFont="1" applyBorder="1" applyAlignment="1">
      <alignment horizontal="left" vertical="top"/>
    </xf>
    <xf numFmtId="0" fontId="21" fillId="0" borderId="12" xfId="0" applyFont="1" applyBorder="1" applyAlignment="1">
      <alignment horizontal="left" vertical="center" wrapText="1"/>
    </xf>
    <xf numFmtId="0" fontId="0" fillId="0" borderId="12" xfId="0" applyBorder="1" applyAlignment="1">
      <alignment horizontal="left" vertical="top"/>
    </xf>
    <xf numFmtId="0" fontId="20" fillId="0" borderId="12" xfId="0" applyFont="1" applyBorder="1" applyAlignment="1">
      <alignment horizontal="left" vertical="center"/>
    </xf>
    <xf numFmtId="0" fontId="20" fillId="0" borderId="12" xfId="0" applyFont="1" applyBorder="1" applyAlignment="1">
      <alignment horizontal="left" vertical="center" wrapText="1"/>
    </xf>
    <xf numFmtId="0" fontId="5" fillId="5" borderId="12" xfId="0" applyFont="1" applyFill="1" applyBorder="1" applyAlignment="1">
      <alignment horizontal="left" vertical="center"/>
    </xf>
    <xf numFmtId="0" fontId="3" fillId="0" borderId="12" xfId="0" applyFont="1" applyBorder="1" applyAlignment="1">
      <alignment horizontal="left" vertical="top"/>
    </xf>
    <xf numFmtId="0" fontId="22" fillId="0" borderId="12" xfId="0" applyFont="1" applyBorder="1" applyAlignment="1">
      <alignment horizontal="left" vertical="center" wrapText="1"/>
    </xf>
    <xf numFmtId="0" fontId="23" fillId="0" borderId="12" xfId="0" applyFon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top" wrapText="1"/>
    </xf>
    <xf numFmtId="0" fontId="3" fillId="3" borderId="1" xfId="0" applyFont="1" applyFill="1" applyBorder="1" applyAlignment="1">
      <alignment horizontal="left" vertical="top"/>
    </xf>
    <xf numFmtId="0" fontId="4" fillId="0" borderId="1" xfId="0" applyFont="1" applyBorder="1" applyAlignment="1">
      <alignment horizontal="left" vertical="top"/>
    </xf>
    <xf numFmtId="0" fontId="0" fillId="0" borderId="0" xfId="0" applyAlignment="1">
      <alignment wrapText="1"/>
    </xf>
    <xf numFmtId="0" fontId="21" fillId="0" borderId="13" xfId="0" applyFont="1" applyBorder="1" applyAlignment="1">
      <alignment horizontal="left" vertical="center" wrapText="1"/>
    </xf>
    <xf numFmtId="0" fontId="20" fillId="0" borderId="13" xfId="0" applyFont="1" applyBorder="1" applyAlignment="1">
      <alignment horizontal="left" vertical="center" wrapText="1"/>
    </xf>
    <xf numFmtId="0" fontId="0" fillId="0" borderId="1" xfId="0" applyFont="1" applyBorder="1" applyAlignment="1">
      <alignment horizontal="left" vertical="top"/>
    </xf>
    <xf numFmtId="0" fontId="3" fillId="10" borderId="8" xfId="1" applyFont="1" applyFill="1" applyBorder="1" applyAlignment="1">
      <alignment horizontal="center" vertical="center" wrapText="1"/>
    </xf>
    <xf numFmtId="0" fontId="4" fillId="0" borderId="9" xfId="1" applyFont="1" applyBorder="1"/>
    <xf numFmtId="0" fontId="4" fillId="0" borderId="11" xfId="1" applyFont="1" applyBorder="1"/>
    <xf numFmtId="0" fontId="12" fillId="0" borderId="6" xfId="1" applyFont="1" applyBorder="1" applyAlignment="1">
      <alignment horizontal="center"/>
    </xf>
    <xf numFmtId="0" fontId="4" fillId="0" borderId="7" xfId="1" applyFont="1" applyBorder="1"/>
    <xf numFmtId="0" fontId="3" fillId="3" borderId="1" xfId="0" applyFont="1" applyFill="1" applyBorder="1" applyAlignment="1">
      <alignment horizontal="left" vertical="top"/>
    </xf>
    <xf numFmtId="0" fontId="4" fillId="0" borderId="1" xfId="0" applyFont="1" applyBorder="1" applyAlignment="1">
      <alignment horizontal="lef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6350</xdr:rowOff>
    </xdr:from>
    <xdr:ext cx="971550" cy="6953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123825" y="6350"/>
          <a:ext cx="971550" cy="6953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NJANA/Downloads/Cycle%201%20Estimation-Model_v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p/Downloads/MPSeDC%20MPSSDI%20GIS/Jal%20Rekha/CMMI%20Jal%20rekha%20documents%202025/Jan%20June%20Cycle%201/Cycle%201%20estimation/Jal%20Rekha%20User%20Stories%20Estimation-Cycle%201_V_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Hisotry"/>
      <sheetName val="Master"/>
      <sheetName val="Guidelines"/>
      <sheetName val="Baseline Productivity "/>
      <sheetName val="Estimation_DHARA"/>
      <sheetName val="Estimation_MASTER"/>
      <sheetName val="Estimation_NIRMAL"/>
      <sheetName val="Estimation_SOPAN"/>
      <sheetName val="Estimation_Sahbhagita"/>
    </sheetNames>
    <sheetDataSet>
      <sheetData sheetId="0" refreshError="1"/>
      <sheetData sheetId="1" refreshError="1"/>
      <sheetData sheetId="2" refreshError="1">
        <row r="4">
          <cell r="B4" t="str">
            <v xml:space="preserve">Web Page / Screen with no of input fields </v>
          </cell>
          <cell r="C4">
            <v>10</v>
          </cell>
          <cell r="D4" t="str">
            <v>10-15</v>
          </cell>
          <cell r="E4" t="str">
            <v>&gt; 15</v>
          </cell>
        </row>
        <row r="5">
          <cell r="B5" t="str">
            <v>Type of exit scenario</v>
          </cell>
          <cell r="C5">
            <v>1</v>
          </cell>
          <cell r="D5" t="str">
            <v>1 to 2</v>
          </cell>
          <cell r="E5" t="str">
            <v>&gt;3</v>
          </cell>
        </row>
        <row r="6">
          <cell r="B6" t="str">
            <v>No of Validation on the fields</v>
          </cell>
          <cell r="C6" t="str">
            <v xml:space="preserve">1 to 5 </v>
          </cell>
          <cell r="D6" t="str">
            <v xml:space="preserve">5 To 10 </v>
          </cell>
          <cell r="E6" t="str">
            <v>&gt;10</v>
          </cell>
        </row>
        <row r="7">
          <cell r="B7" t="str">
            <v>No of Prefilled fields</v>
          </cell>
          <cell r="C7" t="str">
            <v>10 to 30</v>
          </cell>
          <cell r="D7" t="str">
            <v>30 to 50</v>
          </cell>
          <cell r="E7" t="str">
            <v>&gt;50</v>
          </cell>
        </row>
        <row r="8">
          <cell r="B8" t="str">
            <v xml:space="preserve">No of API Integrations </v>
          </cell>
          <cell r="C8">
            <v>2</v>
          </cell>
          <cell r="D8" t="str">
            <v>2 to 5</v>
          </cell>
          <cell r="E8" t="str">
            <v xml:space="preserve">&gt; 5 </v>
          </cell>
        </row>
        <row r="9">
          <cell r="B9" t="str">
            <v>No API integrations for saving the data</v>
          </cell>
          <cell r="C9">
            <v>3</v>
          </cell>
          <cell r="D9" t="str">
            <v>3 to 5</v>
          </cell>
          <cell r="E9" t="str">
            <v>&gt;5</v>
          </cell>
        </row>
        <row r="10">
          <cell r="B10" t="str">
            <v>Queries or Business rules for the application</v>
          </cell>
          <cell r="C10" t="str">
            <v>No validation or business rules. One data store</v>
          </cell>
          <cell r="D10" t="str">
            <v>No validation or business rules. Up to 3 data stores</v>
          </cell>
          <cell r="E10" t="str">
            <v>Validation or business rules involved. Multiple data stores</v>
          </cell>
        </row>
        <row r="11">
          <cell r="B11" t="str">
            <v>No of Integration</v>
          </cell>
          <cell r="C11">
            <v>2</v>
          </cell>
          <cell r="D11" t="str">
            <v>2 to 5</v>
          </cell>
          <cell r="E11" t="str">
            <v>&gt;5</v>
          </cell>
        </row>
        <row r="12">
          <cell r="B12" t="str">
            <v>mobile App-UI</v>
          </cell>
          <cell r="C12" t="str">
            <v>Static screen</v>
          </cell>
          <cell r="D12" t="str">
            <v xml:space="preserve">Screen with 2-4 internal components
</v>
          </cell>
          <cell r="E12" t="str">
            <v xml:space="preserve">Screen with external components
</v>
          </cell>
        </row>
        <row r="13">
          <cell r="B13" t="str">
            <v>Data Migration</v>
          </cell>
          <cell r="C13" t="str">
            <v xml:space="preserve">Master Table </v>
          </cell>
          <cell r="D13" t="str">
            <v>Table with data errors and involves Data validation and cleansing</v>
          </cell>
          <cell r="E13" t="str">
            <v>Table with relationship with data errors and requires data validation and cleansing</v>
          </cell>
        </row>
        <row r="14">
          <cell r="B14" t="str">
            <v>Reports</v>
          </cell>
          <cell r="C14" t="str">
            <v>tabular report. &lt;10 columns.
1 data source
Elements( Table, PIE chart, 
Report type: 1-2</v>
          </cell>
          <cell r="D14" t="str">
            <v>2-3 data source. Simple (Pie/Bar) chart
Elements( Stack,Line etc.)
Report type: 3-5</v>
          </cell>
          <cell r="E14" t="str">
            <v>&gt;3 data source. Multiple complex graphs
Elements( Doughnut, Trend analysis etc.)
Report type: More than 5</v>
          </cell>
        </row>
      </sheetData>
      <sheetData sheetId="3" refreshError="1">
        <row r="4">
          <cell r="A4" t="str">
            <v xml:space="preserve">Development &amp; Enhancement </v>
          </cell>
          <cell r="C4">
            <v>0.21</v>
          </cell>
          <cell r="D4" t="str">
            <v>Point / per hour</v>
          </cell>
        </row>
      </sheetData>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Hisotry"/>
      <sheetName val="Master"/>
      <sheetName val="Baseline Productivity "/>
      <sheetName val="Guidelines"/>
      <sheetName val="Estimation_DHARA"/>
      <sheetName val="Estimation_MASTER"/>
      <sheetName val="Estimation_NIRMAL"/>
      <sheetName val="Estimation_SOPAN"/>
      <sheetName val="Estimation_Sahbhagita"/>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opLeftCell="A2" zoomScale="80" zoomScaleNormal="80" workbookViewId="0">
      <selection activeCell="C12" sqref="C12"/>
    </sheetView>
  </sheetViews>
  <sheetFormatPr defaultColWidth="14.36328125" defaultRowHeight="15" customHeight="1"/>
  <cols>
    <col min="1" max="1" width="26.08984375" style="33" customWidth="1"/>
    <col min="2" max="2" width="33.26953125" style="33" customWidth="1"/>
    <col min="3" max="3" width="22" style="33" bestFit="1" customWidth="1"/>
    <col min="4" max="4" width="25.26953125" style="33" customWidth="1"/>
    <col min="5" max="5" width="30.6328125" style="33" customWidth="1"/>
    <col min="6" max="6" width="31.26953125" style="33" hidden="1" customWidth="1"/>
    <col min="7" max="26" width="8.7265625" style="33" customWidth="1"/>
    <col min="27" max="16384" width="14.36328125" style="33"/>
  </cols>
  <sheetData>
    <row r="1" spans="1:26" ht="19.5" customHeight="1">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ht="19.5" customHeight="1">
      <c r="A2" s="74"/>
      <c r="B2" s="75" t="s">
        <v>108</v>
      </c>
      <c r="C2" s="76">
        <v>1</v>
      </c>
      <c r="D2" s="76">
        <v>3</v>
      </c>
      <c r="E2" s="76">
        <v>5</v>
      </c>
      <c r="F2" s="77"/>
      <c r="G2" s="66"/>
      <c r="H2" s="66"/>
      <c r="I2" s="66"/>
      <c r="J2" s="66"/>
      <c r="K2" s="66"/>
      <c r="L2" s="66"/>
      <c r="M2" s="66"/>
      <c r="N2" s="66"/>
      <c r="O2" s="66"/>
      <c r="P2" s="66"/>
      <c r="Q2" s="66"/>
      <c r="R2" s="66"/>
      <c r="S2" s="66"/>
      <c r="T2" s="66"/>
      <c r="U2" s="66"/>
      <c r="V2" s="66"/>
      <c r="W2" s="66"/>
      <c r="X2" s="66"/>
      <c r="Y2" s="66"/>
      <c r="Z2" s="66"/>
    </row>
    <row r="3" spans="1:26" ht="19.5" customHeight="1">
      <c r="A3" s="76" t="s">
        <v>134</v>
      </c>
      <c r="B3" s="75" t="s">
        <v>135</v>
      </c>
      <c r="C3" s="76" t="s">
        <v>36</v>
      </c>
      <c r="D3" s="76" t="s">
        <v>111</v>
      </c>
      <c r="E3" s="76" t="s">
        <v>136</v>
      </c>
      <c r="F3" s="77"/>
      <c r="G3" s="66"/>
      <c r="H3" s="66"/>
      <c r="I3" s="66"/>
      <c r="J3" s="66"/>
      <c r="K3" s="66"/>
      <c r="L3" s="66"/>
      <c r="M3" s="66"/>
      <c r="N3" s="66"/>
      <c r="O3" s="66"/>
      <c r="P3" s="66"/>
      <c r="Q3" s="66"/>
      <c r="R3" s="66"/>
      <c r="S3" s="66"/>
      <c r="T3" s="66"/>
      <c r="U3" s="66"/>
      <c r="V3" s="66"/>
      <c r="W3" s="66"/>
      <c r="X3" s="66"/>
      <c r="Y3" s="66"/>
      <c r="Z3" s="66"/>
    </row>
    <row r="4" spans="1:26" ht="29" customHeight="1">
      <c r="A4" s="109" t="s">
        <v>137</v>
      </c>
      <c r="B4" s="78" t="s">
        <v>97</v>
      </c>
      <c r="C4" s="79">
        <v>10</v>
      </c>
      <c r="D4" s="80" t="s">
        <v>138</v>
      </c>
      <c r="E4" s="79" t="s">
        <v>139</v>
      </c>
      <c r="F4" s="46" t="s">
        <v>140</v>
      </c>
      <c r="G4" s="66"/>
      <c r="H4" s="67" t="s">
        <v>141</v>
      </c>
      <c r="I4" s="67"/>
      <c r="J4" s="66"/>
      <c r="K4" s="81">
        <v>1</v>
      </c>
      <c r="L4" s="81"/>
      <c r="M4" s="81"/>
      <c r="N4" s="81"/>
      <c r="O4" s="66"/>
      <c r="P4" s="66"/>
      <c r="Q4" s="66"/>
      <c r="R4" s="66"/>
      <c r="S4" s="66"/>
      <c r="T4" s="66"/>
      <c r="U4" s="66"/>
      <c r="V4" s="66"/>
      <c r="W4" s="66"/>
      <c r="X4" s="66"/>
      <c r="Y4" s="66"/>
      <c r="Z4" s="66"/>
    </row>
    <row r="5" spans="1:26" ht="19.5" customHeight="1">
      <c r="A5" s="110"/>
      <c r="B5" s="82" t="s">
        <v>98</v>
      </c>
      <c r="C5" s="79">
        <v>1</v>
      </c>
      <c r="D5" s="83" t="s">
        <v>142</v>
      </c>
      <c r="E5" s="79" t="s">
        <v>143</v>
      </c>
      <c r="F5" s="77"/>
      <c r="G5" s="66"/>
      <c r="H5" s="66" t="s">
        <v>144</v>
      </c>
      <c r="I5" s="66" t="s">
        <v>145</v>
      </c>
      <c r="J5" s="66"/>
      <c r="K5" s="81"/>
      <c r="L5" s="81"/>
      <c r="M5" s="81"/>
      <c r="N5" s="81"/>
      <c r="O5" s="66"/>
      <c r="P5" s="66"/>
      <c r="Q5" s="66"/>
      <c r="R5" s="66"/>
      <c r="S5" s="66"/>
      <c r="T5" s="66"/>
      <c r="U5" s="66"/>
      <c r="V5" s="66"/>
      <c r="W5" s="66"/>
      <c r="X5" s="66"/>
      <c r="Y5" s="66"/>
      <c r="Z5" s="66"/>
    </row>
    <row r="6" spans="1:26" ht="19.5" customHeight="1">
      <c r="A6" s="110"/>
      <c r="B6" s="82" t="s">
        <v>99</v>
      </c>
      <c r="C6" s="79" t="s">
        <v>146</v>
      </c>
      <c r="D6" s="79" t="s">
        <v>147</v>
      </c>
      <c r="E6" s="79" t="s">
        <v>148</v>
      </c>
      <c r="F6" s="77"/>
      <c r="G6" s="66"/>
      <c r="H6" s="66" t="s">
        <v>149</v>
      </c>
      <c r="I6" s="66"/>
      <c r="J6" s="66"/>
      <c r="K6" s="81"/>
      <c r="L6" s="81"/>
      <c r="M6" s="81"/>
      <c r="N6" s="81"/>
      <c r="O6" s="66"/>
      <c r="P6" s="66"/>
      <c r="Q6" s="66"/>
      <c r="R6" s="66"/>
      <c r="S6" s="66"/>
      <c r="T6" s="66"/>
      <c r="U6" s="66"/>
      <c r="V6" s="66"/>
      <c r="W6" s="66"/>
      <c r="X6" s="66"/>
      <c r="Y6" s="66"/>
      <c r="Z6" s="66"/>
    </row>
    <row r="7" spans="1:26" ht="19.5" customHeight="1">
      <c r="A7" s="110"/>
      <c r="B7" s="82" t="s">
        <v>100</v>
      </c>
      <c r="C7" s="79" t="s">
        <v>150</v>
      </c>
      <c r="D7" s="83" t="s">
        <v>151</v>
      </c>
      <c r="E7" s="79" t="s">
        <v>152</v>
      </c>
      <c r="F7" s="77"/>
      <c r="G7" s="66"/>
      <c r="H7" s="66" t="s">
        <v>153</v>
      </c>
      <c r="I7" s="66"/>
      <c r="J7" s="66"/>
      <c r="K7" s="81"/>
      <c r="L7" s="81"/>
      <c r="M7" s="81"/>
      <c r="N7" s="81"/>
      <c r="O7" s="66"/>
      <c r="P7" s="66"/>
      <c r="Q7" s="66"/>
      <c r="R7" s="66"/>
      <c r="S7" s="66"/>
      <c r="T7" s="66"/>
      <c r="U7" s="66"/>
      <c r="V7" s="66"/>
      <c r="W7" s="66"/>
      <c r="X7" s="66"/>
      <c r="Y7" s="66"/>
      <c r="Z7" s="66"/>
    </row>
    <row r="8" spans="1:26" ht="19.5" customHeight="1">
      <c r="A8" s="110"/>
      <c r="B8" s="82" t="s">
        <v>101</v>
      </c>
      <c r="C8" s="79">
        <v>2</v>
      </c>
      <c r="D8" s="83" t="s">
        <v>154</v>
      </c>
      <c r="E8" s="79" t="s">
        <v>155</v>
      </c>
      <c r="F8" s="77"/>
      <c r="G8" s="66"/>
      <c r="H8" s="66" t="s">
        <v>156</v>
      </c>
      <c r="I8" s="66"/>
      <c r="J8" s="66"/>
      <c r="K8" s="81"/>
      <c r="L8" s="81"/>
      <c r="M8" s="81"/>
      <c r="N8" s="81"/>
      <c r="O8" s="66"/>
      <c r="P8" s="66"/>
      <c r="Q8" s="66"/>
      <c r="R8" s="66"/>
      <c r="S8" s="66"/>
      <c r="T8" s="66"/>
      <c r="U8" s="66"/>
      <c r="V8" s="66"/>
      <c r="W8" s="66"/>
      <c r="X8" s="66"/>
      <c r="Y8" s="66"/>
      <c r="Z8" s="66"/>
    </row>
    <row r="9" spans="1:26" ht="19.5" customHeight="1">
      <c r="A9" s="110"/>
      <c r="B9" s="82" t="s">
        <v>102</v>
      </c>
      <c r="C9" s="79">
        <v>3</v>
      </c>
      <c r="D9" s="83" t="s">
        <v>157</v>
      </c>
      <c r="E9" s="79" t="s">
        <v>158</v>
      </c>
      <c r="F9" s="77"/>
      <c r="G9" s="66"/>
      <c r="H9" s="66" t="s">
        <v>159</v>
      </c>
      <c r="I9" s="66"/>
      <c r="J9" s="66"/>
      <c r="K9" s="81"/>
      <c r="L9" s="81"/>
      <c r="M9" s="81"/>
      <c r="N9" s="81"/>
      <c r="O9" s="66"/>
      <c r="P9" s="66"/>
      <c r="Q9" s="66"/>
      <c r="R9" s="66"/>
      <c r="S9" s="66"/>
      <c r="T9" s="66"/>
      <c r="U9" s="66"/>
      <c r="V9" s="66"/>
      <c r="W9" s="66"/>
      <c r="X9" s="66"/>
      <c r="Y9" s="66"/>
      <c r="Z9" s="66"/>
    </row>
    <row r="10" spans="1:26" ht="42" customHeight="1">
      <c r="A10" s="110"/>
      <c r="B10" s="78" t="s">
        <v>103</v>
      </c>
      <c r="C10" s="84" t="s">
        <v>160</v>
      </c>
      <c r="D10" s="46" t="s">
        <v>161</v>
      </c>
      <c r="E10" s="46" t="s">
        <v>162</v>
      </c>
      <c r="F10" s="77"/>
      <c r="G10" s="66"/>
      <c r="H10" s="66" t="s">
        <v>163</v>
      </c>
      <c r="I10" s="66"/>
      <c r="J10" s="66"/>
      <c r="K10" s="81"/>
      <c r="L10" s="81"/>
      <c r="M10" s="81"/>
      <c r="N10" s="81"/>
      <c r="O10" s="66"/>
      <c r="P10" s="66"/>
      <c r="Q10" s="66"/>
      <c r="R10" s="66"/>
      <c r="S10" s="66"/>
      <c r="T10" s="66"/>
      <c r="U10" s="66"/>
      <c r="V10" s="66"/>
      <c r="W10" s="66"/>
      <c r="X10" s="66"/>
      <c r="Y10" s="66"/>
      <c r="Z10" s="66"/>
    </row>
    <row r="11" spans="1:26" ht="19.5" customHeight="1">
      <c r="A11" s="110"/>
      <c r="B11" s="82" t="s">
        <v>104</v>
      </c>
      <c r="C11" s="79">
        <v>2</v>
      </c>
      <c r="D11" s="83" t="s">
        <v>154</v>
      </c>
      <c r="E11" s="79" t="s">
        <v>158</v>
      </c>
      <c r="F11" s="77"/>
      <c r="G11" s="66"/>
      <c r="H11" s="66" t="s">
        <v>164</v>
      </c>
      <c r="I11" s="66"/>
      <c r="J11" s="66"/>
      <c r="K11" s="81"/>
      <c r="L11" s="81"/>
      <c r="M11" s="81"/>
      <c r="N11" s="81"/>
      <c r="O11" s="66"/>
      <c r="P11" s="66"/>
      <c r="Q11" s="66"/>
      <c r="R11" s="66"/>
      <c r="S11" s="66"/>
      <c r="T11" s="66"/>
      <c r="U11" s="66"/>
      <c r="V11" s="66"/>
      <c r="W11" s="66"/>
      <c r="X11" s="66"/>
      <c r="Y11" s="66"/>
      <c r="Z11" s="66"/>
    </row>
    <row r="12" spans="1:26" ht="31" customHeight="1">
      <c r="A12" s="110"/>
      <c r="B12" s="46" t="s">
        <v>105</v>
      </c>
      <c r="C12" s="46" t="s">
        <v>165</v>
      </c>
      <c r="D12" s="46" t="s">
        <v>166</v>
      </c>
      <c r="E12" s="46" t="s">
        <v>167</v>
      </c>
      <c r="F12" s="77"/>
      <c r="G12" s="66"/>
      <c r="H12" s="66" t="s">
        <v>168</v>
      </c>
      <c r="I12" s="66"/>
      <c r="J12" s="66"/>
      <c r="K12" s="81"/>
      <c r="L12" s="81"/>
      <c r="M12" s="81"/>
      <c r="N12" s="81"/>
      <c r="O12" s="66"/>
      <c r="P12" s="66"/>
      <c r="Q12" s="66"/>
      <c r="R12" s="66"/>
      <c r="S12" s="66"/>
      <c r="T12" s="66"/>
      <c r="U12" s="66"/>
      <c r="V12" s="66"/>
      <c r="W12" s="66"/>
      <c r="X12" s="66"/>
      <c r="Y12" s="66"/>
      <c r="Z12" s="66"/>
    </row>
    <row r="13" spans="1:26" ht="46.5" customHeight="1">
      <c r="A13" s="110"/>
      <c r="B13" s="46" t="s">
        <v>106</v>
      </c>
      <c r="C13" s="46" t="s">
        <v>169</v>
      </c>
      <c r="D13" s="46" t="s">
        <v>170</v>
      </c>
      <c r="E13" s="46" t="s">
        <v>171</v>
      </c>
      <c r="F13" s="77"/>
      <c r="G13" s="66"/>
      <c r="H13" s="66" t="s">
        <v>172</v>
      </c>
      <c r="I13" s="66"/>
      <c r="J13" s="66"/>
      <c r="K13" s="81"/>
      <c r="L13" s="81"/>
      <c r="M13" s="81"/>
      <c r="N13" s="81"/>
      <c r="O13" s="66"/>
      <c r="P13" s="66"/>
      <c r="Q13" s="66"/>
      <c r="R13" s="66"/>
      <c r="S13" s="66"/>
      <c r="T13" s="66"/>
      <c r="U13" s="66"/>
      <c r="V13" s="66"/>
      <c r="W13" s="66"/>
      <c r="X13" s="66"/>
      <c r="Y13" s="66"/>
      <c r="Z13" s="66"/>
    </row>
    <row r="14" spans="1:26" ht="81.5" customHeight="1">
      <c r="A14" s="110"/>
      <c r="B14" s="85" t="s">
        <v>107</v>
      </c>
      <c r="C14" s="85" t="s">
        <v>173</v>
      </c>
      <c r="D14" s="85" t="s">
        <v>174</v>
      </c>
      <c r="E14" s="85" t="s">
        <v>175</v>
      </c>
      <c r="F14" s="77"/>
      <c r="G14" s="66"/>
      <c r="H14" s="66" t="s">
        <v>176</v>
      </c>
      <c r="I14" s="66"/>
      <c r="J14" s="66"/>
      <c r="K14" s="81"/>
      <c r="L14" s="81"/>
      <c r="M14" s="81"/>
      <c r="N14" s="81"/>
      <c r="O14" s="66"/>
      <c r="P14" s="66"/>
      <c r="Q14" s="66"/>
      <c r="R14" s="66"/>
      <c r="S14" s="66"/>
      <c r="T14" s="66"/>
      <c r="U14" s="66"/>
      <c r="V14" s="66"/>
      <c r="W14" s="66"/>
      <c r="X14" s="66"/>
      <c r="Y14" s="66"/>
      <c r="Z14" s="66"/>
    </row>
    <row r="15" spans="1:26" ht="19.5" customHeight="1">
      <c r="A15" s="110"/>
      <c r="B15" s="86"/>
      <c r="C15" s="87"/>
      <c r="D15" s="87"/>
      <c r="E15" s="87"/>
      <c r="F15" s="77"/>
      <c r="G15" s="66"/>
      <c r="H15" s="66" t="s">
        <v>177</v>
      </c>
      <c r="I15" s="66"/>
      <c r="J15" s="66"/>
      <c r="K15" s="81"/>
      <c r="L15" s="81"/>
      <c r="M15" s="81"/>
      <c r="N15" s="81"/>
      <c r="O15" s="66"/>
      <c r="P15" s="66"/>
      <c r="Q15" s="66"/>
      <c r="R15" s="66"/>
      <c r="S15" s="66"/>
      <c r="T15" s="66"/>
      <c r="U15" s="66"/>
      <c r="V15" s="66"/>
      <c r="W15" s="66"/>
      <c r="X15" s="66"/>
      <c r="Y15" s="66"/>
      <c r="Z15" s="66"/>
    </row>
    <row r="16" spans="1:26" ht="19.5" customHeight="1">
      <c r="A16" s="110"/>
      <c r="B16" s="86"/>
      <c r="C16" s="87"/>
      <c r="D16" s="87"/>
      <c r="E16" s="87"/>
      <c r="F16" s="77"/>
      <c r="G16" s="66"/>
      <c r="H16" s="66"/>
      <c r="I16" s="66"/>
      <c r="J16" s="66"/>
      <c r="K16" s="81"/>
      <c r="L16" s="81"/>
      <c r="M16" s="81"/>
      <c r="N16" s="81"/>
      <c r="O16" s="66"/>
      <c r="P16" s="66"/>
      <c r="Q16" s="66"/>
      <c r="R16" s="66"/>
      <c r="S16" s="66"/>
      <c r="T16" s="66"/>
      <c r="U16" s="66"/>
      <c r="V16" s="66"/>
      <c r="W16" s="66"/>
      <c r="X16" s="66"/>
      <c r="Y16" s="66"/>
      <c r="Z16" s="66"/>
    </row>
    <row r="17" spans="1:26" ht="19.5" customHeight="1">
      <c r="A17" s="110"/>
      <c r="B17" s="86"/>
      <c r="C17" s="87"/>
      <c r="D17" s="87"/>
      <c r="E17" s="87"/>
      <c r="F17" s="77"/>
      <c r="G17" s="66"/>
      <c r="H17" s="66"/>
      <c r="I17" s="66"/>
      <c r="J17" s="66"/>
      <c r="K17" s="81"/>
      <c r="L17" s="81"/>
      <c r="M17" s="81"/>
      <c r="N17" s="81"/>
      <c r="O17" s="66"/>
      <c r="P17" s="66"/>
      <c r="Q17" s="66"/>
      <c r="R17" s="66"/>
      <c r="S17" s="66"/>
      <c r="T17" s="66"/>
      <c r="U17" s="66"/>
      <c r="V17" s="66"/>
      <c r="W17" s="66"/>
      <c r="X17" s="66"/>
      <c r="Y17" s="66"/>
      <c r="Z17" s="66"/>
    </row>
    <row r="18" spans="1:26" ht="19.5" customHeight="1">
      <c r="A18" s="110"/>
      <c r="B18" s="86"/>
      <c r="C18" s="87"/>
      <c r="D18" s="87"/>
      <c r="E18" s="87"/>
      <c r="F18" s="77"/>
      <c r="G18" s="66"/>
      <c r="H18" s="66"/>
      <c r="I18" s="66"/>
      <c r="J18" s="66"/>
      <c r="K18" s="66"/>
      <c r="L18" s="66"/>
      <c r="M18" s="66"/>
      <c r="N18" s="66"/>
      <c r="O18" s="66"/>
      <c r="P18" s="66"/>
      <c r="Q18" s="66"/>
      <c r="R18" s="66"/>
      <c r="S18" s="66"/>
      <c r="T18" s="66"/>
      <c r="U18" s="66"/>
      <c r="V18" s="66"/>
      <c r="W18" s="66"/>
      <c r="X18" s="66"/>
      <c r="Y18" s="66"/>
      <c r="Z18" s="66"/>
    </row>
    <row r="19" spans="1:26" ht="19.5" customHeight="1">
      <c r="A19" s="111"/>
      <c r="B19" s="46"/>
      <c r="C19" s="46"/>
      <c r="D19" s="46"/>
      <c r="E19" s="46"/>
      <c r="F19" s="46" t="s">
        <v>178</v>
      </c>
      <c r="G19" s="66"/>
      <c r="H19" s="66"/>
      <c r="I19" s="66"/>
      <c r="J19" s="66"/>
      <c r="K19" s="66"/>
      <c r="L19" s="66"/>
      <c r="M19" s="66"/>
      <c r="N19" s="66"/>
      <c r="O19" s="66"/>
      <c r="P19" s="66"/>
      <c r="Q19" s="66"/>
      <c r="R19" s="66"/>
      <c r="S19" s="66"/>
      <c r="T19" s="66"/>
      <c r="U19" s="66"/>
      <c r="V19" s="66"/>
      <c r="W19" s="66"/>
      <c r="X19" s="66"/>
      <c r="Y19" s="66"/>
      <c r="Z19" s="66"/>
    </row>
    <row r="20" spans="1:26" ht="14.25" customHeight="1">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spans="1:26" ht="14.2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spans="1:26" ht="14.2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spans="1:26" ht="14.2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spans="1:26" ht="14.2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spans="1:26" ht="14.2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spans="1:26" ht="14.2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spans="1:26" ht="14.2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spans="1:26" ht="14.2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spans="1:26" ht="14.2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spans="1:26" ht="14.2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spans="1:26" ht="14.2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spans="1:26" ht="14.2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spans="1:26" ht="14.2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spans="1:26" ht="14.2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spans="1:26" ht="14.2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ht="14.2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ht="14.2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ht="14.2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ht="14.2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ht="14.2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ht="14.2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14.2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ht="14.2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ht="14.2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ht="14.2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ht="14.2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ht="14.2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ht="14.2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ht="14.2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ht="14.2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ht="14.2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ht="14.2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ht="14.2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ht="14.2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ht="14.2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ht="14.2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ht="14.2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ht="14.2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ht="14.2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ht="14.2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ht="14.2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ht="14.2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4.2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4.2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ht="14.2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ht="14.2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ht="14.2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ht="14.2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ht="14.2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ht="14.2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ht="14.2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ht="14.2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4.2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4.2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ht="14.2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ht="14.2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ht="14.2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ht="14.2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ht="14.2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ht="14.2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ht="14.2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4.2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4.2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ht="14.2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ht="14.2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ht="14.2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ht="14.2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ht="14.2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ht="14.2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ht="14.2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ht="14.2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ht="14.2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4.2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4.2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ht="14.2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ht="14.2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ht="14.2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ht="14.2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ht="14.2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ht="14.2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4.2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4.2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4.2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4.2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4.2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4.2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4.2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4.2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4.2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4.2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4.2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4.2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4.2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4.2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4.2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4.2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4.2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4.2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4.2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4.2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4.2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4.2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4.2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4.2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4.2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4.2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4.2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4.2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4.2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4.2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4.2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4.2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4.2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4.2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4.2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4.2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4.2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4.2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4.2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4.2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4.2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4.2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4.2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4.2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4.2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4.2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4.2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4.2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4.2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4.2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4.2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4.2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4.2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4.2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4.2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4.2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4.2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4.2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4.2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4.2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4.2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4.2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4.2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4.2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4.2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4.2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4.2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4.2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4.2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4.2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4.2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4.2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4.2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4.2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4.2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4.2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4.2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4.2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4.2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4.2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4.2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4.2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4.2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4.2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4.2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4.2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4.2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4.2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4.2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4.2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4.2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4.2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4.2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4.2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4.2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4.2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4.2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4.2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4.2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4.2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4.2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4.2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4.2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4.2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4.2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4.2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4.2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4.2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4.2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4.2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4.2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4.2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4.2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4.2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4.2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4.2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4.2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4.2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4.2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4.2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4.2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4.2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4.2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4.2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4.2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4.2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4.2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4.2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4.2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4.2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4.2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4.2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4.2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4.2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4.2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4.2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4.2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4.2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4.2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4.2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4.2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4.2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4.2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4.2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4.2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4.2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4.2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4.2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4.2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4.2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4.2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4.2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4.2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4.2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4.2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4.2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4.2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4.2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4.2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4.2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4.2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4.2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4.2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4.2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4.2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4.2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4.2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4.2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4.2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4.2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4.2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4.2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4.2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4.2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4.2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4.2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4.2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4.2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4.2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4.2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4.2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4.2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4.2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4.2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4.2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4.2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4.2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4.2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4.2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4.2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4.2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4.2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4.2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4.2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4.2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4.2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4.2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4.2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4.2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4.2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4.2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4.2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4.2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4.2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4.2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4.2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4.2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4.2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4.2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4.2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4.2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4.2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4.2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4.2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4.2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4.2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4.2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4.2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4.2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4.2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4.2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4.2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4.2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4.2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4.2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4.2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4.2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4.2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4.2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4.2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4.2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4.2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4.2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4.2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4.2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4.2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4.2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4.2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4.2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4.2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4.2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4.2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4.2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4.2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4.2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4.2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4.2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4.2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4.2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4.2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4.2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4.2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4.2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4.2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4.2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4.2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4.2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4.2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4.2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4.2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4.2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4.2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4.2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4.2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4.2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4.2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4.2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4.2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4.2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4.2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4.2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4.2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4.2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4.2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4.2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4.2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4.2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4.2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4.2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4.2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4.2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4.2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4.2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4.2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4.2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4.2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4.2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4.2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4.2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4.2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4.2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4.2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4.2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4.2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4.2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4.2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4.2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4.2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4.2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4.2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4.2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4.2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4.2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4.2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4.2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4.2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4.2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4.2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4.2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4.2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4.2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4.2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4.2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4.2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4.2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4.2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4.2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4.2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4.2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4.2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4.2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4.2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4.2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4.2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4.2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4.2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4.2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4.2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4.2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4.2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4.2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4.2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4.2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4.2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4.2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4.2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4.2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4.2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4.2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4.2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4.2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4.2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4.2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4.2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4.2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4.2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4.2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4.2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4.2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4.2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4.2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4.2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4.2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4.2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4.2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4.2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4.2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4.2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4.2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4.2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4.2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4.2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4.2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4.2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4.2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4.2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4.2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4.2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4.2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4.2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4.2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4.2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4.2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4.2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4.2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4.2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4.2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4.2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4.2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4.2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4.2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4.2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4.2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4.2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4.2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4.2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4.2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4.2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4.2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4.2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4.2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4.2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4.2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4.2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4.2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4.2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4.2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4.2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4.2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4.2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4.2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4.2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4.2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4.2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4.2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4.2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4.2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4.2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4.2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4.2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4.2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4.2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4.2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4.2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4.2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4.2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4.2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4.2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4.2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4.2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4.2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4.2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4.2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4.2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4.2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4.2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4.2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4.2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4.2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4.2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4.2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4.2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4.2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4.2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4.2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4.2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4.2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4.2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4.2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4.2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4.2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4.2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4.2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4.2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4.2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4.2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4.2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4.2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4.2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4.2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4.2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4.2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4.2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4.2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4.2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4.2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4.2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4.2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4.2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4.2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4.2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4.2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4.2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4.2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4.2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4.2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4.2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4.2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4.2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4.2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4.2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4.2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4.2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4.2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4.2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4.2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4.2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4.2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4.2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4.2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4.2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4.2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4.2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4.2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4.2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4.2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4.2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4.2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4.2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4.2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4.2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4.2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4.2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4.2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4.2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4.2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4.2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4.2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4.2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4.2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4.2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4.2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4.2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4.2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4.2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4.2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4.2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4.2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4.2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4.2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4.2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4.2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4.2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4.2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4.2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4.2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4.2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4.2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4.2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4.2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4.2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4.2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4.2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4.2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4.2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4.2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4.2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4.2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4.2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4.2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4.2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4.2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4.2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4.2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4.2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4.2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4.2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4.2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4.2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4.2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4.2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4.2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4.2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4.2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4.2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4.2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4.2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4.2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4.2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4.2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4.2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4.2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4.2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4.2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4.2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4.2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4.2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4.2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4.2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4.2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4.2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4.2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4.2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4.2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4.2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4.2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4.2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4.2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4.2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4.2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4.2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4.2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4.2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4.2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4.2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4.2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4.2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4.2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4.2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4.2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4.2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4.2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4.2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4.2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4.2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4.2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4.2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4.2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4.2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4.2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4.2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4.2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4.2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4.2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4.2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4.2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4.2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4.2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4.2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4.2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4.2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4.2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4.2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4.2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4.2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4.2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4.2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4.2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4.2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4.2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4.2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4.2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4.2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4.2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4.2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4.2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4.2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4.2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4.2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4.2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4.2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4.2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4.2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4.2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4.2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4.2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4.2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4.2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4.2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4.2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4.2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4.2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4.2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4.2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4.2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4.2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4.2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4.2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4.2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4.2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4.2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4.2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4.2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4.2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4.2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4.2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4.2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4.2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4.2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4.2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4.2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4.2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4.2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4.2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4.2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4.2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4.2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4.2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4.2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4.2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4.2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4.2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4.2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4.2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4.2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4.2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4.2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4.2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4.2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4.2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4.2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4.2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4.2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4.2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4.2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4.2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4.2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4.2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4.2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4.2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4.2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4.2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4.2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4.2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4.2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4.2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4.2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4.2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4.2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4.2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4.2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4.2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4.2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4.2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4.2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4.2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4.2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4.2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4.2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4.2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4.2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4.2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4.2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4.2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4.2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4.2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4.2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4.2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4.2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4.2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4.2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4.2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4.2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4.2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4.2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4.2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4.2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4.2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4.2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4.2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4.2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4.2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4.2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4.2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4.2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4.2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4.2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4.2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4.2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4.2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4.2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4.2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4.2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4.2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4.2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4.2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4.2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4.2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4.2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4.2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4.2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4.2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4.2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4.2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4.2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4.2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4.2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4.2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4.2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4.2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4.2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4.2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4.2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4.2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4.2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4.2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4.2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4.2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4.2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4.2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4.2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4.2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4.2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4.2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4.2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4.2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4.2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4.2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4.2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4.2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4.2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4.2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4.2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4.2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4.2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4.2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4.2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4.2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4.2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4.2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4.2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4.2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4.2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4.2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4.2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4.2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4.2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4.2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4.2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4.2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4.2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4.2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4.2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4.2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4.2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4.2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4.2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4.2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4.2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4.2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4.2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4.2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4.2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4.2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4.2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4.2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4:A19"/>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tabSelected="1" workbookViewId="0">
      <selection activeCell="A5" sqref="A5:E6"/>
    </sheetView>
  </sheetViews>
  <sheetFormatPr defaultColWidth="14.36328125" defaultRowHeight="15" customHeight="1"/>
  <cols>
    <col min="1" max="1" width="14.81640625" style="33" customWidth="1"/>
    <col min="2" max="2" width="7.81640625" style="33" customWidth="1"/>
    <col min="3" max="3" width="18.36328125" style="33" customWidth="1"/>
    <col min="4" max="4" width="17.08984375" style="33" customWidth="1"/>
    <col min="5" max="5" width="26.26953125" style="33" customWidth="1"/>
    <col min="6" max="26" width="8.7265625" style="33" customWidth="1"/>
    <col min="27" max="16384" width="14.36328125" style="33"/>
  </cols>
  <sheetData>
    <row r="1" spans="1:5" ht="14.25" customHeight="1"/>
    <row r="2" spans="1:5" ht="14.25" customHeight="1"/>
    <row r="3" spans="1:5" ht="14.25" customHeight="1"/>
    <row r="4" spans="1:5" ht="14.25" customHeight="1"/>
    <row r="5" spans="1:5" ht="14.25" customHeight="1">
      <c r="A5" s="34" t="s">
        <v>87</v>
      </c>
      <c r="B5" s="35" t="s">
        <v>88</v>
      </c>
      <c r="C5" s="34" t="s">
        <v>89</v>
      </c>
      <c r="D5" s="34" t="s">
        <v>90</v>
      </c>
      <c r="E5" s="35" t="s">
        <v>91</v>
      </c>
    </row>
    <row r="6" spans="1:5" ht="14.25" customHeight="1">
      <c r="A6" s="36">
        <v>45990</v>
      </c>
      <c r="B6" s="37">
        <v>1.2</v>
      </c>
      <c r="C6" s="38" t="s">
        <v>92</v>
      </c>
      <c r="D6" s="39" t="s">
        <v>93</v>
      </c>
      <c r="E6" s="39" t="s">
        <v>94</v>
      </c>
    </row>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defaultColWidth="14.36328125" defaultRowHeight="15" customHeight="1"/>
  <cols>
    <col min="1" max="1" width="35.08984375" style="33" customWidth="1"/>
    <col min="2" max="2" width="33.08984375" style="33" customWidth="1"/>
    <col min="3" max="3" width="22.26953125" style="33" customWidth="1"/>
    <col min="4" max="4" width="26.36328125" style="33" customWidth="1"/>
    <col min="5" max="26" width="8.7265625" style="33" customWidth="1"/>
    <col min="27" max="16384" width="14.36328125" style="33"/>
  </cols>
  <sheetData>
    <row r="1" spans="1:26" ht="14.25" customHeight="1">
      <c r="A1" s="40" t="s">
        <v>95</v>
      </c>
      <c r="B1" s="41"/>
      <c r="C1" s="42"/>
      <c r="D1" s="42"/>
      <c r="E1" s="42"/>
      <c r="F1" s="42"/>
      <c r="G1" s="42"/>
      <c r="H1" s="42"/>
      <c r="I1" s="42"/>
      <c r="J1" s="42"/>
      <c r="K1" s="42"/>
      <c r="L1" s="42"/>
      <c r="M1" s="42"/>
      <c r="N1" s="42"/>
      <c r="O1" s="42"/>
      <c r="P1" s="42"/>
      <c r="Q1" s="42"/>
      <c r="R1" s="42"/>
      <c r="S1" s="42"/>
      <c r="T1" s="42"/>
      <c r="U1" s="42"/>
      <c r="V1" s="42"/>
      <c r="W1" s="42"/>
      <c r="X1" s="42"/>
      <c r="Y1" s="42"/>
      <c r="Z1" s="42"/>
    </row>
    <row r="2" spans="1:26" ht="14.25" customHeight="1">
      <c r="A2" s="43" t="s">
        <v>60</v>
      </c>
      <c r="B2" s="43" t="s">
        <v>96</v>
      </c>
      <c r="C2" s="42"/>
      <c r="D2" s="42"/>
      <c r="E2" s="42"/>
      <c r="F2" s="42"/>
      <c r="G2" s="42"/>
      <c r="H2" s="42"/>
      <c r="I2" s="42"/>
      <c r="J2" s="42"/>
      <c r="K2" s="42"/>
      <c r="L2" s="42"/>
      <c r="M2" s="42"/>
      <c r="N2" s="42"/>
      <c r="O2" s="42"/>
      <c r="P2" s="42"/>
      <c r="Q2" s="42"/>
      <c r="R2" s="42"/>
      <c r="S2" s="42"/>
      <c r="T2" s="42"/>
      <c r="U2" s="42"/>
      <c r="V2" s="42"/>
      <c r="W2" s="42"/>
      <c r="X2" s="42"/>
      <c r="Y2" s="42"/>
      <c r="Z2" s="42"/>
    </row>
    <row r="3" spans="1:26" ht="14.25" customHeight="1">
      <c r="A3" s="44" t="s">
        <v>97</v>
      </c>
      <c r="B3" s="44" t="s">
        <v>97</v>
      </c>
      <c r="C3" s="42"/>
      <c r="D3" s="42"/>
      <c r="E3" s="42"/>
      <c r="F3" s="42"/>
      <c r="G3" s="42"/>
      <c r="H3" s="42"/>
      <c r="I3" s="42"/>
      <c r="J3" s="42"/>
      <c r="K3" s="42"/>
      <c r="L3" s="42"/>
      <c r="M3" s="42"/>
      <c r="N3" s="42"/>
      <c r="O3" s="42"/>
      <c r="P3" s="42"/>
      <c r="Q3" s="42"/>
      <c r="R3" s="42"/>
      <c r="S3" s="42"/>
      <c r="T3" s="42"/>
      <c r="U3" s="42"/>
      <c r="V3" s="42"/>
      <c r="W3" s="42"/>
      <c r="X3" s="42"/>
      <c r="Y3" s="42"/>
      <c r="Z3" s="42"/>
    </row>
    <row r="4" spans="1:26" ht="14.25" customHeight="1">
      <c r="A4" s="45" t="s">
        <v>98</v>
      </c>
      <c r="B4" s="45" t="s">
        <v>98</v>
      </c>
      <c r="C4" s="42"/>
      <c r="D4" s="42"/>
      <c r="E4" s="42"/>
      <c r="F4" s="42"/>
      <c r="G4" s="42"/>
      <c r="H4" s="42"/>
      <c r="I4" s="42"/>
      <c r="J4" s="42"/>
      <c r="K4" s="42"/>
      <c r="L4" s="42"/>
      <c r="M4" s="42"/>
      <c r="N4" s="42"/>
      <c r="O4" s="42"/>
      <c r="P4" s="42"/>
      <c r="Q4" s="42"/>
      <c r="R4" s="42"/>
      <c r="S4" s="42"/>
      <c r="T4" s="42"/>
      <c r="U4" s="42"/>
      <c r="V4" s="42"/>
      <c r="W4" s="42"/>
      <c r="X4" s="42"/>
      <c r="Y4" s="42"/>
      <c r="Z4" s="42"/>
    </row>
    <row r="5" spans="1:26" ht="14.25" customHeight="1">
      <c r="A5" s="45" t="s">
        <v>99</v>
      </c>
      <c r="B5" s="45" t="s">
        <v>99</v>
      </c>
      <c r="C5" s="42"/>
      <c r="D5" s="42"/>
      <c r="E5" s="42"/>
      <c r="F5" s="42"/>
      <c r="G5" s="42"/>
      <c r="H5" s="42"/>
      <c r="I5" s="42"/>
      <c r="J5" s="42"/>
      <c r="K5" s="42"/>
      <c r="L5" s="42"/>
      <c r="M5" s="42"/>
      <c r="N5" s="42"/>
      <c r="O5" s="42"/>
      <c r="P5" s="42"/>
      <c r="Q5" s="42"/>
      <c r="R5" s="42"/>
      <c r="S5" s="42"/>
      <c r="T5" s="42"/>
      <c r="U5" s="42"/>
      <c r="V5" s="42"/>
      <c r="W5" s="42"/>
      <c r="X5" s="42"/>
      <c r="Y5" s="42"/>
      <c r="Z5" s="42"/>
    </row>
    <row r="6" spans="1:26" ht="14.25" customHeight="1">
      <c r="A6" s="45" t="s">
        <v>100</v>
      </c>
      <c r="B6" s="45" t="s">
        <v>100</v>
      </c>
      <c r="C6" s="42"/>
      <c r="D6" s="42"/>
      <c r="E6" s="42"/>
      <c r="F6" s="42"/>
      <c r="G6" s="42"/>
      <c r="H6" s="42"/>
      <c r="I6" s="42"/>
      <c r="J6" s="42"/>
      <c r="K6" s="42"/>
      <c r="L6" s="42"/>
      <c r="M6" s="42"/>
      <c r="N6" s="42"/>
      <c r="O6" s="42"/>
      <c r="P6" s="42"/>
      <c r="Q6" s="42"/>
      <c r="R6" s="42"/>
      <c r="S6" s="42"/>
      <c r="T6" s="42"/>
      <c r="U6" s="42"/>
      <c r="V6" s="42"/>
      <c r="W6" s="42"/>
      <c r="X6" s="42"/>
      <c r="Y6" s="42"/>
      <c r="Z6" s="42"/>
    </row>
    <row r="7" spans="1:26" ht="14.25" customHeight="1">
      <c r="A7" s="45" t="s">
        <v>101</v>
      </c>
      <c r="B7" s="45" t="s">
        <v>101</v>
      </c>
      <c r="C7" s="42"/>
      <c r="D7" s="42"/>
      <c r="E7" s="42"/>
      <c r="F7" s="42"/>
      <c r="G7" s="42"/>
      <c r="H7" s="42"/>
      <c r="I7" s="42"/>
      <c r="J7" s="42"/>
      <c r="K7" s="42"/>
      <c r="L7" s="42"/>
      <c r="M7" s="42"/>
      <c r="N7" s="42"/>
      <c r="O7" s="42"/>
      <c r="P7" s="42"/>
      <c r="Q7" s="42"/>
      <c r="R7" s="42"/>
      <c r="S7" s="42"/>
      <c r="T7" s="42"/>
      <c r="U7" s="42"/>
      <c r="V7" s="42"/>
      <c r="W7" s="42"/>
      <c r="X7" s="42"/>
      <c r="Y7" s="42"/>
      <c r="Z7" s="42"/>
    </row>
    <row r="8" spans="1:26" ht="14.25" customHeight="1">
      <c r="A8" s="45" t="s">
        <v>102</v>
      </c>
      <c r="B8" s="45" t="s">
        <v>102</v>
      </c>
      <c r="C8" s="42"/>
      <c r="D8" s="42"/>
      <c r="E8" s="42"/>
      <c r="F8" s="42"/>
      <c r="G8" s="42"/>
      <c r="H8" s="42"/>
      <c r="I8" s="42"/>
      <c r="J8" s="42"/>
      <c r="K8" s="42"/>
      <c r="L8" s="42"/>
      <c r="M8" s="42"/>
      <c r="N8" s="42"/>
      <c r="O8" s="42"/>
      <c r="P8" s="42"/>
      <c r="Q8" s="42"/>
      <c r="R8" s="42"/>
      <c r="S8" s="42"/>
      <c r="T8" s="42"/>
      <c r="U8" s="42"/>
      <c r="V8" s="42"/>
      <c r="W8" s="42"/>
      <c r="X8" s="42"/>
      <c r="Y8" s="42"/>
      <c r="Z8" s="42"/>
    </row>
    <row r="9" spans="1:26" ht="14.25" customHeight="1">
      <c r="A9" s="44" t="s">
        <v>103</v>
      </c>
      <c r="B9" s="44" t="s">
        <v>103</v>
      </c>
      <c r="C9" s="42"/>
      <c r="D9" s="42"/>
      <c r="E9" s="42"/>
      <c r="F9" s="42"/>
      <c r="G9" s="42"/>
      <c r="H9" s="42"/>
      <c r="I9" s="42"/>
      <c r="J9" s="42"/>
      <c r="K9" s="42"/>
      <c r="L9" s="42"/>
      <c r="M9" s="42"/>
      <c r="N9" s="42"/>
      <c r="O9" s="42"/>
      <c r="P9" s="42"/>
      <c r="Q9" s="42"/>
      <c r="R9" s="42"/>
      <c r="S9" s="42"/>
      <c r="T9" s="42"/>
      <c r="U9" s="42"/>
      <c r="V9" s="42"/>
      <c r="W9" s="42"/>
      <c r="X9" s="42"/>
      <c r="Y9" s="42"/>
      <c r="Z9" s="42"/>
    </row>
    <row r="10" spans="1:26" ht="14.25" customHeight="1">
      <c r="A10" s="45" t="s">
        <v>104</v>
      </c>
      <c r="B10" s="45" t="s">
        <v>104</v>
      </c>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ht="14.25" customHeight="1">
      <c r="A11" s="46" t="s">
        <v>105</v>
      </c>
      <c r="B11" s="46" t="s">
        <v>105</v>
      </c>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ht="14.25" customHeight="1">
      <c r="A12" s="46" t="s">
        <v>106</v>
      </c>
      <c r="B12" s="46" t="s">
        <v>106</v>
      </c>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ht="14.25" customHeight="1">
      <c r="A13" s="47" t="s">
        <v>107</v>
      </c>
      <c r="B13" s="47" t="s">
        <v>107</v>
      </c>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4.25" customHeight="1">
      <c r="A14" s="47"/>
      <c r="B14" s="47"/>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14.25" customHeight="1">
      <c r="A15" s="47"/>
      <c r="B15" s="47"/>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4.25" customHeight="1">
      <c r="A16" s="48"/>
      <c r="B16" s="48"/>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4.25" customHeight="1">
      <c r="A17" s="47"/>
      <c r="B17" s="47"/>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4.25" customHeight="1">
      <c r="A18" s="47"/>
      <c r="B18" s="47"/>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4.25" customHeight="1">
      <c r="A19" s="47"/>
      <c r="B19" s="47"/>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4.25" customHeight="1">
      <c r="A20" s="47"/>
      <c r="B20" s="47"/>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4.25" customHeight="1">
      <c r="A21" s="47"/>
      <c r="B21" s="47"/>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4.25" customHeight="1">
      <c r="A22" s="49"/>
      <c r="B22" s="49"/>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4.2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4.2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4.25" customHeight="1">
      <c r="A25" s="50" t="s">
        <v>108</v>
      </c>
      <c r="B25" s="50" t="s">
        <v>109</v>
      </c>
      <c r="C25" s="50" t="s">
        <v>1</v>
      </c>
      <c r="D25" s="51"/>
      <c r="E25" s="42"/>
      <c r="F25" s="42"/>
      <c r="G25" s="42"/>
      <c r="H25" s="42"/>
      <c r="I25" s="42"/>
      <c r="J25" s="42"/>
      <c r="K25" s="42"/>
      <c r="L25" s="42"/>
      <c r="M25" s="42"/>
      <c r="N25" s="42"/>
      <c r="O25" s="42"/>
      <c r="P25" s="42"/>
      <c r="Q25" s="42"/>
      <c r="R25" s="42"/>
      <c r="S25" s="42"/>
      <c r="T25" s="42"/>
      <c r="U25" s="42"/>
      <c r="V25" s="42"/>
      <c r="W25" s="42"/>
      <c r="X25" s="42"/>
      <c r="Y25" s="42"/>
      <c r="Z25" s="42"/>
    </row>
    <row r="26" spans="1:26" ht="14.25" customHeight="1">
      <c r="A26" s="52" t="s">
        <v>36</v>
      </c>
      <c r="B26" s="53" t="s">
        <v>60</v>
      </c>
      <c r="C26" s="54">
        <v>5</v>
      </c>
      <c r="D26" s="52" t="s">
        <v>110</v>
      </c>
      <c r="E26" s="42"/>
      <c r="F26" s="42"/>
      <c r="G26" s="42"/>
      <c r="H26" s="42"/>
      <c r="I26" s="42"/>
      <c r="J26" s="42"/>
      <c r="K26" s="42"/>
      <c r="L26" s="42"/>
      <c r="M26" s="42"/>
      <c r="N26" s="42"/>
      <c r="O26" s="42"/>
      <c r="P26" s="42"/>
      <c r="Q26" s="42"/>
      <c r="R26" s="42"/>
      <c r="S26" s="42"/>
      <c r="T26" s="42"/>
      <c r="U26" s="42"/>
      <c r="V26" s="42"/>
      <c r="W26" s="42"/>
      <c r="X26" s="42"/>
      <c r="Y26" s="42"/>
      <c r="Z26" s="42"/>
    </row>
    <row r="27" spans="1:26" ht="14.25" customHeight="1">
      <c r="A27" s="52" t="s">
        <v>111</v>
      </c>
      <c r="B27" s="53" t="s">
        <v>96</v>
      </c>
      <c r="C27" s="54">
        <v>4</v>
      </c>
      <c r="D27" s="52" t="s">
        <v>112</v>
      </c>
      <c r="E27" s="42"/>
      <c r="F27" s="42"/>
      <c r="G27" s="42"/>
      <c r="H27" s="42"/>
      <c r="I27" s="42"/>
      <c r="J27" s="42"/>
      <c r="K27" s="42"/>
      <c r="L27" s="42"/>
      <c r="M27" s="42"/>
      <c r="N27" s="42"/>
      <c r="O27" s="42"/>
      <c r="P27" s="42"/>
      <c r="Q27" s="42"/>
      <c r="R27" s="42"/>
      <c r="S27" s="42"/>
      <c r="T27" s="42"/>
      <c r="U27" s="42"/>
      <c r="V27" s="42"/>
      <c r="W27" s="42"/>
      <c r="X27" s="42"/>
      <c r="Y27" s="42"/>
      <c r="Z27" s="42"/>
    </row>
    <row r="28" spans="1:26" ht="14.25" customHeight="1">
      <c r="A28" s="52" t="s">
        <v>37</v>
      </c>
      <c r="B28" s="53"/>
      <c r="C28" s="54">
        <v>3</v>
      </c>
      <c r="D28" s="52" t="s">
        <v>113</v>
      </c>
      <c r="E28" s="42"/>
      <c r="F28" s="42"/>
      <c r="G28" s="42"/>
      <c r="H28" s="42"/>
      <c r="I28" s="42"/>
      <c r="J28" s="42"/>
      <c r="K28" s="42"/>
      <c r="L28" s="42"/>
      <c r="M28" s="42"/>
      <c r="N28" s="42"/>
      <c r="O28" s="42"/>
      <c r="P28" s="42"/>
      <c r="Q28" s="42"/>
      <c r="R28" s="42"/>
      <c r="S28" s="42"/>
      <c r="T28" s="42"/>
      <c r="U28" s="42"/>
      <c r="V28" s="42"/>
      <c r="W28" s="42"/>
      <c r="X28" s="42"/>
      <c r="Y28" s="42"/>
      <c r="Z28" s="42"/>
    </row>
    <row r="29" spans="1:26" ht="14.25" customHeight="1">
      <c r="A29" s="52" t="s">
        <v>114</v>
      </c>
      <c r="B29" s="53"/>
      <c r="C29" s="54">
        <v>2</v>
      </c>
      <c r="D29" s="52" t="s">
        <v>115</v>
      </c>
      <c r="E29" s="42"/>
      <c r="F29" s="42"/>
      <c r="G29" s="42"/>
      <c r="H29" s="42"/>
      <c r="I29" s="42"/>
      <c r="J29" s="42"/>
      <c r="K29" s="42"/>
      <c r="L29" s="42"/>
      <c r="M29" s="42"/>
      <c r="N29" s="42"/>
      <c r="O29" s="42"/>
      <c r="P29" s="42"/>
      <c r="Q29" s="42"/>
      <c r="R29" s="42"/>
      <c r="S29" s="42"/>
      <c r="T29" s="42"/>
      <c r="U29" s="42"/>
      <c r="V29" s="42"/>
      <c r="W29" s="42"/>
      <c r="X29" s="42"/>
      <c r="Y29" s="42"/>
      <c r="Z29" s="42"/>
    </row>
    <row r="30" spans="1:26" ht="14.25" customHeight="1">
      <c r="A30" s="52"/>
      <c r="B30" s="53"/>
      <c r="C30" s="54">
        <v>1</v>
      </c>
      <c r="D30" s="52" t="s">
        <v>116</v>
      </c>
      <c r="E30" s="42"/>
      <c r="F30" s="42"/>
      <c r="G30" s="42"/>
      <c r="H30" s="42"/>
      <c r="I30" s="42"/>
      <c r="J30" s="42"/>
      <c r="K30" s="42"/>
      <c r="L30" s="42"/>
      <c r="M30" s="42"/>
      <c r="N30" s="42"/>
      <c r="O30" s="42"/>
      <c r="P30" s="42"/>
      <c r="Q30" s="42"/>
      <c r="R30" s="42"/>
      <c r="S30" s="42"/>
      <c r="T30" s="42"/>
      <c r="U30" s="42"/>
      <c r="V30" s="42"/>
      <c r="W30" s="42"/>
      <c r="X30" s="42"/>
      <c r="Y30" s="42"/>
      <c r="Z30" s="42"/>
    </row>
    <row r="31" spans="1:26" ht="14.25" customHeight="1">
      <c r="A31" s="55"/>
      <c r="B31" s="55"/>
      <c r="C31" s="54">
        <v>0</v>
      </c>
      <c r="D31" s="52" t="s">
        <v>117</v>
      </c>
      <c r="E31" s="42"/>
      <c r="F31" s="42"/>
      <c r="G31" s="42"/>
      <c r="H31" s="42"/>
      <c r="I31" s="42"/>
      <c r="J31" s="42"/>
      <c r="K31" s="42"/>
      <c r="L31" s="42"/>
      <c r="M31" s="42"/>
      <c r="N31" s="42"/>
      <c r="O31" s="42"/>
      <c r="P31" s="42"/>
      <c r="Q31" s="42"/>
      <c r="R31" s="42"/>
      <c r="S31" s="42"/>
      <c r="T31" s="42"/>
      <c r="U31" s="42"/>
      <c r="V31" s="42"/>
      <c r="W31" s="42"/>
      <c r="X31" s="42"/>
      <c r="Y31" s="42"/>
      <c r="Z31" s="42"/>
    </row>
    <row r="32" spans="1:26" ht="14.25" customHeight="1">
      <c r="D32" s="51"/>
      <c r="E32" s="42"/>
      <c r="F32" s="42"/>
      <c r="G32" s="42"/>
      <c r="H32" s="42"/>
      <c r="I32" s="42"/>
      <c r="J32" s="42"/>
      <c r="K32" s="42"/>
      <c r="L32" s="42"/>
      <c r="M32" s="42"/>
      <c r="N32" s="42"/>
      <c r="O32" s="42"/>
      <c r="P32" s="42"/>
      <c r="Q32" s="42"/>
      <c r="R32" s="42"/>
      <c r="S32" s="42"/>
      <c r="T32" s="42"/>
      <c r="U32" s="42"/>
      <c r="V32" s="42"/>
      <c r="W32" s="42"/>
      <c r="X32" s="42"/>
      <c r="Y32" s="42"/>
      <c r="Z32" s="42"/>
    </row>
    <row r="33" spans="1:26" ht="14.25" customHeight="1">
      <c r="D33" s="51"/>
      <c r="E33" s="42"/>
      <c r="F33" s="42"/>
      <c r="G33" s="42"/>
      <c r="H33" s="42"/>
      <c r="I33" s="42"/>
      <c r="J33" s="42"/>
      <c r="K33" s="42"/>
      <c r="L33" s="42"/>
      <c r="M33" s="42"/>
      <c r="N33" s="42"/>
      <c r="O33" s="42"/>
      <c r="P33" s="42"/>
      <c r="Q33" s="42"/>
      <c r="R33" s="42"/>
      <c r="S33" s="42"/>
      <c r="T33" s="42"/>
      <c r="U33" s="42"/>
      <c r="V33" s="42"/>
      <c r="W33" s="42"/>
      <c r="X33" s="42"/>
      <c r="Y33" s="42"/>
      <c r="Z33" s="42"/>
    </row>
    <row r="34" spans="1:26" ht="14.25" customHeight="1">
      <c r="D34" s="51"/>
      <c r="E34" s="42"/>
      <c r="F34" s="42"/>
      <c r="G34" s="42"/>
      <c r="H34" s="42"/>
      <c r="I34" s="42"/>
      <c r="J34" s="42"/>
      <c r="K34" s="42"/>
      <c r="L34" s="42"/>
      <c r="M34" s="42"/>
      <c r="N34" s="42"/>
      <c r="O34" s="42"/>
      <c r="P34" s="42"/>
      <c r="Q34" s="42"/>
      <c r="R34" s="42"/>
      <c r="S34" s="42"/>
      <c r="T34" s="42"/>
      <c r="U34" s="42"/>
      <c r="V34" s="42"/>
      <c r="W34" s="42"/>
      <c r="X34" s="42"/>
      <c r="Y34" s="42"/>
      <c r="Z34" s="42"/>
    </row>
    <row r="35" spans="1:26" ht="14.25" customHeight="1">
      <c r="D35" s="51"/>
      <c r="E35" s="42"/>
      <c r="F35" s="42"/>
      <c r="G35" s="42"/>
      <c r="H35" s="42"/>
      <c r="I35" s="42"/>
      <c r="J35" s="42"/>
      <c r="K35" s="42"/>
      <c r="L35" s="42"/>
      <c r="M35" s="42"/>
      <c r="N35" s="42"/>
      <c r="O35" s="42"/>
      <c r="P35" s="42"/>
      <c r="Q35" s="42"/>
      <c r="R35" s="42"/>
      <c r="S35" s="42"/>
      <c r="T35" s="42"/>
      <c r="U35" s="42"/>
      <c r="V35" s="42"/>
      <c r="W35" s="42"/>
      <c r="X35" s="42"/>
      <c r="Y35" s="42"/>
      <c r="Z35" s="42"/>
    </row>
    <row r="36" spans="1:26" ht="14.25" customHeight="1">
      <c r="A36" s="51"/>
      <c r="C36" s="51"/>
      <c r="D36" s="51"/>
      <c r="E36" s="42"/>
      <c r="F36" s="42"/>
      <c r="G36" s="42"/>
      <c r="H36" s="42"/>
      <c r="I36" s="42"/>
      <c r="J36" s="42"/>
      <c r="K36" s="42"/>
      <c r="L36" s="42"/>
      <c r="M36" s="42"/>
      <c r="N36" s="42"/>
      <c r="O36" s="42"/>
      <c r="P36" s="42"/>
      <c r="Q36" s="42"/>
      <c r="R36" s="42"/>
      <c r="S36" s="42"/>
      <c r="T36" s="42"/>
      <c r="U36" s="42"/>
      <c r="V36" s="42"/>
      <c r="W36" s="42"/>
      <c r="X36" s="42"/>
      <c r="Y36" s="42"/>
      <c r="Z36" s="42"/>
    </row>
    <row r="37" spans="1:26" ht="14.25" customHeight="1">
      <c r="A37" s="56" t="s">
        <v>118</v>
      </c>
      <c r="B37" s="57"/>
      <c r="C37" s="57"/>
      <c r="D37" s="58"/>
      <c r="E37" s="42"/>
      <c r="F37" s="42"/>
      <c r="G37" s="42"/>
      <c r="H37" s="42"/>
      <c r="I37" s="42"/>
      <c r="J37" s="42"/>
      <c r="K37" s="42"/>
      <c r="L37" s="42"/>
      <c r="M37" s="42"/>
      <c r="N37" s="42"/>
      <c r="O37" s="42"/>
      <c r="P37" s="42"/>
      <c r="Q37" s="42"/>
      <c r="R37" s="42"/>
      <c r="S37" s="42"/>
      <c r="T37" s="42"/>
      <c r="U37" s="42"/>
      <c r="V37" s="42"/>
      <c r="W37" s="42"/>
      <c r="X37" s="42"/>
      <c r="Y37" s="42"/>
      <c r="Z37" s="42"/>
    </row>
    <row r="38" spans="1:26" ht="14.25" customHeight="1">
      <c r="A38" s="59"/>
      <c r="B38" s="60" t="s">
        <v>119</v>
      </c>
      <c r="C38" s="112" t="s">
        <v>120</v>
      </c>
      <c r="D38" s="113"/>
      <c r="E38" s="42"/>
      <c r="F38" s="42"/>
      <c r="G38" s="42"/>
      <c r="H38" s="42"/>
      <c r="I38" s="42"/>
      <c r="J38" s="42"/>
      <c r="K38" s="42"/>
      <c r="L38" s="42"/>
      <c r="M38" s="42"/>
      <c r="N38" s="42"/>
      <c r="O38" s="42"/>
      <c r="P38" s="42"/>
      <c r="Q38" s="42"/>
      <c r="R38" s="42"/>
      <c r="S38" s="42"/>
      <c r="T38" s="42"/>
      <c r="U38" s="42"/>
      <c r="V38" s="42"/>
      <c r="W38" s="42"/>
      <c r="X38" s="42"/>
      <c r="Y38" s="42"/>
      <c r="Z38" s="42"/>
    </row>
    <row r="39" spans="1:26" ht="14.25" customHeight="1">
      <c r="A39" s="59"/>
      <c r="B39" s="61"/>
      <c r="C39" s="61" t="s">
        <v>121</v>
      </c>
      <c r="D39" s="61" t="s">
        <v>122</v>
      </c>
      <c r="E39" s="42"/>
      <c r="F39" s="42"/>
      <c r="G39" s="42"/>
      <c r="H39" s="42"/>
      <c r="I39" s="42"/>
      <c r="J39" s="42"/>
      <c r="K39" s="42"/>
      <c r="L39" s="42"/>
      <c r="M39" s="42"/>
      <c r="N39" s="42"/>
      <c r="O39" s="42"/>
      <c r="P39" s="42"/>
      <c r="Q39" s="42"/>
      <c r="R39" s="42"/>
      <c r="S39" s="42"/>
      <c r="T39" s="42"/>
      <c r="U39" s="42"/>
      <c r="V39" s="42"/>
      <c r="W39" s="42"/>
      <c r="X39" s="42"/>
      <c r="Y39" s="42"/>
      <c r="Z39" s="42"/>
    </row>
    <row r="40" spans="1:26" ht="14.25" customHeight="1">
      <c r="A40" s="59" t="s">
        <v>123</v>
      </c>
      <c r="B40" s="62">
        <v>0.15</v>
      </c>
      <c r="C40" s="61">
        <v>4000</v>
      </c>
      <c r="D40" s="61">
        <v>6000</v>
      </c>
      <c r="E40" s="42"/>
      <c r="F40" s="42"/>
      <c r="G40" s="42"/>
      <c r="H40" s="42"/>
      <c r="I40" s="42"/>
      <c r="J40" s="42"/>
      <c r="K40" s="42"/>
      <c r="L40" s="42"/>
      <c r="M40" s="42"/>
      <c r="N40" s="42"/>
      <c r="O40" s="42"/>
      <c r="P40" s="42"/>
      <c r="Q40" s="42"/>
      <c r="R40" s="42"/>
      <c r="S40" s="42"/>
      <c r="T40" s="42"/>
      <c r="U40" s="42"/>
      <c r="V40" s="42"/>
      <c r="W40" s="42"/>
      <c r="X40" s="42"/>
      <c r="Y40" s="42"/>
      <c r="Z40" s="42"/>
    </row>
    <row r="41" spans="1:26" ht="14.25" customHeight="1">
      <c r="A41" s="59" t="s">
        <v>124</v>
      </c>
      <c r="B41" s="62">
        <v>0.1</v>
      </c>
      <c r="C41" s="61">
        <v>6000</v>
      </c>
      <c r="D41" s="61">
        <v>8000</v>
      </c>
      <c r="E41" s="42"/>
      <c r="F41" s="42"/>
      <c r="G41" s="42"/>
      <c r="H41" s="42"/>
      <c r="I41" s="42"/>
      <c r="J41" s="42"/>
      <c r="K41" s="42"/>
      <c r="L41" s="42"/>
      <c r="M41" s="42"/>
      <c r="N41" s="42"/>
      <c r="O41" s="42"/>
      <c r="P41" s="42"/>
      <c r="Q41" s="42"/>
      <c r="R41" s="42"/>
      <c r="S41" s="42"/>
      <c r="T41" s="42"/>
      <c r="U41" s="42"/>
      <c r="V41" s="42"/>
      <c r="W41" s="42"/>
      <c r="X41" s="42"/>
      <c r="Y41" s="42"/>
      <c r="Z41" s="42"/>
    </row>
    <row r="42" spans="1:26" ht="14.25" customHeight="1">
      <c r="A42" s="59" t="s">
        <v>125</v>
      </c>
      <c r="B42" s="62">
        <v>0.4</v>
      </c>
      <c r="C42" s="61">
        <v>3000</v>
      </c>
      <c r="D42" s="61">
        <v>5000</v>
      </c>
      <c r="E42" s="42"/>
      <c r="F42" s="42"/>
      <c r="G42" s="42"/>
      <c r="H42" s="42"/>
      <c r="I42" s="42"/>
      <c r="J42" s="42"/>
      <c r="K42" s="42"/>
      <c r="L42" s="42"/>
      <c r="M42" s="42"/>
      <c r="N42" s="42"/>
      <c r="O42" s="42"/>
      <c r="P42" s="42"/>
      <c r="Q42" s="42"/>
      <c r="R42" s="42"/>
      <c r="S42" s="42"/>
      <c r="T42" s="42"/>
      <c r="U42" s="42"/>
      <c r="V42" s="42"/>
      <c r="W42" s="42"/>
      <c r="X42" s="42"/>
      <c r="Y42" s="42"/>
      <c r="Z42" s="42"/>
    </row>
    <row r="43" spans="1:26" ht="14.25" customHeight="1">
      <c r="A43" s="59" t="s">
        <v>126</v>
      </c>
      <c r="B43" s="62">
        <v>0.2</v>
      </c>
      <c r="C43" s="61">
        <v>2500</v>
      </c>
      <c r="D43" s="61">
        <v>5000</v>
      </c>
      <c r="E43" s="42"/>
      <c r="F43" s="42"/>
      <c r="G43" s="42"/>
      <c r="H43" s="42"/>
      <c r="I43" s="42"/>
      <c r="J43" s="42"/>
      <c r="K43" s="42"/>
      <c r="L43" s="42"/>
      <c r="M43" s="42"/>
      <c r="N43" s="42"/>
      <c r="O43" s="42"/>
      <c r="P43" s="42"/>
      <c r="Q43" s="42"/>
      <c r="R43" s="42"/>
      <c r="S43" s="42"/>
      <c r="T43" s="42"/>
      <c r="U43" s="42"/>
      <c r="V43" s="42"/>
      <c r="W43" s="42"/>
      <c r="X43" s="42"/>
      <c r="Y43" s="42"/>
      <c r="Z43" s="42"/>
    </row>
    <row r="44" spans="1:26" ht="14.25" customHeight="1">
      <c r="A44" s="59" t="s">
        <v>127</v>
      </c>
      <c r="B44" s="62">
        <v>0.1</v>
      </c>
      <c r="C44" s="61">
        <v>8000</v>
      </c>
      <c r="D44" s="61">
        <v>10000</v>
      </c>
      <c r="E44" s="42"/>
      <c r="F44" s="42"/>
      <c r="G44" s="42"/>
      <c r="H44" s="42"/>
      <c r="I44" s="42"/>
      <c r="J44" s="42"/>
      <c r="K44" s="42"/>
      <c r="L44" s="42"/>
      <c r="M44" s="42"/>
      <c r="N44" s="42"/>
      <c r="O44" s="42"/>
      <c r="P44" s="42"/>
      <c r="Q44" s="42"/>
      <c r="R44" s="42"/>
      <c r="S44" s="42"/>
      <c r="T44" s="42"/>
      <c r="U44" s="42"/>
      <c r="V44" s="42"/>
      <c r="W44" s="42"/>
      <c r="X44" s="42"/>
      <c r="Y44" s="42"/>
      <c r="Z44" s="42"/>
    </row>
    <row r="45" spans="1:26" ht="14.25" customHeight="1">
      <c r="A45" s="59" t="s">
        <v>128</v>
      </c>
      <c r="B45" s="62">
        <v>0.05</v>
      </c>
      <c r="C45" s="61">
        <v>3000</v>
      </c>
      <c r="D45" s="61">
        <v>5000</v>
      </c>
      <c r="E45" s="42"/>
      <c r="F45" s="42"/>
      <c r="G45" s="42"/>
      <c r="H45" s="42"/>
      <c r="I45" s="42"/>
      <c r="J45" s="42"/>
      <c r="K45" s="42"/>
      <c r="L45" s="42"/>
      <c r="M45" s="42"/>
      <c r="N45" s="42"/>
      <c r="O45" s="42"/>
      <c r="P45" s="42"/>
      <c r="Q45" s="42"/>
      <c r="R45" s="42"/>
      <c r="S45" s="42"/>
      <c r="T45" s="42"/>
      <c r="U45" s="42"/>
      <c r="V45" s="42"/>
      <c r="W45" s="42"/>
      <c r="X45" s="42"/>
      <c r="Y45" s="42"/>
      <c r="Z45" s="42"/>
    </row>
    <row r="46" spans="1:26" ht="14.25" customHeight="1">
      <c r="A46" s="63" t="s">
        <v>123</v>
      </c>
      <c r="B46" s="64">
        <v>0.15</v>
      </c>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ht="14.25" customHeight="1">
      <c r="A47" s="63" t="s">
        <v>124</v>
      </c>
      <c r="B47" s="64">
        <v>0.1</v>
      </c>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ht="14.25" customHeight="1">
      <c r="A48" s="63" t="s">
        <v>125</v>
      </c>
      <c r="B48" s="64">
        <v>0.4</v>
      </c>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ht="14.25" customHeight="1">
      <c r="A49" s="63" t="s">
        <v>126</v>
      </c>
      <c r="B49" s="64">
        <v>0.2</v>
      </c>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ht="14.25" customHeight="1">
      <c r="A50" s="63" t="s">
        <v>127</v>
      </c>
      <c r="B50" s="64">
        <v>0.1</v>
      </c>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ht="14.25" customHeight="1">
      <c r="A51" s="63" t="s">
        <v>128</v>
      </c>
      <c r="B51" s="64">
        <v>0.05</v>
      </c>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ht="14.25" customHeight="1">
      <c r="A52" s="63"/>
      <c r="B52" s="65"/>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ht="14.25" customHeight="1">
      <c r="A53" s="41"/>
      <c r="B53" s="41"/>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ht="14.25" customHeight="1">
      <c r="A54" s="41"/>
      <c r="B54" s="41"/>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ht="14.25" customHeight="1">
      <c r="A55" s="41"/>
      <c r="B55" s="41"/>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ht="14.25" customHeight="1">
      <c r="A56" s="41"/>
      <c r="B56" s="41"/>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ht="14.25" customHeight="1">
      <c r="A57" s="41"/>
      <c r="B57" s="41"/>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ht="14.25" customHeight="1">
      <c r="A58" s="41"/>
      <c r="B58" s="41"/>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ht="14.25" customHeight="1">
      <c r="A59" s="41"/>
      <c r="B59" s="41"/>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4.25" customHeight="1">
      <c r="A60" s="41"/>
      <c r="B60" s="41"/>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4.25" customHeight="1">
      <c r="A61" s="41"/>
      <c r="B61" s="41"/>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4.25" customHeight="1">
      <c r="A62" s="41"/>
      <c r="B62" s="41"/>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4.25" customHeight="1">
      <c r="A63" s="41"/>
      <c r="B63" s="41"/>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4.25" customHeight="1">
      <c r="A64" s="41"/>
      <c r="B64" s="41"/>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4.25" customHeight="1">
      <c r="A65" s="41"/>
      <c r="B65" s="41"/>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4.25" customHeight="1">
      <c r="A66" s="41"/>
      <c r="B66" s="41"/>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4.25" customHeight="1">
      <c r="A67" s="41"/>
      <c r="B67" s="41"/>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4.25" customHeight="1">
      <c r="A68" s="41"/>
      <c r="B68" s="41"/>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4.25" customHeight="1">
      <c r="A69" s="41"/>
      <c r="B69" s="41"/>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4.25" customHeight="1">
      <c r="A70" s="41"/>
      <c r="B70" s="41"/>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4.25" customHeight="1">
      <c r="A71" s="41"/>
      <c r="B71" s="41"/>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4.25" customHeight="1">
      <c r="A72" s="41"/>
      <c r="B72" s="41"/>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4.25" customHeight="1">
      <c r="A73" s="41"/>
      <c r="B73" s="41"/>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4.25" customHeight="1">
      <c r="A74" s="41"/>
      <c r="B74" s="41"/>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4.25" customHeight="1">
      <c r="A75" s="41"/>
      <c r="B75" s="41"/>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4.25" customHeight="1">
      <c r="A76" s="41"/>
      <c r="B76" s="41"/>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4.25" customHeight="1">
      <c r="A77" s="41"/>
      <c r="B77" s="41"/>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4.25" customHeight="1">
      <c r="A78" s="41"/>
      <c r="B78" s="41"/>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4.25" customHeight="1">
      <c r="A79" s="41"/>
      <c r="B79" s="41"/>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4.25" customHeight="1">
      <c r="A80" s="41"/>
      <c r="B80" s="41"/>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4.25" customHeight="1">
      <c r="A81" s="41"/>
      <c r="B81" s="41"/>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4.25" customHeight="1">
      <c r="A82" s="41"/>
      <c r="B82" s="41"/>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4.25" customHeight="1">
      <c r="A83" s="41"/>
      <c r="B83" s="41"/>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4.25" customHeight="1">
      <c r="A84" s="41"/>
      <c r="B84" s="41"/>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4.25" customHeight="1">
      <c r="A85" s="41"/>
      <c r="B85" s="41"/>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4.25" customHeight="1">
      <c r="A86" s="41"/>
      <c r="B86" s="41"/>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4.25" customHeight="1">
      <c r="A87" s="41"/>
      <c r="B87" s="41"/>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4.25" customHeight="1">
      <c r="A88" s="41"/>
      <c r="B88" s="41"/>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4.25" customHeight="1">
      <c r="A89" s="41"/>
      <c r="B89" s="41"/>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4.25" customHeight="1">
      <c r="A90" s="41"/>
      <c r="B90" s="41"/>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4.25" customHeight="1">
      <c r="A91" s="41"/>
      <c r="B91" s="41"/>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4.25" customHeight="1">
      <c r="A92" s="41"/>
      <c r="B92" s="41"/>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4.25" customHeight="1">
      <c r="A93" s="41"/>
      <c r="B93" s="41"/>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4.25" customHeight="1">
      <c r="A94" s="41"/>
      <c r="B94" s="41"/>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4.25" customHeight="1">
      <c r="A95" s="41"/>
      <c r="B95" s="41"/>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4.25" customHeight="1">
      <c r="A96" s="41"/>
      <c r="B96" s="41"/>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4.25" customHeight="1">
      <c r="A97" s="41"/>
      <c r="B97" s="41"/>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4.25" customHeight="1">
      <c r="A98" s="41"/>
      <c r="B98" s="41"/>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4.25" customHeight="1">
      <c r="A99" s="41"/>
      <c r="B99" s="41"/>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4.25" customHeight="1">
      <c r="A100" s="41"/>
      <c r="B100" s="41"/>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4.25" customHeight="1">
      <c r="A101" s="41"/>
      <c r="B101" s="41"/>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4.25" customHeight="1">
      <c r="A102" s="41"/>
      <c r="B102" s="41"/>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4.25" customHeight="1">
      <c r="A103" s="41"/>
      <c r="B103" s="41"/>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4.25" customHeight="1">
      <c r="A104" s="41"/>
      <c r="B104" s="41"/>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4.25" customHeight="1">
      <c r="A105" s="41"/>
      <c r="B105" s="41"/>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4.25" customHeight="1">
      <c r="A106" s="41"/>
      <c r="B106" s="41"/>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4.25" customHeight="1">
      <c r="A107" s="41"/>
      <c r="B107" s="41"/>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4.25" customHeight="1">
      <c r="A108" s="41"/>
      <c r="B108" s="41"/>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4.25" customHeight="1">
      <c r="A109" s="41"/>
      <c r="B109" s="41"/>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4.25" customHeight="1">
      <c r="A110" s="41"/>
      <c r="B110" s="41"/>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4.25" customHeight="1">
      <c r="A111" s="41"/>
      <c r="B111" s="41"/>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4.25" customHeight="1">
      <c r="A112" s="41"/>
      <c r="B112" s="41"/>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4.25" customHeight="1">
      <c r="A113" s="41"/>
      <c r="B113" s="41"/>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4.25" customHeight="1">
      <c r="A114" s="41"/>
      <c r="B114" s="41"/>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4.25" customHeight="1">
      <c r="A115" s="41"/>
      <c r="B115" s="41"/>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4.25" customHeight="1">
      <c r="A116" s="41"/>
      <c r="B116" s="41"/>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4.25" customHeight="1">
      <c r="A117" s="41"/>
      <c r="B117" s="41"/>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4.25" customHeight="1">
      <c r="A118" s="41"/>
      <c r="B118" s="41"/>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4.25" customHeight="1">
      <c r="A119" s="41"/>
      <c r="B119" s="41"/>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4.25" customHeight="1">
      <c r="A120" s="41"/>
      <c r="B120" s="41"/>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4.25" customHeight="1">
      <c r="A121" s="41"/>
      <c r="B121" s="41"/>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4.25" customHeight="1">
      <c r="A122" s="41"/>
      <c r="B122" s="41"/>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4.25" customHeight="1">
      <c r="A123" s="41"/>
      <c r="B123" s="41"/>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4.25" customHeight="1">
      <c r="A124" s="41"/>
      <c r="B124" s="41"/>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4.25" customHeight="1">
      <c r="A125" s="41"/>
      <c r="B125" s="41"/>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4.25" customHeight="1">
      <c r="A126" s="41"/>
      <c r="B126" s="41"/>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4.25" customHeight="1">
      <c r="A127" s="41"/>
      <c r="B127" s="41"/>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4.25" customHeight="1">
      <c r="A128" s="41"/>
      <c r="B128" s="41"/>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4.25" customHeight="1">
      <c r="A129" s="41"/>
      <c r="B129" s="41"/>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4.25" customHeight="1">
      <c r="A130" s="41"/>
      <c r="B130" s="41"/>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4.25" customHeight="1">
      <c r="A131" s="41"/>
      <c r="B131" s="41"/>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4.25" customHeight="1">
      <c r="A132" s="41"/>
      <c r="B132" s="41"/>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4.25" customHeight="1">
      <c r="A133" s="41"/>
      <c r="B133" s="41"/>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4.25" customHeight="1">
      <c r="A134" s="41"/>
      <c r="B134" s="41"/>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4.25" customHeight="1">
      <c r="A135" s="41"/>
      <c r="B135" s="41"/>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4.25" customHeight="1">
      <c r="A136" s="41"/>
      <c r="B136" s="41"/>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4.25" customHeight="1">
      <c r="A137" s="41"/>
      <c r="B137" s="41"/>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4.25" customHeight="1">
      <c r="A138" s="41"/>
      <c r="B138" s="41"/>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4.25" customHeight="1">
      <c r="A139" s="41"/>
      <c r="B139" s="41"/>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4.25" customHeight="1">
      <c r="A140" s="41"/>
      <c r="B140" s="41"/>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4.25" customHeight="1">
      <c r="A141" s="41"/>
      <c r="B141" s="41"/>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4.25" customHeight="1">
      <c r="A142" s="41"/>
      <c r="B142" s="41"/>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4.25" customHeight="1">
      <c r="A143" s="41"/>
      <c r="B143" s="41"/>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4.25" customHeight="1">
      <c r="A144" s="41"/>
      <c r="B144" s="41"/>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4.25" customHeight="1">
      <c r="A145" s="41"/>
      <c r="B145" s="41"/>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4.25" customHeight="1">
      <c r="A146" s="41"/>
      <c r="B146" s="41"/>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4.25" customHeight="1">
      <c r="A147" s="41"/>
      <c r="B147" s="41"/>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4.25" customHeight="1">
      <c r="A148" s="41"/>
      <c r="B148" s="41"/>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4.25" customHeight="1">
      <c r="A149" s="41"/>
      <c r="B149" s="41"/>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4.25" customHeight="1">
      <c r="A150" s="41"/>
      <c r="B150" s="41"/>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4.25" customHeight="1">
      <c r="A151" s="41"/>
      <c r="B151" s="41"/>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4.25" customHeight="1">
      <c r="A152" s="41"/>
      <c r="B152" s="41"/>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4.25" customHeight="1">
      <c r="A153" s="41"/>
      <c r="B153" s="41"/>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4.25" customHeight="1">
      <c r="A154" s="41"/>
      <c r="B154" s="41"/>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4.25" customHeight="1">
      <c r="A155" s="41"/>
      <c r="B155" s="41"/>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4.25" customHeight="1">
      <c r="A156" s="41"/>
      <c r="B156" s="41"/>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4.25" customHeight="1">
      <c r="A157" s="41"/>
      <c r="B157" s="41"/>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4.25" customHeight="1">
      <c r="A158" s="41"/>
      <c r="B158" s="41"/>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4.25" customHeight="1">
      <c r="A159" s="41"/>
      <c r="B159" s="41"/>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4.25" customHeight="1">
      <c r="A160" s="41"/>
      <c r="B160" s="41"/>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4.25" customHeight="1">
      <c r="A161" s="41"/>
      <c r="B161" s="41"/>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4.25" customHeight="1">
      <c r="A162" s="41"/>
      <c r="B162" s="41"/>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4.25" customHeight="1">
      <c r="A163" s="41"/>
      <c r="B163" s="41"/>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4.25" customHeight="1">
      <c r="A164" s="41"/>
      <c r="B164" s="41"/>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4.25" customHeight="1">
      <c r="A165" s="41"/>
      <c r="B165" s="41"/>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4.25" customHeight="1">
      <c r="A166" s="41"/>
      <c r="B166" s="41"/>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4.25" customHeight="1">
      <c r="A167" s="41"/>
      <c r="B167" s="41"/>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4.25" customHeight="1">
      <c r="A168" s="41"/>
      <c r="B168" s="41"/>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4.25" customHeight="1">
      <c r="A169" s="41"/>
      <c r="B169" s="41"/>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4.25" customHeight="1">
      <c r="A170" s="41"/>
      <c r="B170" s="41"/>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4.25" customHeight="1">
      <c r="A171" s="41"/>
      <c r="B171" s="41"/>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4.25" customHeight="1">
      <c r="A172" s="41"/>
      <c r="B172" s="41"/>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4.25" customHeight="1">
      <c r="A173" s="41"/>
      <c r="B173" s="41"/>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4.25" customHeight="1">
      <c r="A174" s="41"/>
      <c r="B174" s="41"/>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4.25" customHeight="1">
      <c r="A175" s="41"/>
      <c r="B175" s="41"/>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4.25" customHeight="1">
      <c r="A176" s="41"/>
      <c r="B176" s="41"/>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4.25" customHeight="1">
      <c r="A177" s="41"/>
      <c r="B177" s="41"/>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4.25" customHeight="1">
      <c r="A178" s="41"/>
      <c r="B178" s="41"/>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4.25" customHeight="1">
      <c r="A179" s="41"/>
      <c r="B179" s="41"/>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4.25" customHeight="1">
      <c r="A180" s="41"/>
      <c r="B180" s="41"/>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4.25" customHeight="1">
      <c r="A181" s="41"/>
      <c r="B181" s="41"/>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4.25" customHeight="1">
      <c r="A182" s="41"/>
      <c r="B182" s="41"/>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4.25" customHeight="1">
      <c r="A183" s="41"/>
      <c r="B183" s="41"/>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4.25" customHeight="1">
      <c r="A184" s="41"/>
      <c r="B184" s="41"/>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4.25" customHeight="1">
      <c r="A185" s="41"/>
      <c r="B185" s="41"/>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4.25" customHeight="1">
      <c r="A186" s="41"/>
      <c r="B186" s="41"/>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4.25" customHeight="1">
      <c r="A187" s="41"/>
      <c r="B187" s="41"/>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4.25" customHeight="1">
      <c r="A188" s="41"/>
      <c r="B188" s="41"/>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4.25" customHeight="1">
      <c r="A189" s="41"/>
      <c r="B189" s="41"/>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4.25" customHeight="1">
      <c r="A190" s="41"/>
      <c r="B190" s="41"/>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4.25" customHeight="1">
      <c r="A191" s="41"/>
      <c r="B191" s="41"/>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4.25" customHeight="1">
      <c r="A192" s="41"/>
      <c r="B192" s="41"/>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4.25" customHeight="1">
      <c r="A193" s="41"/>
      <c r="B193" s="41"/>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4.25" customHeight="1">
      <c r="A194" s="41"/>
      <c r="B194" s="41"/>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4.25" customHeight="1">
      <c r="A195" s="41"/>
      <c r="B195" s="41"/>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4.25" customHeight="1">
      <c r="A196" s="41"/>
      <c r="B196" s="41"/>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4.25" customHeight="1">
      <c r="A197" s="41"/>
      <c r="B197" s="41"/>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4.25" customHeight="1">
      <c r="A198" s="41"/>
      <c r="B198" s="41"/>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4.25" customHeight="1">
      <c r="A199" s="41"/>
      <c r="B199" s="41"/>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4.25" customHeight="1">
      <c r="A200" s="41"/>
      <c r="B200" s="41"/>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4.25" customHeight="1">
      <c r="A201" s="41"/>
      <c r="B201" s="41"/>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4.25" customHeight="1">
      <c r="A202" s="41"/>
      <c r="B202" s="41"/>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4.25" customHeight="1">
      <c r="A203" s="41"/>
      <c r="B203" s="41"/>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4.25" customHeight="1">
      <c r="A204" s="41"/>
      <c r="B204" s="41"/>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4.25" customHeight="1">
      <c r="A205" s="41"/>
      <c r="B205" s="41"/>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4.25" customHeight="1">
      <c r="A206" s="41"/>
      <c r="B206" s="41"/>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4.25" customHeight="1">
      <c r="A207" s="41"/>
      <c r="B207" s="41"/>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4.25" customHeight="1">
      <c r="A208" s="41"/>
      <c r="B208" s="41"/>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4.25" customHeight="1">
      <c r="A209" s="41"/>
      <c r="B209" s="41"/>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4.25" customHeight="1">
      <c r="A210" s="41"/>
      <c r="B210" s="41"/>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4.25" customHeight="1">
      <c r="A211" s="41"/>
      <c r="B211" s="41"/>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4.25" customHeight="1">
      <c r="A212" s="41"/>
      <c r="B212" s="41"/>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4.25" customHeight="1">
      <c r="A213" s="41"/>
      <c r="B213" s="41"/>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4.25" customHeight="1">
      <c r="A214" s="41"/>
      <c r="B214" s="41"/>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4.25" customHeight="1">
      <c r="A215" s="41"/>
      <c r="B215" s="41"/>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4.25" customHeight="1">
      <c r="A216" s="41"/>
      <c r="B216" s="41"/>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4.25" customHeight="1">
      <c r="A217" s="41"/>
      <c r="B217" s="41"/>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4.25" customHeight="1">
      <c r="A218" s="41"/>
      <c r="B218" s="41"/>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4.25" customHeight="1">
      <c r="A219" s="41"/>
      <c r="B219" s="41"/>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4.25" customHeight="1">
      <c r="A220" s="41"/>
      <c r="B220" s="41"/>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4.25" customHeight="1">
      <c r="A221" s="41"/>
      <c r="B221" s="41"/>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4.25" customHeight="1">
      <c r="A222" s="41"/>
      <c r="B222" s="41"/>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4.25" customHeight="1">
      <c r="A223" s="41"/>
      <c r="B223" s="41"/>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4.25" customHeight="1">
      <c r="A224" s="41"/>
      <c r="B224" s="41"/>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4.25" customHeight="1">
      <c r="A225" s="41"/>
      <c r="B225" s="41"/>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4.25" customHeight="1">
      <c r="A226" s="41"/>
      <c r="B226" s="41"/>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4.25" customHeight="1">
      <c r="A227" s="41"/>
      <c r="B227" s="41"/>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4.25" customHeight="1">
      <c r="A228" s="41"/>
      <c r="B228" s="41"/>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4.25" customHeight="1">
      <c r="A229" s="41"/>
      <c r="B229" s="41"/>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4.25" customHeight="1">
      <c r="A230" s="41"/>
      <c r="B230" s="41"/>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4.25" customHeight="1">
      <c r="A231" s="41"/>
      <c r="B231" s="41"/>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4.25" customHeight="1">
      <c r="A232" s="41"/>
      <c r="B232" s="41"/>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4.25" customHeight="1">
      <c r="A233" s="41"/>
      <c r="B233" s="41"/>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4.25" customHeight="1">
      <c r="A234" s="41"/>
      <c r="B234" s="41"/>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4.25" customHeight="1">
      <c r="A235" s="41"/>
      <c r="B235" s="41"/>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4.25" customHeight="1">
      <c r="A236" s="41"/>
      <c r="B236" s="41"/>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4.25" customHeight="1">
      <c r="A237" s="41"/>
      <c r="B237" s="41"/>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4.25" customHeight="1">
      <c r="A238" s="41"/>
      <c r="B238" s="41"/>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4.25" customHeight="1">
      <c r="A239" s="41"/>
      <c r="B239" s="41"/>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4.25" customHeight="1">
      <c r="A240" s="41"/>
      <c r="B240" s="41"/>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4.25" customHeight="1">
      <c r="A241" s="41"/>
      <c r="B241" s="41"/>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4.25" customHeight="1">
      <c r="A242" s="41"/>
      <c r="B242" s="41"/>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4.25" customHeight="1">
      <c r="A243" s="41"/>
      <c r="B243" s="41"/>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4.25" customHeight="1">
      <c r="A244" s="41"/>
      <c r="B244" s="41"/>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4.25" customHeight="1">
      <c r="A245" s="41"/>
      <c r="B245" s="41"/>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4.25" customHeight="1">
      <c r="A246" s="41"/>
      <c r="B246" s="41"/>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4.25" customHeight="1">
      <c r="A247" s="41"/>
      <c r="B247" s="41"/>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4.25" customHeight="1">
      <c r="A248" s="41"/>
      <c r="B248" s="41"/>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4.25" customHeight="1">
      <c r="A249" s="41"/>
      <c r="B249" s="41"/>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4.25" customHeight="1">
      <c r="A250" s="41"/>
      <c r="B250" s="41"/>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4.25" customHeight="1">
      <c r="A251" s="41"/>
      <c r="B251" s="41"/>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4.25" customHeight="1">
      <c r="A252" s="41"/>
      <c r="B252" s="41"/>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4.25" customHeight="1">
      <c r="A253" s="41"/>
      <c r="B253" s="41"/>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4.25" customHeight="1">
      <c r="A254" s="41"/>
      <c r="B254" s="41"/>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4.25" customHeight="1">
      <c r="A255" s="41"/>
      <c r="B255" s="41"/>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4.25" customHeight="1">
      <c r="A256" s="41"/>
      <c r="B256" s="41"/>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4.25" customHeight="1">
      <c r="A257" s="41"/>
      <c r="B257" s="41"/>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4.25" customHeight="1">
      <c r="A258" s="41"/>
      <c r="B258" s="41"/>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4.25" customHeight="1">
      <c r="A259" s="41"/>
      <c r="B259" s="41"/>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4.25" customHeight="1">
      <c r="A260" s="41"/>
      <c r="B260" s="41"/>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4.25" customHeight="1">
      <c r="A261" s="41"/>
      <c r="B261" s="41"/>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4.25" customHeight="1">
      <c r="A262" s="41"/>
      <c r="B262" s="41"/>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4.25" customHeight="1">
      <c r="A263" s="41"/>
      <c r="B263" s="41"/>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4.25" customHeight="1">
      <c r="A264" s="41"/>
      <c r="B264" s="41"/>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4.25" customHeight="1">
      <c r="A265" s="41"/>
      <c r="B265" s="41"/>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4.25" customHeight="1">
      <c r="A266" s="41"/>
      <c r="B266" s="41"/>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4.25" customHeight="1">
      <c r="A267" s="41"/>
      <c r="B267" s="41"/>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4.25" customHeight="1">
      <c r="A268" s="41"/>
      <c r="B268" s="41"/>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4.25" customHeight="1">
      <c r="A269" s="41"/>
      <c r="B269" s="41"/>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4.25" customHeight="1">
      <c r="A270" s="41"/>
      <c r="B270" s="41"/>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4.25" customHeight="1">
      <c r="A271" s="41"/>
      <c r="B271" s="41"/>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4.25" customHeight="1">
      <c r="A272" s="41"/>
      <c r="B272" s="41"/>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4.25" customHeight="1">
      <c r="A273" s="41"/>
      <c r="B273" s="41"/>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4.25" customHeight="1">
      <c r="A274" s="41"/>
      <c r="B274" s="41"/>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4.25" customHeight="1">
      <c r="A275" s="41"/>
      <c r="B275" s="41"/>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4.25" customHeight="1">
      <c r="A276" s="41"/>
      <c r="B276" s="41"/>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4.25" customHeight="1">
      <c r="A277" s="41"/>
      <c r="B277" s="41"/>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4.25" customHeight="1">
      <c r="A278" s="41"/>
      <c r="B278" s="41"/>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4.25" customHeight="1">
      <c r="A279" s="41"/>
      <c r="B279" s="41"/>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4.25" customHeight="1">
      <c r="A280" s="41"/>
      <c r="B280" s="41"/>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4.25" customHeight="1">
      <c r="A281" s="41"/>
      <c r="B281" s="41"/>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4.25" customHeight="1">
      <c r="A282" s="41"/>
      <c r="B282" s="41"/>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4.25" customHeight="1">
      <c r="A283" s="41"/>
      <c r="B283" s="41"/>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4.25" customHeight="1">
      <c r="A284" s="41"/>
      <c r="B284" s="41"/>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4.25" customHeight="1">
      <c r="A285" s="41"/>
      <c r="B285" s="41"/>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4.25" customHeight="1">
      <c r="A286" s="41"/>
      <c r="B286" s="41"/>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4.25" customHeight="1">
      <c r="A287" s="41"/>
      <c r="B287" s="41"/>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4.25" customHeight="1">
      <c r="A288" s="41"/>
      <c r="B288" s="41"/>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4.25" customHeight="1">
      <c r="A289" s="41"/>
      <c r="B289" s="41"/>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4.25" customHeight="1">
      <c r="A290" s="41"/>
      <c r="B290" s="41"/>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4.25" customHeight="1">
      <c r="A291" s="41"/>
      <c r="B291" s="41"/>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4.25" customHeight="1">
      <c r="A292" s="41"/>
      <c r="B292" s="41"/>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4.25" customHeight="1">
      <c r="A293" s="41"/>
      <c r="B293" s="41"/>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4.25" customHeight="1">
      <c r="A294" s="41"/>
      <c r="B294" s="41"/>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4.25" customHeight="1">
      <c r="A295" s="41"/>
      <c r="B295" s="41"/>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4.25" customHeight="1">
      <c r="A296" s="41"/>
      <c r="B296" s="41"/>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4.25" customHeight="1">
      <c r="A297" s="41"/>
      <c r="B297" s="41"/>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4.25" customHeight="1">
      <c r="A298" s="41"/>
      <c r="B298" s="41"/>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4.25" customHeight="1">
      <c r="A299" s="41"/>
      <c r="B299" s="41"/>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4.25" customHeight="1">
      <c r="A300" s="41"/>
      <c r="B300" s="41"/>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4.25" customHeight="1">
      <c r="A301" s="41"/>
      <c r="B301" s="41"/>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4.25" customHeight="1">
      <c r="A302" s="41"/>
      <c r="B302" s="41"/>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4.25" customHeight="1">
      <c r="A303" s="41"/>
      <c r="B303" s="41"/>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4.25" customHeight="1">
      <c r="A304" s="41"/>
      <c r="B304" s="41"/>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4.25" customHeight="1">
      <c r="A305" s="41"/>
      <c r="B305" s="41"/>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4.25" customHeight="1">
      <c r="A306" s="41"/>
      <c r="B306" s="41"/>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4.25" customHeight="1">
      <c r="A307" s="41"/>
      <c r="B307" s="41"/>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4.25" customHeight="1">
      <c r="A308" s="41"/>
      <c r="B308" s="41"/>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4.25" customHeight="1">
      <c r="A309" s="41"/>
      <c r="B309" s="41"/>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4.25" customHeight="1">
      <c r="A310" s="41"/>
      <c r="B310" s="41"/>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4.25" customHeight="1">
      <c r="A311" s="41"/>
      <c r="B311" s="41"/>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4.25" customHeight="1">
      <c r="A312" s="41"/>
      <c r="B312" s="41"/>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4.25" customHeight="1">
      <c r="A313" s="41"/>
      <c r="B313" s="41"/>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4.25" customHeight="1">
      <c r="A314" s="41"/>
      <c r="B314" s="41"/>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4.25" customHeight="1">
      <c r="A315" s="41"/>
      <c r="B315" s="41"/>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4.25" customHeight="1">
      <c r="A316" s="41"/>
      <c r="B316" s="41"/>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4.25" customHeight="1">
      <c r="A317" s="41"/>
      <c r="B317" s="41"/>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4.25" customHeight="1">
      <c r="A318" s="41"/>
      <c r="B318" s="41"/>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4.25" customHeight="1">
      <c r="A319" s="41"/>
      <c r="B319" s="41"/>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4.25" customHeight="1">
      <c r="A320" s="41"/>
      <c r="B320" s="41"/>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4.25" customHeight="1">
      <c r="A321" s="41"/>
      <c r="B321" s="41"/>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4.25" customHeight="1">
      <c r="A322" s="41"/>
      <c r="B322" s="41"/>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4.25" customHeight="1">
      <c r="A323" s="41"/>
      <c r="B323" s="41"/>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4.25" customHeight="1">
      <c r="A324" s="41"/>
      <c r="B324" s="41"/>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4.25" customHeight="1">
      <c r="A325" s="41"/>
      <c r="B325" s="41"/>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4.25" customHeight="1">
      <c r="A326" s="41"/>
      <c r="B326" s="41"/>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4.25" customHeight="1">
      <c r="A327" s="41"/>
      <c r="B327" s="41"/>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4.25" customHeight="1">
      <c r="A328" s="41"/>
      <c r="B328" s="41"/>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4.25" customHeight="1">
      <c r="A329" s="41"/>
      <c r="B329" s="41"/>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4.25" customHeight="1">
      <c r="A330" s="41"/>
      <c r="B330" s="41"/>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4.25" customHeight="1">
      <c r="A331" s="41"/>
      <c r="B331" s="41"/>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4.25" customHeight="1">
      <c r="A332" s="41"/>
      <c r="B332" s="41"/>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4.25" customHeight="1">
      <c r="A333" s="41"/>
      <c r="B333" s="41"/>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4.25" customHeight="1">
      <c r="A334" s="41"/>
      <c r="B334" s="41"/>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4.25" customHeight="1">
      <c r="A335" s="41"/>
      <c r="B335" s="41"/>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4.25" customHeight="1">
      <c r="A336" s="41"/>
      <c r="B336" s="41"/>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4.25" customHeight="1">
      <c r="A337" s="41"/>
      <c r="B337" s="41"/>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4.25" customHeight="1">
      <c r="A338" s="41"/>
      <c r="B338" s="41"/>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4.25" customHeight="1">
      <c r="A339" s="41"/>
      <c r="B339" s="41"/>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4.25" customHeight="1">
      <c r="A340" s="41"/>
      <c r="B340" s="41"/>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4.25" customHeight="1">
      <c r="A341" s="41"/>
      <c r="B341" s="41"/>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4.25" customHeight="1">
      <c r="A342" s="41"/>
      <c r="B342" s="41"/>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4.25" customHeight="1">
      <c r="A343" s="41"/>
      <c r="B343" s="41"/>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4.25" customHeight="1">
      <c r="A344" s="41"/>
      <c r="B344" s="41"/>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4.25" customHeight="1">
      <c r="A345" s="41"/>
      <c r="B345" s="41"/>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4.25" customHeight="1">
      <c r="A346" s="41"/>
      <c r="B346" s="41"/>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4.25" customHeight="1">
      <c r="A347" s="41"/>
      <c r="B347" s="41"/>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4.25" customHeight="1">
      <c r="A348" s="41"/>
      <c r="B348" s="41"/>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4.25" customHeight="1">
      <c r="A349" s="41"/>
      <c r="B349" s="41"/>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4.25" customHeight="1">
      <c r="A350" s="41"/>
      <c r="B350" s="41"/>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4.25" customHeight="1">
      <c r="A351" s="41"/>
      <c r="B351" s="41"/>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4.25" customHeight="1">
      <c r="A352" s="41"/>
      <c r="B352" s="41"/>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4.25" customHeight="1">
      <c r="A353" s="41"/>
      <c r="B353" s="41"/>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4.25" customHeight="1">
      <c r="A354" s="41"/>
      <c r="B354" s="41"/>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4.25" customHeight="1">
      <c r="A355" s="41"/>
      <c r="B355" s="41"/>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4.25" customHeight="1">
      <c r="A356" s="41"/>
      <c r="B356" s="41"/>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4.25" customHeight="1">
      <c r="A357" s="41"/>
      <c r="B357" s="41"/>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4.25" customHeight="1">
      <c r="A358" s="41"/>
      <c r="B358" s="41"/>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4.25" customHeight="1">
      <c r="A359" s="41"/>
      <c r="B359" s="41"/>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4.25" customHeight="1">
      <c r="A360" s="41"/>
      <c r="B360" s="41"/>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4.25" customHeight="1">
      <c r="A361" s="41"/>
      <c r="B361" s="41"/>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4.25" customHeight="1">
      <c r="A362" s="41"/>
      <c r="B362" s="41"/>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4.25" customHeight="1">
      <c r="A363" s="41"/>
      <c r="B363" s="41"/>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4.25" customHeight="1">
      <c r="A364" s="41"/>
      <c r="B364" s="41"/>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4.25" customHeight="1">
      <c r="A365" s="41"/>
      <c r="B365" s="41"/>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4.25" customHeight="1">
      <c r="A366" s="41"/>
      <c r="B366" s="41"/>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4.25" customHeight="1">
      <c r="A367" s="41"/>
      <c r="B367" s="41"/>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4.25" customHeight="1">
      <c r="A368" s="41"/>
      <c r="B368" s="41"/>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4.25" customHeight="1">
      <c r="A369" s="41"/>
      <c r="B369" s="41"/>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4.25" customHeight="1">
      <c r="A370" s="41"/>
      <c r="B370" s="41"/>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4.25" customHeight="1">
      <c r="A371" s="41"/>
      <c r="B371" s="41"/>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4.25" customHeight="1">
      <c r="A372" s="41"/>
      <c r="B372" s="41"/>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4.25" customHeight="1">
      <c r="A373" s="41"/>
      <c r="B373" s="41"/>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4.25" customHeight="1">
      <c r="A374" s="41"/>
      <c r="B374" s="41"/>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4.25" customHeight="1">
      <c r="A375" s="41"/>
      <c r="B375" s="41"/>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4.25" customHeight="1">
      <c r="A376" s="41"/>
      <c r="B376" s="41"/>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4.25" customHeight="1">
      <c r="A377" s="41"/>
      <c r="B377" s="41"/>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4.25" customHeight="1">
      <c r="A378" s="41"/>
      <c r="B378" s="41"/>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4.25" customHeight="1">
      <c r="A379" s="41"/>
      <c r="B379" s="41"/>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4.25" customHeight="1">
      <c r="A380" s="41"/>
      <c r="B380" s="41"/>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4.25" customHeight="1">
      <c r="A381" s="41"/>
      <c r="B381" s="41"/>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4.25" customHeight="1">
      <c r="A382" s="41"/>
      <c r="B382" s="41"/>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4.25" customHeight="1">
      <c r="A383" s="41"/>
      <c r="B383" s="41"/>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4.25" customHeight="1">
      <c r="A384" s="41"/>
      <c r="B384" s="41"/>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4.25" customHeight="1">
      <c r="A385" s="41"/>
      <c r="B385" s="41"/>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4.25" customHeight="1">
      <c r="A386" s="41"/>
      <c r="B386" s="41"/>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4.25" customHeight="1">
      <c r="A387" s="41"/>
      <c r="B387" s="41"/>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4.25" customHeight="1">
      <c r="A388" s="41"/>
      <c r="B388" s="41"/>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4.25" customHeight="1">
      <c r="A389" s="41"/>
      <c r="B389" s="41"/>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4.25" customHeight="1">
      <c r="A390" s="41"/>
      <c r="B390" s="41"/>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4.25" customHeight="1">
      <c r="A391" s="41"/>
      <c r="B391" s="41"/>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4.25" customHeight="1">
      <c r="A392" s="41"/>
      <c r="B392" s="41"/>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4.25" customHeight="1">
      <c r="A393" s="41"/>
      <c r="B393" s="41"/>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4.25" customHeight="1">
      <c r="A394" s="41"/>
      <c r="B394" s="41"/>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4.25" customHeight="1">
      <c r="A395" s="41"/>
      <c r="B395" s="41"/>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4.25" customHeight="1">
      <c r="A396" s="41"/>
      <c r="B396" s="41"/>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4.25" customHeight="1">
      <c r="A397" s="41"/>
      <c r="B397" s="41"/>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4.25" customHeight="1">
      <c r="A398" s="41"/>
      <c r="B398" s="41"/>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4.25" customHeight="1">
      <c r="A399" s="41"/>
      <c r="B399" s="41"/>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4.25" customHeight="1">
      <c r="A400" s="41"/>
      <c r="B400" s="41"/>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4.25" customHeight="1">
      <c r="A401" s="41"/>
      <c r="B401" s="41"/>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4.25" customHeight="1">
      <c r="A402" s="41"/>
      <c r="B402" s="41"/>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4.25" customHeight="1">
      <c r="A403" s="41"/>
      <c r="B403" s="41"/>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4.25" customHeight="1">
      <c r="A404" s="41"/>
      <c r="B404" s="41"/>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4.25" customHeight="1">
      <c r="A405" s="41"/>
      <c r="B405" s="41"/>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4.25" customHeight="1">
      <c r="A406" s="41"/>
      <c r="B406" s="41"/>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4.25" customHeight="1">
      <c r="A407" s="41"/>
      <c r="B407" s="41"/>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4.25" customHeight="1">
      <c r="A408" s="41"/>
      <c r="B408" s="41"/>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4.25" customHeight="1">
      <c r="A409" s="41"/>
      <c r="B409" s="41"/>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4.25" customHeight="1">
      <c r="A410" s="41"/>
      <c r="B410" s="41"/>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4.25" customHeight="1">
      <c r="A411" s="41"/>
      <c r="B411" s="41"/>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4.25" customHeight="1">
      <c r="A412" s="41"/>
      <c r="B412" s="41"/>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4.25" customHeight="1">
      <c r="A413" s="41"/>
      <c r="B413" s="41"/>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4.25" customHeight="1">
      <c r="A414" s="41"/>
      <c r="B414" s="41"/>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4.25" customHeight="1">
      <c r="A415" s="41"/>
      <c r="B415" s="41"/>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4.25" customHeight="1">
      <c r="A416" s="41"/>
      <c r="B416" s="41"/>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4.25" customHeight="1">
      <c r="A417" s="41"/>
      <c r="B417" s="41"/>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4.25" customHeight="1">
      <c r="A418" s="41"/>
      <c r="B418" s="41"/>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4.25" customHeight="1">
      <c r="A419" s="41"/>
      <c r="B419" s="41"/>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4.25" customHeight="1">
      <c r="A420" s="41"/>
      <c r="B420" s="41"/>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4.25" customHeight="1">
      <c r="A421" s="41"/>
      <c r="B421" s="41"/>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4.25" customHeight="1">
      <c r="A422" s="41"/>
      <c r="B422" s="41"/>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4.25" customHeight="1">
      <c r="A423" s="41"/>
      <c r="B423" s="41"/>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4.25" customHeight="1">
      <c r="A424" s="41"/>
      <c r="B424" s="41"/>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4.25" customHeight="1">
      <c r="A425" s="41"/>
      <c r="B425" s="41"/>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4.25" customHeight="1">
      <c r="A426" s="41"/>
      <c r="B426" s="41"/>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4.25" customHeight="1">
      <c r="A427" s="41"/>
      <c r="B427" s="41"/>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4.25" customHeight="1">
      <c r="A428" s="41"/>
      <c r="B428" s="41"/>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4.25" customHeight="1">
      <c r="A429" s="41"/>
      <c r="B429" s="41"/>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4.25" customHeight="1">
      <c r="A430" s="41"/>
      <c r="B430" s="41"/>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4.25" customHeight="1">
      <c r="A431" s="41"/>
      <c r="B431" s="41"/>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4.25" customHeight="1">
      <c r="A432" s="41"/>
      <c r="B432" s="41"/>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4.25" customHeight="1">
      <c r="A433" s="41"/>
      <c r="B433" s="41"/>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4.25" customHeight="1">
      <c r="A434" s="41"/>
      <c r="B434" s="41"/>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4.25" customHeight="1">
      <c r="A435" s="41"/>
      <c r="B435" s="41"/>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4.25" customHeight="1">
      <c r="A436" s="41"/>
      <c r="B436" s="41"/>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4.25" customHeight="1">
      <c r="A437" s="41"/>
      <c r="B437" s="41"/>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4.25" customHeight="1">
      <c r="A438" s="41"/>
      <c r="B438" s="41"/>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4.25" customHeight="1">
      <c r="A439" s="41"/>
      <c r="B439" s="41"/>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4.25" customHeight="1">
      <c r="A440" s="41"/>
      <c r="B440" s="41"/>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4.25" customHeight="1">
      <c r="A441" s="41"/>
      <c r="B441" s="41"/>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4.25" customHeight="1">
      <c r="A442" s="41"/>
      <c r="B442" s="41"/>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4.25" customHeight="1">
      <c r="A443" s="41"/>
      <c r="B443" s="41"/>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4.25" customHeight="1">
      <c r="A444" s="41"/>
      <c r="B444" s="41"/>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4.25" customHeight="1">
      <c r="A445" s="41"/>
      <c r="B445" s="41"/>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4.25" customHeight="1">
      <c r="A446" s="41"/>
      <c r="B446" s="41"/>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4.25" customHeight="1">
      <c r="A447" s="41"/>
      <c r="B447" s="41"/>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4.25" customHeight="1">
      <c r="A448" s="41"/>
      <c r="B448" s="41"/>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4.25" customHeight="1">
      <c r="A449" s="41"/>
      <c r="B449" s="41"/>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4.25" customHeight="1">
      <c r="A450" s="41"/>
      <c r="B450" s="41"/>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4.25" customHeight="1">
      <c r="A451" s="41"/>
      <c r="B451" s="41"/>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4.25" customHeight="1">
      <c r="A452" s="41"/>
      <c r="B452" s="41"/>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4.25" customHeight="1">
      <c r="A453" s="41"/>
      <c r="B453" s="41"/>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4.25" customHeight="1">
      <c r="A454" s="41"/>
      <c r="B454" s="41"/>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4.25" customHeight="1">
      <c r="A455" s="41"/>
      <c r="B455" s="41"/>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4.25" customHeight="1">
      <c r="A456" s="41"/>
      <c r="B456" s="41"/>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4.25" customHeight="1">
      <c r="A457" s="41"/>
      <c r="B457" s="41"/>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4.25" customHeight="1">
      <c r="A458" s="41"/>
      <c r="B458" s="41"/>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4.25" customHeight="1">
      <c r="A459" s="41"/>
      <c r="B459" s="41"/>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4.25" customHeight="1">
      <c r="A460" s="41"/>
      <c r="B460" s="41"/>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4.25" customHeight="1">
      <c r="A461" s="41"/>
      <c r="B461" s="41"/>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4.25" customHeight="1">
      <c r="A462" s="41"/>
      <c r="B462" s="41"/>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4.25" customHeight="1">
      <c r="A463" s="41"/>
      <c r="B463" s="41"/>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4.25" customHeight="1">
      <c r="A464" s="41"/>
      <c r="B464" s="41"/>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4.25" customHeight="1">
      <c r="A465" s="41"/>
      <c r="B465" s="41"/>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4.25" customHeight="1">
      <c r="A466" s="41"/>
      <c r="B466" s="41"/>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4.25" customHeight="1">
      <c r="A467" s="41"/>
      <c r="B467" s="41"/>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4.25" customHeight="1">
      <c r="A468" s="41"/>
      <c r="B468" s="41"/>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4.25" customHeight="1">
      <c r="A469" s="41"/>
      <c r="B469" s="41"/>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4.25" customHeight="1">
      <c r="A470" s="41"/>
      <c r="B470" s="41"/>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4.25" customHeight="1">
      <c r="A471" s="41"/>
      <c r="B471" s="41"/>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4.25" customHeight="1">
      <c r="A472" s="41"/>
      <c r="B472" s="41"/>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4.25" customHeight="1">
      <c r="A473" s="41"/>
      <c r="B473" s="41"/>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4.25" customHeight="1">
      <c r="A474" s="41"/>
      <c r="B474" s="41"/>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4.25" customHeight="1">
      <c r="A475" s="41"/>
      <c r="B475" s="41"/>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4.25" customHeight="1">
      <c r="A476" s="41"/>
      <c r="B476" s="41"/>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4.25" customHeight="1">
      <c r="A477" s="41"/>
      <c r="B477" s="41"/>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4.25" customHeight="1">
      <c r="A478" s="41"/>
      <c r="B478" s="41"/>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4.25" customHeight="1">
      <c r="A479" s="41"/>
      <c r="B479" s="41"/>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4.25" customHeight="1">
      <c r="A480" s="41"/>
      <c r="B480" s="41"/>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4.25" customHeight="1">
      <c r="A481" s="41"/>
      <c r="B481" s="41"/>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4.25" customHeight="1">
      <c r="A482" s="41"/>
      <c r="B482" s="41"/>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4.25" customHeight="1">
      <c r="A483" s="41"/>
      <c r="B483" s="41"/>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4.25" customHeight="1">
      <c r="A484" s="41"/>
      <c r="B484" s="41"/>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4.25" customHeight="1">
      <c r="A485" s="41"/>
      <c r="B485" s="41"/>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4.25" customHeight="1">
      <c r="A486" s="41"/>
      <c r="B486" s="41"/>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4.25" customHeight="1">
      <c r="A487" s="41"/>
      <c r="B487" s="41"/>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4.25" customHeight="1">
      <c r="A488" s="41"/>
      <c r="B488" s="41"/>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4.25" customHeight="1">
      <c r="A489" s="41"/>
      <c r="B489" s="41"/>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4.25" customHeight="1">
      <c r="A490" s="41"/>
      <c r="B490" s="41"/>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4.25" customHeight="1">
      <c r="A491" s="41"/>
      <c r="B491" s="41"/>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4.25" customHeight="1">
      <c r="A492" s="41"/>
      <c r="B492" s="41"/>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4.25" customHeight="1">
      <c r="A493" s="41"/>
      <c r="B493" s="41"/>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4.25" customHeight="1">
      <c r="A494" s="41"/>
      <c r="B494" s="41"/>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4.25" customHeight="1">
      <c r="A495" s="41"/>
      <c r="B495" s="41"/>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4.25" customHeight="1">
      <c r="A496" s="41"/>
      <c r="B496" s="41"/>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4.25" customHeight="1">
      <c r="A497" s="41"/>
      <c r="B497" s="41"/>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4.25" customHeight="1">
      <c r="A498" s="41"/>
      <c r="B498" s="41"/>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4.25" customHeight="1">
      <c r="A499" s="41"/>
      <c r="B499" s="41"/>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4.25" customHeight="1">
      <c r="A500" s="41"/>
      <c r="B500" s="41"/>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4.25" customHeight="1">
      <c r="A501" s="41"/>
      <c r="B501" s="41"/>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4.25" customHeight="1">
      <c r="A502" s="41"/>
      <c r="B502" s="41"/>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4.25" customHeight="1">
      <c r="A503" s="41"/>
      <c r="B503" s="41"/>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4.25" customHeight="1">
      <c r="A504" s="41"/>
      <c r="B504" s="41"/>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4.25" customHeight="1">
      <c r="A505" s="41"/>
      <c r="B505" s="41"/>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4.25" customHeight="1">
      <c r="A506" s="41"/>
      <c r="B506" s="41"/>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4.25" customHeight="1">
      <c r="A507" s="41"/>
      <c r="B507" s="41"/>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4.25" customHeight="1">
      <c r="A508" s="41"/>
      <c r="B508" s="41"/>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4.25" customHeight="1">
      <c r="A509" s="41"/>
      <c r="B509" s="41"/>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4.25" customHeight="1">
      <c r="A510" s="41"/>
      <c r="B510" s="41"/>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4.25" customHeight="1">
      <c r="A511" s="41"/>
      <c r="B511" s="41"/>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4.25" customHeight="1">
      <c r="A512" s="41"/>
      <c r="B512" s="41"/>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4.25" customHeight="1">
      <c r="A513" s="41"/>
      <c r="B513" s="41"/>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4.25" customHeight="1">
      <c r="A514" s="41"/>
      <c r="B514" s="41"/>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4.25" customHeight="1">
      <c r="A515" s="41"/>
      <c r="B515" s="41"/>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4.25" customHeight="1">
      <c r="A516" s="41"/>
      <c r="B516" s="41"/>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4.25" customHeight="1">
      <c r="A517" s="41"/>
      <c r="B517" s="41"/>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4.25" customHeight="1">
      <c r="A518" s="41"/>
      <c r="B518" s="41"/>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4.25" customHeight="1">
      <c r="A519" s="41"/>
      <c r="B519" s="41"/>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4.25" customHeight="1">
      <c r="A520" s="41"/>
      <c r="B520" s="41"/>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4.25" customHeight="1">
      <c r="A521" s="41"/>
      <c r="B521" s="41"/>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4.25" customHeight="1">
      <c r="A522" s="41"/>
      <c r="B522" s="41"/>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4.25" customHeight="1">
      <c r="A523" s="41"/>
      <c r="B523" s="41"/>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4.25" customHeight="1">
      <c r="A524" s="41"/>
      <c r="B524" s="41"/>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4.25" customHeight="1">
      <c r="A525" s="41"/>
      <c r="B525" s="41"/>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4.25" customHeight="1">
      <c r="A526" s="41"/>
      <c r="B526" s="41"/>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4.25" customHeight="1">
      <c r="A527" s="41"/>
      <c r="B527" s="41"/>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4.25" customHeight="1">
      <c r="A528" s="41"/>
      <c r="B528" s="41"/>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4.25" customHeight="1">
      <c r="A529" s="41"/>
      <c r="B529" s="41"/>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4.25" customHeight="1">
      <c r="A530" s="41"/>
      <c r="B530" s="41"/>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4.25" customHeight="1">
      <c r="A531" s="41"/>
      <c r="B531" s="41"/>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4.25" customHeight="1">
      <c r="A532" s="41"/>
      <c r="B532" s="41"/>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4.25" customHeight="1">
      <c r="A533" s="41"/>
      <c r="B533" s="41"/>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4.25" customHeight="1">
      <c r="A534" s="41"/>
      <c r="B534" s="41"/>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4.25" customHeight="1">
      <c r="A535" s="41"/>
      <c r="B535" s="41"/>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4.25" customHeight="1">
      <c r="A536" s="41"/>
      <c r="B536" s="41"/>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4.25" customHeight="1">
      <c r="A537" s="41"/>
      <c r="B537" s="41"/>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4.25" customHeight="1">
      <c r="A538" s="41"/>
      <c r="B538" s="41"/>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4.25" customHeight="1">
      <c r="A539" s="41"/>
      <c r="B539" s="41"/>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4.25" customHeight="1">
      <c r="A540" s="41"/>
      <c r="B540" s="41"/>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4.25" customHeight="1">
      <c r="A541" s="41"/>
      <c r="B541" s="41"/>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4.25" customHeight="1">
      <c r="A542" s="41"/>
      <c r="B542" s="41"/>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4.25" customHeight="1">
      <c r="A543" s="41"/>
      <c r="B543" s="41"/>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4.25" customHeight="1">
      <c r="A544" s="41"/>
      <c r="B544" s="41"/>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4.25" customHeight="1">
      <c r="A545" s="41"/>
      <c r="B545" s="41"/>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4.25" customHeight="1">
      <c r="A546" s="41"/>
      <c r="B546" s="41"/>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4.25" customHeight="1">
      <c r="A547" s="41"/>
      <c r="B547" s="41"/>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4.25" customHeight="1">
      <c r="A548" s="41"/>
      <c r="B548" s="41"/>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4.25" customHeight="1">
      <c r="A549" s="41"/>
      <c r="B549" s="41"/>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4.25" customHeight="1">
      <c r="A550" s="41"/>
      <c r="B550" s="41"/>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4.25" customHeight="1">
      <c r="A551" s="41"/>
      <c r="B551" s="41"/>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4.25" customHeight="1">
      <c r="A552" s="41"/>
      <c r="B552" s="41"/>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4.25" customHeight="1">
      <c r="A553" s="41"/>
      <c r="B553" s="41"/>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4.25" customHeight="1">
      <c r="A554" s="41"/>
      <c r="B554" s="41"/>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4.25" customHeight="1">
      <c r="A555" s="41"/>
      <c r="B555" s="41"/>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4.25" customHeight="1">
      <c r="A556" s="41"/>
      <c r="B556" s="41"/>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4.25" customHeight="1">
      <c r="A557" s="41"/>
      <c r="B557" s="41"/>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4.25" customHeight="1">
      <c r="A558" s="41"/>
      <c r="B558" s="41"/>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4.25" customHeight="1">
      <c r="A559" s="41"/>
      <c r="B559" s="41"/>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4.25" customHeight="1">
      <c r="A560" s="41"/>
      <c r="B560" s="41"/>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4.25" customHeight="1">
      <c r="A561" s="41"/>
      <c r="B561" s="41"/>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4.25" customHeight="1">
      <c r="A562" s="41"/>
      <c r="B562" s="41"/>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4.25" customHeight="1">
      <c r="A563" s="41"/>
      <c r="B563" s="41"/>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4.25" customHeight="1">
      <c r="A564" s="41"/>
      <c r="B564" s="41"/>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4.25" customHeight="1">
      <c r="A565" s="41"/>
      <c r="B565" s="41"/>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4.25" customHeight="1">
      <c r="A566" s="41"/>
      <c r="B566" s="41"/>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4.25" customHeight="1">
      <c r="A567" s="41"/>
      <c r="B567" s="41"/>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4.25" customHeight="1">
      <c r="A568" s="41"/>
      <c r="B568" s="41"/>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4.25" customHeight="1">
      <c r="A569" s="41"/>
      <c r="B569" s="41"/>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4.25" customHeight="1">
      <c r="A570" s="41"/>
      <c r="B570" s="41"/>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4.25" customHeight="1">
      <c r="A571" s="41"/>
      <c r="B571" s="41"/>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4.25" customHeight="1">
      <c r="A572" s="41"/>
      <c r="B572" s="41"/>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4.25" customHeight="1">
      <c r="A573" s="41"/>
      <c r="B573" s="41"/>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4.25" customHeight="1">
      <c r="A574" s="41"/>
      <c r="B574" s="41"/>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4.25" customHeight="1">
      <c r="A575" s="41"/>
      <c r="B575" s="41"/>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4.25" customHeight="1">
      <c r="A576" s="41"/>
      <c r="B576" s="41"/>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4.25" customHeight="1">
      <c r="A577" s="41"/>
      <c r="B577" s="41"/>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4.25" customHeight="1">
      <c r="A578" s="41"/>
      <c r="B578" s="41"/>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4.25" customHeight="1">
      <c r="A579" s="41"/>
      <c r="B579" s="41"/>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4.25" customHeight="1">
      <c r="A580" s="41"/>
      <c r="B580" s="41"/>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4.25" customHeight="1">
      <c r="A581" s="41"/>
      <c r="B581" s="41"/>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4.25" customHeight="1">
      <c r="A582" s="41"/>
      <c r="B582" s="41"/>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4.25" customHeight="1">
      <c r="A583" s="41"/>
      <c r="B583" s="41"/>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4.25" customHeight="1">
      <c r="A584" s="41"/>
      <c r="B584" s="41"/>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4.25" customHeight="1">
      <c r="A585" s="41"/>
      <c r="B585" s="41"/>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4.25" customHeight="1">
      <c r="A586" s="41"/>
      <c r="B586" s="41"/>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4.25" customHeight="1">
      <c r="A587" s="41"/>
      <c r="B587" s="41"/>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4.25" customHeight="1">
      <c r="A588" s="41"/>
      <c r="B588" s="41"/>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4.25" customHeight="1">
      <c r="A589" s="41"/>
      <c r="B589" s="41"/>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4.25" customHeight="1">
      <c r="A590" s="41"/>
      <c r="B590" s="41"/>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4.25" customHeight="1">
      <c r="A591" s="41"/>
      <c r="B591" s="41"/>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4.25" customHeight="1">
      <c r="A592" s="41"/>
      <c r="B592" s="41"/>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4.25" customHeight="1">
      <c r="A593" s="41"/>
      <c r="B593" s="41"/>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4.25" customHeight="1">
      <c r="A594" s="41"/>
      <c r="B594" s="41"/>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4.25" customHeight="1">
      <c r="A595" s="41"/>
      <c r="B595" s="41"/>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4.25" customHeight="1">
      <c r="A596" s="41"/>
      <c r="B596" s="41"/>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4.25" customHeight="1">
      <c r="A597" s="41"/>
      <c r="B597" s="41"/>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4.25" customHeight="1">
      <c r="A598" s="41"/>
      <c r="B598" s="41"/>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4.25" customHeight="1">
      <c r="A599" s="41"/>
      <c r="B599" s="41"/>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4.25" customHeight="1">
      <c r="A600" s="41"/>
      <c r="B600" s="41"/>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4.25" customHeight="1">
      <c r="A601" s="41"/>
      <c r="B601" s="41"/>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4.25" customHeight="1">
      <c r="A602" s="41"/>
      <c r="B602" s="41"/>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4.25" customHeight="1">
      <c r="A603" s="41"/>
      <c r="B603" s="41"/>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4.25" customHeight="1">
      <c r="A604" s="41"/>
      <c r="B604" s="41"/>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4.25" customHeight="1">
      <c r="A605" s="41"/>
      <c r="B605" s="41"/>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4.25" customHeight="1">
      <c r="A606" s="41"/>
      <c r="B606" s="41"/>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4.25" customHeight="1">
      <c r="A607" s="41"/>
      <c r="B607" s="41"/>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4.25" customHeight="1">
      <c r="A608" s="41"/>
      <c r="B608" s="41"/>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4.25" customHeight="1">
      <c r="A609" s="41"/>
      <c r="B609" s="41"/>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4.25" customHeight="1">
      <c r="A610" s="41"/>
      <c r="B610" s="41"/>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4.25" customHeight="1">
      <c r="A611" s="41"/>
      <c r="B611" s="41"/>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4.25" customHeight="1">
      <c r="A612" s="41"/>
      <c r="B612" s="41"/>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4.25" customHeight="1">
      <c r="A613" s="41"/>
      <c r="B613" s="41"/>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4.25" customHeight="1">
      <c r="A614" s="41"/>
      <c r="B614" s="41"/>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4.25" customHeight="1">
      <c r="A615" s="41"/>
      <c r="B615" s="41"/>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4.25" customHeight="1">
      <c r="A616" s="41"/>
      <c r="B616" s="41"/>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4.25" customHeight="1">
      <c r="A617" s="41"/>
      <c r="B617" s="41"/>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4.25" customHeight="1">
      <c r="A618" s="41"/>
      <c r="B618" s="41"/>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4.25" customHeight="1">
      <c r="A619" s="41"/>
      <c r="B619" s="41"/>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4.25" customHeight="1">
      <c r="A620" s="41"/>
      <c r="B620" s="41"/>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4.25" customHeight="1">
      <c r="A621" s="41"/>
      <c r="B621" s="41"/>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4.25" customHeight="1">
      <c r="A622" s="41"/>
      <c r="B622" s="41"/>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4.25" customHeight="1">
      <c r="A623" s="41"/>
      <c r="B623" s="41"/>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4.25" customHeight="1">
      <c r="A624" s="41"/>
      <c r="B624" s="41"/>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4.25" customHeight="1">
      <c r="A625" s="41"/>
      <c r="B625" s="41"/>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4.25" customHeight="1">
      <c r="A626" s="41"/>
      <c r="B626" s="41"/>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4.25" customHeight="1">
      <c r="A627" s="41"/>
      <c r="B627" s="41"/>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4.25" customHeight="1">
      <c r="A628" s="41"/>
      <c r="B628" s="41"/>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4.25" customHeight="1">
      <c r="A629" s="41"/>
      <c r="B629" s="41"/>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4.25" customHeight="1">
      <c r="A630" s="41"/>
      <c r="B630" s="41"/>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4.25" customHeight="1">
      <c r="A631" s="41"/>
      <c r="B631" s="41"/>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4.25" customHeight="1">
      <c r="A632" s="41"/>
      <c r="B632" s="41"/>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4.25" customHeight="1">
      <c r="A633" s="41"/>
      <c r="B633" s="41"/>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4.25" customHeight="1">
      <c r="A634" s="41"/>
      <c r="B634" s="41"/>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4.25" customHeight="1">
      <c r="A635" s="41"/>
      <c r="B635" s="41"/>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4.25" customHeight="1">
      <c r="A636" s="41"/>
      <c r="B636" s="41"/>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4.25" customHeight="1">
      <c r="A637" s="41"/>
      <c r="B637" s="41"/>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4.25" customHeight="1">
      <c r="A638" s="41"/>
      <c r="B638" s="41"/>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4.25" customHeight="1">
      <c r="A639" s="41"/>
      <c r="B639" s="41"/>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4.25" customHeight="1">
      <c r="A640" s="41"/>
      <c r="B640" s="41"/>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4.25" customHeight="1">
      <c r="A641" s="41"/>
      <c r="B641" s="41"/>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4.25" customHeight="1">
      <c r="A642" s="41"/>
      <c r="B642" s="41"/>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4.25" customHeight="1">
      <c r="A643" s="41"/>
      <c r="B643" s="41"/>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4.25" customHeight="1">
      <c r="A644" s="41"/>
      <c r="B644" s="41"/>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4.25" customHeight="1">
      <c r="A645" s="41"/>
      <c r="B645" s="41"/>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4.25" customHeight="1">
      <c r="A646" s="41"/>
      <c r="B646" s="41"/>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4.25" customHeight="1">
      <c r="A647" s="41"/>
      <c r="B647" s="41"/>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4.25" customHeight="1">
      <c r="A648" s="41"/>
      <c r="B648" s="41"/>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4.25" customHeight="1">
      <c r="A649" s="41"/>
      <c r="B649" s="41"/>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4.25" customHeight="1">
      <c r="A650" s="41"/>
      <c r="B650" s="41"/>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4.25" customHeight="1">
      <c r="A651" s="41"/>
      <c r="B651" s="41"/>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4.25" customHeight="1">
      <c r="A652" s="41"/>
      <c r="B652" s="41"/>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4.25" customHeight="1">
      <c r="A653" s="41"/>
      <c r="B653" s="41"/>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4.25" customHeight="1">
      <c r="A654" s="41"/>
      <c r="B654" s="41"/>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4.25" customHeight="1">
      <c r="A655" s="41"/>
      <c r="B655" s="41"/>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4.25" customHeight="1">
      <c r="A656" s="41"/>
      <c r="B656" s="41"/>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4.25" customHeight="1">
      <c r="A657" s="41"/>
      <c r="B657" s="41"/>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4.25" customHeight="1">
      <c r="A658" s="41"/>
      <c r="B658" s="41"/>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4.25" customHeight="1">
      <c r="A659" s="41"/>
      <c r="B659" s="41"/>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4.25" customHeight="1">
      <c r="A660" s="41"/>
      <c r="B660" s="41"/>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4.25" customHeight="1">
      <c r="A661" s="41"/>
      <c r="B661" s="41"/>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4.25" customHeight="1">
      <c r="A662" s="41"/>
      <c r="B662" s="41"/>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4.25" customHeight="1">
      <c r="A663" s="41"/>
      <c r="B663" s="41"/>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4.25" customHeight="1">
      <c r="A664" s="41"/>
      <c r="B664" s="41"/>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4.25" customHeight="1">
      <c r="A665" s="41"/>
      <c r="B665" s="41"/>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4.25" customHeight="1">
      <c r="A666" s="41"/>
      <c r="B666" s="41"/>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4.25" customHeight="1">
      <c r="A667" s="41"/>
      <c r="B667" s="41"/>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4.25" customHeight="1">
      <c r="A668" s="41"/>
      <c r="B668" s="41"/>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4.25" customHeight="1">
      <c r="A669" s="41"/>
      <c r="B669" s="41"/>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4.25" customHeight="1">
      <c r="A670" s="41"/>
      <c r="B670" s="41"/>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4.25" customHeight="1">
      <c r="A671" s="41"/>
      <c r="B671" s="41"/>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4.25" customHeight="1">
      <c r="A672" s="41"/>
      <c r="B672" s="41"/>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4.25" customHeight="1">
      <c r="A673" s="41"/>
      <c r="B673" s="41"/>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4.25" customHeight="1">
      <c r="A674" s="41"/>
      <c r="B674" s="41"/>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4.25" customHeight="1">
      <c r="A675" s="41"/>
      <c r="B675" s="41"/>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4.25" customHeight="1">
      <c r="A676" s="41"/>
      <c r="B676" s="41"/>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4.25" customHeight="1">
      <c r="A677" s="41"/>
      <c r="B677" s="41"/>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4.25" customHeight="1">
      <c r="A678" s="41"/>
      <c r="B678" s="41"/>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4.25" customHeight="1">
      <c r="A679" s="41"/>
      <c r="B679" s="41"/>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4.25" customHeight="1">
      <c r="A680" s="41"/>
      <c r="B680" s="41"/>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4.25" customHeight="1">
      <c r="A681" s="41"/>
      <c r="B681" s="41"/>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4.25" customHeight="1">
      <c r="A682" s="41"/>
      <c r="B682" s="41"/>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4.25" customHeight="1">
      <c r="A683" s="41"/>
      <c r="B683" s="41"/>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4.25" customHeight="1">
      <c r="A684" s="41"/>
      <c r="B684" s="41"/>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4.25" customHeight="1">
      <c r="A685" s="41"/>
      <c r="B685" s="41"/>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4.25" customHeight="1">
      <c r="A686" s="41"/>
      <c r="B686" s="41"/>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4.25" customHeight="1">
      <c r="A687" s="41"/>
      <c r="B687" s="41"/>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4.25" customHeight="1">
      <c r="A688" s="41"/>
      <c r="B688" s="41"/>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4.25" customHeight="1">
      <c r="A689" s="41"/>
      <c r="B689" s="41"/>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4.25" customHeight="1">
      <c r="A690" s="41"/>
      <c r="B690" s="41"/>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4.25" customHeight="1">
      <c r="A691" s="41"/>
      <c r="B691" s="41"/>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4.25" customHeight="1">
      <c r="A692" s="41"/>
      <c r="B692" s="41"/>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4.25" customHeight="1">
      <c r="A693" s="41"/>
      <c r="B693" s="41"/>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4.25" customHeight="1">
      <c r="A694" s="41"/>
      <c r="B694" s="41"/>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4.25" customHeight="1">
      <c r="A695" s="41"/>
      <c r="B695" s="41"/>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4.25" customHeight="1">
      <c r="A696" s="41"/>
      <c r="B696" s="41"/>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4.25" customHeight="1">
      <c r="A697" s="41"/>
      <c r="B697" s="41"/>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4.25" customHeight="1">
      <c r="A698" s="41"/>
      <c r="B698" s="41"/>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4.25" customHeight="1">
      <c r="A699" s="41"/>
      <c r="B699" s="41"/>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4.25" customHeight="1">
      <c r="A700" s="41"/>
      <c r="B700" s="41"/>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4.25" customHeight="1">
      <c r="A701" s="41"/>
      <c r="B701" s="41"/>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4.25" customHeight="1">
      <c r="A702" s="41"/>
      <c r="B702" s="41"/>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4.25" customHeight="1">
      <c r="A703" s="41"/>
      <c r="B703" s="41"/>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4.25" customHeight="1">
      <c r="A704" s="41"/>
      <c r="B704" s="41"/>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4.25" customHeight="1">
      <c r="A705" s="41"/>
      <c r="B705" s="41"/>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4.25" customHeight="1">
      <c r="A706" s="41"/>
      <c r="B706" s="41"/>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4.25" customHeight="1">
      <c r="A707" s="41"/>
      <c r="B707" s="41"/>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4.25" customHeight="1">
      <c r="A708" s="41"/>
      <c r="B708" s="41"/>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4.25" customHeight="1">
      <c r="A709" s="41"/>
      <c r="B709" s="41"/>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4.25" customHeight="1">
      <c r="A710" s="41"/>
      <c r="B710" s="41"/>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4.25" customHeight="1">
      <c r="A711" s="41"/>
      <c r="B711" s="41"/>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4.25" customHeight="1">
      <c r="A712" s="41"/>
      <c r="B712" s="41"/>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4.25" customHeight="1">
      <c r="A713" s="41"/>
      <c r="B713" s="41"/>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4.25" customHeight="1">
      <c r="A714" s="41"/>
      <c r="B714" s="41"/>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4.25" customHeight="1">
      <c r="A715" s="41"/>
      <c r="B715" s="41"/>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4.25" customHeight="1">
      <c r="A716" s="41"/>
      <c r="B716" s="41"/>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4.25" customHeight="1">
      <c r="A717" s="41"/>
      <c r="B717" s="41"/>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4.25" customHeight="1">
      <c r="A718" s="41"/>
      <c r="B718" s="41"/>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4.25" customHeight="1">
      <c r="A719" s="41"/>
      <c r="B719" s="41"/>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4.25" customHeight="1">
      <c r="A720" s="41"/>
      <c r="B720" s="41"/>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4.25" customHeight="1">
      <c r="A721" s="41"/>
      <c r="B721" s="41"/>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4.25" customHeight="1">
      <c r="A722" s="41"/>
      <c r="B722" s="41"/>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4.25" customHeight="1">
      <c r="A723" s="41"/>
      <c r="B723" s="41"/>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4.25" customHeight="1">
      <c r="A724" s="41"/>
      <c r="B724" s="41"/>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4.25" customHeight="1">
      <c r="A725" s="41"/>
      <c r="B725" s="41"/>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4.25" customHeight="1">
      <c r="A726" s="41"/>
      <c r="B726" s="41"/>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4.25" customHeight="1">
      <c r="A727" s="41"/>
      <c r="B727" s="41"/>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4.25" customHeight="1">
      <c r="A728" s="41"/>
      <c r="B728" s="41"/>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4.25" customHeight="1">
      <c r="A729" s="41"/>
      <c r="B729" s="41"/>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4.25" customHeight="1">
      <c r="A730" s="41"/>
      <c r="B730" s="41"/>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4.25" customHeight="1">
      <c r="A731" s="41"/>
      <c r="B731" s="41"/>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4.25" customHeight="1">
      <c r="A732" s="41"/>
      <c r="B732" s="41"/>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4.25" customHeight="1">
      <c r="A733" s="41"/>
      <c r="B733" s="41"/>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4.25" customHeight="1">
      <c r="A734" s="41"/>
      <c r="B734" s="41"/>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4.25" customHeight="1">
      <c r="A735" s="41"/>
      <c r="B735" s="41"/>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4.25" customHeight="1">
      <c r="A736" s="41"/>
      <c r="B736" s="41"/>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4.25" customHeight="1">
      <c r="A737" s="41"/>
      <c r="B737" s="41"/>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4.25" customHeight="1">
      <c r="A738" s="41"/>
      <c r="B738" s="41"/>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4.25" customHeight="1">
      <c r="A739" s="41"/>
      <c r="B739" s="41"/>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4.25" customHeight="1">
      <c r="A740" s="41"/>
      <c r="B740" s="41"/>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4.25" customHeight="1">
      <c r="A741" s="41"/>
      <c r="B741" s="41"/>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4.25" customHeight="1">
      <c r="A742" s="41"/>
      <c r="B742" s="41"/>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4.25" customHeight="1">
      <c r="A743" s="41"/>
      <c r="B743" s="41"/>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4.25" customHeight="1">
      <c r="A744" s="41"/>
      <c r="B744" s="41"/>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4.25" customHeight="1">
      <c r="A745" s="41"/>
      <c r="B745" s="41"/>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4.25" customHeight="1">
      <c r="A746" s="41"/>
      <c r="B746" s="41"/>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4.25" customHeight="1">
      <c r="A747" s="41"/>
      <c r="B747" s="41"/>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4.25" customHeight="1">
      <c r="A748" s="41"/>
      <c r="B748" s="41"/>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4.25" customHeight="1">
      <c r="A749" s="41"/>
      <c r="B749" s="41"/>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4.25" customHeight="1">
      <c r="A750" s="41"/>
      <c r="B750" s="41"/>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4.25" customHeight="1">
      <c r="A751" s="41"/>
      <c r="B751" s="41"/>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4.25" customHeight="1">
      <c r="A752" s="41"/>
      <c r="B752" s="41"/>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4.25" customHeight="1">
      <c r="A753" s="41"/>
      <c r="B753" s="41"/>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4.25" customHeight="1">
      <c r="A754" s="41"/>
      <c r="B754" s="41"/>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4.25" customHeight="1">
      <c r="A755" s="41"/>
      <c r="B755" s="41"/>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4.25" customHeight="1">
      <c r="A756" s="41"/>
      <c r="B756" s="41"/>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4.25" customHeight="1">
      <c r="A757" s="41"/>
      <c r="B757" s="41"/>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4.25" customHeight="1">
      <c r="A758" s="41"/>
      <c r="B758" s="41"/>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4.25" customHeight="1">
      <c r="A759" s="41"/>
      <c r="B759" s="41"/>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4.25" customHeight="1">
      <c r="A760" s="41"/>
      <c r="B760" s="41"/>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4.25" customHeight="1">
      <c r="A761" s="41"/>
      <c r="B761" s="41"/>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4.25" customHeight="1">
      <c r="A762" s="41"/>
      <c r="B762" s="41"/>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4.25" customHeight="1">
      <c r="A763" s="41"/>
      <c r="B763" s="41"/>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4.25" customHeight="1">
      <c r="A764" s="41"/>
      <c r="B764" s="41"/>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4.25" customHeight="1">
      <c r="A765" s="41"/>
      <c r="B765" s="41"/>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4.25" customHeight="1">
      <c r="A766" s="41"/>
      <c r="B766" s="41"/>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4.25" customHeight="1">
      <c r="A767" s="41"/>
      <c r="B767" s="41"/>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4.25" customHeight="1">
      <c r="A768" s="41"/>
      <c r="B768" s="41"/>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4.25" customHeight="1">
      <c r="A769" s="41"/>
      <c r="B769" s="41"/>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4.25" customHeight="1">
      <c r="A770" s="41"/>
      <c r="B770" s="41"/>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4.25" customHeight="1">
      <c r="A771" s="41"/>
      <c r="B771" s="41"/>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4.25" customHeight="1">
      <c r="A772" s="41"/>
      <c r="B772" s="41"/>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4.25" customHeight="1">
      <c r="A773" s="41"/>
      <c r="B773" s="41"/>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4.25" customHeight="1">
      <c r="A774" s="41"/>
      <c r="B774" s="41"/>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4.25" customHeight="1">
      <c r="A775" s="41"/>
      <c r="B775" s="41"/>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4.25" customHeight="1">
      <c r="A776" s="41"/>
      <c r="B776" s="41"/>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4.25" customHeight="1">
      <c r="A777" s="41"/>
      <c r="B777" s="41"/>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4.25" customHeight="1">
      <c r="A778" s="41"/>
      <c r="B778" s="41"/>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4.25" customHeight="1">
      <c r="A779" s="41"/>
      <c r="B779" s="41"/>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4.25" customHeight="1">
      <c r="A780" s="41"/>
      <c r="B780" s="41"/>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4.25" customHeight="1">
      <c r="A781" s="41"/>
      <c r="B781" s="41"/>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4.25" customHeight="1">
      <c r="A782" s="41"/>
      <c r="B782" s="41"/>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4.25" customHeight="1">
      <c r="A783" s="41"/>
      <c r="B783" s="41"/>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4.25" customHeight="1">
      <c r="A784" s="41"/>
      <c r="B784" s="41"/>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4.25" customHeight="1">
      <c r="A785" s="41"/>
      <c r="B785" s="41"/>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4.25" customHeight="1">
      <c r="A786" s="41"/>
      <c r="B786" s="41"/>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4.25" customHeight="1">
      <c r="A787" s="41"/>
      <c r="B787" s="41"/>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4.25" customHeight="1">
      <c r="A788" s="41"/>
      <c r="B788" s="41"/>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4.25" customHeight="1">
      <c r="A789" s="41"/>
      <c r="B789" s="41"/>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4.25" customHeight="1">
      <c r="A790" s="41"/>
      <c r="B790" s="41"/>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4.25" customHeight="1">
      <c r="A791" s="41"/>
      <c r="B791" s="41"/>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4.25" customHeight="1">
      <c r="A792" s="41"/>
      <c r="B792" s="41"/>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4.25" customHeight="1">
      <c r="A793" s="41"/>
      <c r="B793" s="41"/>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4.25" customHeight="1">
      <c r="A794" s="41"/>
      <c r="B794" s="41"/>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4.25" customHeight="1">
      <c r="A795" s="41"/>
      <c r="B795" s="41"/>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4.25" customHeight="1">
      <c r="A796" s="41"/>
      <c r="B796" s="41"/>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4.25" customHeight="1">
      <c r="A797" s="41"/>
      <c r="B797" s="41"/>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4.25" customHeight="1">
      <c r="A798" s="41"/>
      <c r="B798" s="41"/>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4.25" customHeight="1">
      <c r="A799" s="41"/>
      <c r="B799" s="41"/>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4.25" customHeight="1">
      <c r="A800" s="41"/>
      <c r="B800" s="41"/>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4.25" customHeight="1">
      <c r="A801" s="41"/>
      <c r="B801" s="41"/>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4.25" customHeight="1">
      <c r="A802" s="41"/>
      <c r="B802" s="41"/>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4.25" customHeight="1">
      <c r="A803" s="41"/>
      <c r="B803" s="41"/>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4.25" customHeight="1">
      <c r="A804" s="41"/>
      <c r="B804" s="41"/>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4.25" customHeight="1">
      <c r="A805" s="41"/>
      <c r="B805" s="41"/>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4.25" customHeight="1">
      <c r="A806" s="41"/>
      <c r="B806" s="41"/>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4.25" customHeight="1">
      <c r="A807" s="41"/>
      <c r="B807" s="41"/>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4.25" customHeight="1">
      <c r="A808" s="41"/>
      <c r="B808" s="41"/>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4.25" customHeight="1">
      <c r="A809" s="41"/>
      <c r="B809" s="41"/>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4.25" customHeight="1">
      <c r="A810" s="41"/>
      <c r="B810" s="41"/>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4.25" customHeight="1">
      <c r="A811" s="41"/>
      <c r="B811" s="41"/>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4.25" customHeight="1">
      <c r="A812" s="41"/>
      <c r="B812" s="41"/>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4.25" customHeight="1">
      <c r="A813" s="41"/>
      <c r="B813" s="41"/>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4.25" customHeight="1">
      <c r="A814" s="41"/>
      <c r="B814" s="41"/>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4.25" customHeight="1">
      <c r="A815" s="41"/>
      <c r="B815" s="41"/>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4.25" customHeight="1">
      <c r="A816" s="41"/>
      <c r="B816" s="41"/>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4.25" customHeight="1">
      <c r="A817" s="41"/>
      <c r="B817" s="41"/>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4.25" customHeight="1">
      <c r="A818" s="41"/>
      <c r="B818" s="41"/>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4.25" customHeight="1">
      <c r="A819" s="41"/>
      <c r="B819" s="41"/>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4.25" customHeight="1">
      <c r="A820" s="41"/>
      <c r="B820" s="41"/>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4.25" customHeight="1">
      <c r="A821" s="41"/>
      <c r="B821" s="41"/>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4.25" customHeight="1">
      <c r="A822" s="41"/>
      <c r="B822" s="41"/>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4.25" customHeight="1">
      <c r="A823" s="41"/>
      <c r="B823" s="41"/>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4.25" customHeight="1">
      <c r="A824" s="41"/>
      <c r="B824" s="41"/>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4.25" customHeight="1">
      <c r="A825" s="41"/>
      <c r="B825" s="41"/>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4.25" customHeight="1">
      <c r="A826" s="41"/>
      <c r="B826" s="41"/>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4.25" customHeight="1">
      <c r="A827" s="41"/>
      <c r="B827" s="41"/>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4.25" customHeight="1">
      <c r="A828" s="41"/>
      <c r="B828" s="41"/>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4.25" customHeight="1">
      <c r="A829" s="41"/>
      <c r="B829" s="41"/>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4.25" customHeight="1">
      <c r="A830" s="41"/>
      <c r="B830" s="41"/>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4.25" customHeight="1">
      <c r="A831" s="41"/>
      <c r="B831" s="41"/>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4.25" customHeight="1">
      <c r="A832" s="41"/>
      <c r="B832" s="41"/>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4.25" customHeight="1">
      <c r="A833" s="41"/>
      <c r="B833" s="41"/>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4.25" customHeight="1">
      <c r="A834" s="41"/>
      <c r="B834" s="41"/>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4.25" customHeight="1">
      <c r="A835" s="41"/>
      <c r="B835" s="41"/>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4.25" customHeight="1">
      <c r="A836" s="41"/>
      <c r="B836" s="41"/>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4.25" customHeight="1">
      <c r="A837" s="41"/>
      <c r="B837" s="41"/>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4.25" customHeight="1">
      <c r="A838" s="41"/>
      <c r="B838" s="41"/>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4.25" customHeight="1">
      <c r="A839" s="41"/>
      <c r="B839" s="41"/>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4.25" customHeight="1">
      <c r="A840" s="41"/>
      <c r="B840" s="41"/>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4.25" customHeight="1">
      <c r="A841" s="41"/>
      <c r="B841" s="41"/>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4.25" customHeight="1">
      <c r="A842" s="41"/>
      <c r="B842" s="41"/>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4.25" customHeight="1">
      <c r="A843" s="41"/>
      <c r="B843" s="41"/>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4.25" customHeight="1">
      <c r="A844" s="41"/>
      <c r="B844" s="41"/>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4.25" customHeight="1">
      <c r="A845" s="41"/>
      <c r="B845" s="41"/>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4.25" customHeight="1">
      <c r="A846" s="41"/>
      <c r="B846" s="41"/>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4.25" customHeight="1">
      <c r="A847" s="41"/>
      <c r="B847" s="41"/>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4.25" customHeight="1">
      <c r="A848" s="41"/>
      <c r="B848" s="41"/>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4.25" customHeight="1">
      <c r="A849" s="41"/>
      <c r="B849" s="41"/>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4.25" customHeight="1">
      <c r="A850" s="41"/>
      <c r="B850" s="41"/>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4.25" customHeight="1">
      <c r="A851" s="41"/>
      <c r="B851" s="41"/>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4.25" customHeight="1">
      <c r="A852" s="41"/>
      <c r="B852" s="41"/>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4.25" customHeight="1">
      <c r="A853" s="41"/>
      <c r="B853" s="41"/>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4.25" customHeight="1">
      <c r="A854" s="41"/>
      <c r="B854" s="41"/>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4.25" customHeight="1">
      <c r="A855" s="41"/>
      <c r="B855" s="41"/>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4.25" customHeight="1">
      <c r="A856" s="41"/>
      <c r="B856" s="41"/>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4.25" customHeight="1">
      <c r="A857" s="41"/>
      <c r="B857" s="41"/>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4.25" customHeight="1">
      <c r="A858" s="41"/>
      <c r="B858" s="41"/>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4.25" customHeight="1">
      <c r="A859" s="41"/>
      <c r="B859" s="41"/>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4.25" customHeight="1">
      <c r="A860" s="41"/>
      <c r="B860" s="41"/>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4.25" customHeight="1">
      <c r="A861" s="41"/>
      <c r="B861" s="41"/>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4.25" customHeight="1">
      <c r="A862" s="41"/>
      <c r="B862" s="41"/>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4.25" customHeight="1">
      <c r="A863" s="41"/>
      <c r="B863" s="41"/>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4.25" customHeight="1">
      <c r="A864" s="41"/>
      <c r="B864" s="41"/>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4.25" customHeight="1">
      <c r="A865" s="41"/>
      <c r="B865" s="41"/>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4.25" customHeight="1">
      <c r="A866" s="41"/>
      <c r="B866" s="41"/>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4.25" customHeight="1">
      <c r="A867" s="41"/>
      <c r="B867" s="41"/>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4.25" customHeight="1">
      <c r="A868" s="41"/>
      <c r="B868" s="41"/>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4.25" customHeight="1">
      <c r="A869" s="41"/>
      <c r="B869" s="41"/>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4.25" customHeight="1">
      <c r="A870" s="41"/>
      <c r="B870" s="41"/>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4.25" customHeight="1">
      <c r="A871" s="41"/>
      <c r="B871" s="41"/>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4.25" customHeight="1">
      <c r="A872" s="41"/>
      <c r="B872" s="41"/>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4.25" customHeight="1">
      <c r="A873" s="41"/>
      <c r="B873" s="41"/>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4.25" customHeight="1">
      <c r="A874" s="41"/>
      <c r="B874" s="41"/>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4.25" customHeight="1">
      <c r="A875" s="41"/>
      <c r="B875" s="41"/>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4.25" customHeight="1">
      <c r="A876" s="41"/>
      <c r="B876" s="41"/>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4.25" customHeight="1">
      <c r="A877" s="41"/>
      <c r="B877" s="41"/>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4.25" customHeight="1">
      <c r="A878" s="41"/>
      <c r="B878" s="41"/>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4.25" customHeight="1">
      <c r="A879" s="41"/>
      <c r="B879" s="41"/>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4.25" customHeight="1">
      <c r="A880" s="41"/>
      <c r="B880" s="41"/>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4.25" customHeight="1">
      <c r="A881" s="41"/>
      <c r="B881" s="41"/>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4.25" customHeight="1">
      <c r="A882" s="41"/>
      <c r="B882" s="41"/>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4.25" customHeight="1">
      <c r="A883" s="41"/>
      <c r="B883" s="41"/>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4.25" customHeight="1">
      <c r="A884" s="41"/>
      <c r="B884" s="41"/>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4.25" customHeight="1">
      <c r="A885" s="41"/>
      <c r="B885" s="41"/>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4.25" customHeight="1">
      <c r="A886" s="41"/>
      <c r="B886" s="41"/>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4.25" customHeight="1">
      <c r="A887" s="41"/>
      <c r="B887" s="41"/>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4.25" customHeight="1">
      <c r="A888" s="41"/>
      <c r="B888" s="41"/>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4.25" customHeight="1">
      <c r="A889" s="41"/>
      <c r="B889" s="41"/>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4.25" customHeight="1">
      <c r="A890" s="41"/>
      <c r="B890" s="41"/>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4.25" customHeight="1">
      <c r="A891" s="41"/>
      <c r="B891" s="41"/>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4.25" customHeight="1">
      <c r="A892" s="41"/>
      <c r="B892" s="41"/>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4.25" customHeight="1">
      <c r="A893" s="41"/>
      <c r="B893" s="41"/>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4.25" customHeight="1">
      <c r="A894" s="41"/>
      <c r="B894" s="41"/>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4.25" customHeight="1">
      <c r="A895" s="41"/>
      <c r="B895" s="41"/>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4.25" customHeight="1">
      <c r="A896" s="41"/>
      <c r="B896" s="41"/>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4.25" customHeight="1">
      <c r="A897" s="41"/>
      <c r="B897" s="41"/>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4.25" customHeight="1">
      <c r="A898" s="41"/>
      <c r="B898" s="41"/>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4.25" customHeight="1">
      <c r="A899" s="41"/>
      <c r="B899" s="41"/>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4.25" customHeight="1">
      <c r="A900" s="41"/>
      <c r="B900" s="41"/>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4.25" customHeight="1">
      <c r="A901" s="41"/>
      <c r="B901" s="41"/>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4.25" customHeight="1">
      <c r="A902" s="41"/>
      <c r="B902" s="41"/>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4.25" customHeight="1">
      <c r="A903" s="41"/>
      <c r="B903" s="41"/>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4.25" customHeight="1">
      <c r="A904" s="41"/>
      <c r="B904" s="41"/>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4.25" customHeight="1">
      <c r="A905" s="41"/>
      <c r="B905" s="41"/>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4.25" customHeight="1">
      <c r="A906" s="41"/>
      <c r="B906" s="41"/>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4.25" customHeight="1">
      <c r="A907" s="41"/>
      <c r="B907" s="41"/>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4.25" customHeight="1">
      <c r="A908" s="41"/>
      <c r="B908" s="41"/>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4.25" customHeight="1">
      <c r="A909" s="41"/>
      <c r="B909" s="41"/>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4.25" customHeight="1">
      <c r="A910" s="41"/>
      <c r="B910" s="41"/>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4.25" customHeight="1">
      <c r="A911" s="41"/>
      <c r="B911" s="41"/>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4.25" customHeight="1">
      <c r="A912" s="41"/>
      <c r="B912" s="41"/>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4.25" customHeight="1">
      <c r="A913" s="41"/>
      <c r="B913" s="41"/>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4.25" customHeight="1">
      <c r="A914" s="41"/>
      <c r="B914" s="41"/>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4.25" customHeight="1">
      <c r="A915" s="41"/>
      <c r="B915" s="41"/>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4.25" customHeight="1">
      <c r="A916" s="41"/>
      <c r="B916" s="41"/>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4.25" customHeight="1">
      <c r="A917" s="41"/>
      <c r="B917" s="41"/>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4.25" customHeight="1">
      <c r="A918" s="41"/>
      <c r="B918" s="41"/>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4.25" customHeight="1">
      <c r="A919" s="41"/>
      <c r="B919" s="41"/>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4.25" customHeight="1">
      <c r="A920" s="41"/>
      <c r="B920" s="41"/>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4.25" customHeight="1">
      <c r="A921" s="41"/>
      <c r="B921" s="41"/>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4.25" customHeight="1">
      <c r="A922" s="41"/>
      <c r="B922" s="41"/>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4.25" customHeight="1">
      <c r="A923" s="41"/>
      <c r="B923" s="41"/>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4.25" customHeight="1">
      <c r="A924" s="41"/>
      <c r="B924" s="41"/>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4.25" customHeight="1">
      <c r="A925" s="41"/>
      <c r="B925" s="41"/>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4.25" customHeight="1">
      <c r="A926" s="41"/>
      <c r="B926" s="41"/>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4.25" customHeight="1">
      <c r="A927" s="41"/>
      <c r="B927" s="41"/>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4.25" customHeight="1">
      <c r="A928" s="41"/>
      <c r="B928" s="41"/>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4.25" customHeight="1">
      <c r="A929" s="41"/>
      <c r="B929" s="41"/>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4.25" customHeight="1">
      <c r="A930" s="41"/>
      <c r="B930" s="41"/>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4.25" customHeight="1">
      <c r="A931" s="41"/>
      <c r="B931" s="41"/>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4.25" customHeight="1">
      <c r="A932" s="41"/>
      <c r="B932" s="41"/>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4.25" customHeight="1">
      <c r="A933" s="41"/>
      <c r="B933" s="41"/>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4.25" customHeight="1">
      <c r="A934" s="41"/>
      <c r="B934" s="41"/>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4.25" customHeight="1">
      <c r="A935" s="41"/>
      <c r="B935" s="41"/>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4.25" customHeight="1">
      <c r="A936" s="41"/>
      <c r="B936" s="41"/>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4.25" customHeight="1">
      <c r="A937" s="41"/>
      <c r="B937" s="41"/>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4.25" customHeight="1">
      <c r="A938" s="41"/>
      <c r="B938" s="41"/>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4.25" customHeight="1">
      <c r="A939" s="41"/>
      <c r="B939" s="41"/>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4.25" customHeight="1">
      <c r="A940" s="41"/>
      <c r="B940" s="41"/>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4.25" customHeight="1">
      <c r="A941" s="41"/>
      <c r="B941" s="41"/>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4.25" customHeight="1">
      <c r="A942" s="41"/>
      <c r="B942" s="41"/>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4.25" customHeight="1">
      <c r="A943" s="41"/>
      <c r="B943" s="41"/>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4.25" customHeight="1">
      <c r="A944" s="41"/>
      <c r="B944" s="41"/>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4.25" customHeight="1">
      <c r="A945" s="41"/>
      <c r="B945" s="41"/>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4.25" customHeight="1">
      <c r="A946" s="41"/>
      <c r="B946" s="41"/>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4.25" customHeight="1">
      <c r="A947" s="41"/>
      <c r="B947" s="41"/>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4.25" customHeight="1">
      <c r="A948" s="41"/>
      <c r="B948" s="41"/>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4.25" customHeight="1">
      <c r="A949" s="41"/>
      <c r="B949" s="41"/>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4.25" customHeight="1">
      <c r="A950" s="41"/>
      <c r="B950" s="41"/>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4.25" customHeight="1">
      <c r="A951" s="41"/>
      <c r="B951" s="41"/>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4.25" customHeight="1">
      <c r="A952" s="41"/>
      <c r="B952" s="41"/>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4.25" customHeight="1">
      <c r="A953" s="41"/>
      <c r="B953" s="41"/>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4.25" customHeight="1">
      <c r="A954" s="41"/>
      <c r="B954" s="41"/>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4.25" customHeight="1">
      <c r="A955" s="41"/>
      <c r="B955" s="41"/>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4.25" customHeight="1">
      <c r="A956" s="41"/>
      <c r="B956" s="41"/>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4.25" customHeight="1">
      <c r="A957" s="41"/>
      <c r="B957" s="41"/>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4.25" customHeight="1">
      <c r="A958" s="41"/>
      <c r="B958" s="41"/>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4.25" customHeight="1">
      <c r="A959" s="41"/>
      <c r="B959" s="41"/>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4.25" customHeight="1">
      <c r="A960" s="41"/>
      <c r="B960" s="41"/>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4.25" customHeight="1">
      <c r="A961" s="41"/>
      <c r="B961" s="41"/>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4.25" customHeight="1">
      <c r="A962" s="41"/>
      <c r="B962" s="41"/>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4.25" customHeight="1">
      <c r="A963" s="41"/>
      <c r="B963" s="41"/>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4.25" customHeight="1">
      <c r="A964" s="41"/>
      <c r="B964" s="41"/>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4.25" customHeight="1">
      <c r="A965" s="41"/>
      <c r="B965" s="41"/>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4.25" customHeight="1">
      <c r="A966" s="41"/>
      <c r="B966" s="41"/>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4.25" customHeight="1">
      <c r="A967" s="41"/>
      <c r="B967" s="41"/>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4.25" customHeight="1">
      <c r="A968" s="41"/>
      <c r="B968" s="41"/>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4.25" customHeight="1">
      <c r="A969" s="41"/>
      <c r="B969" s="41"/>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4.25" customHeight="1">
      <c r="A970" s="41"/>
      <c r="B970" s="41"/>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4.25" customHeight="1">
      <c r="A971" s="41"/>
      <c r="B971" s="41"/>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4.25" customHeight="1">
      <c r="A972" s="41"/>
      <c r="B972" s="41"/>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4.25" customHeight="1">
      <c r="A973" s="41"/>
      <c r="B973" s="41"/>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4.25" customHeight="1">
      <c r="A974" s="41"/>
      <c r="B974" s="41"/>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4.25" customHeight="1">
      <c r="A975" s="41"/>
      <c r="B975" s="41"/>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4.25" customHeight="1">
      <c r="A976" s="41"/>
      <c r="B976" s="41"/>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4.25" customHeight="1">
      <c r="A977" s="41"/>
      <c r="B977" s="41"/>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4.25" customHeight="1">
      <c r="A978" s="41"/>
      <c r="B978" s="41"/>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4.25" customHeight="1">
      <c r="A979" s="41"/>
      <c r="B979" s="41"/>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4.25" customHeight="1">
      <c r="A980" s="41"/>
      <c r="B980" s="41"/>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4.25" customHeight="1">
      <c r="A981" s="41"/>
      <c r="B981" s="41"/>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4.25" customHeight="1">
      <c r="A982" s="41"/>
      <c r="B982" s="41"/>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4.25" customHeight="1">
      <c r="A983" s="41"/>
      <c r="B983" s="41"/>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4.25" customHeight="1">
      <c r="A984" s="41"/>
      <c r="B984" s="41"/>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4.25" customHeight="1">
      <c r="A985" s="41"/>
      <c r="B985" s="41"/>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4.25" customHeight="1">
      <c r="A986" s="41"/>
      <c r="B986" s="41"/>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4.25" customHeight="1">
      <c r="A987" s="41"/>
      <c r="B987" s="41"/>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4.25" customHeight="1">
      <c r="A988" s="41"/>
      <c r="B988" s="41"/>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4.25" customHeight="1">
      <c r="A989" s="41"/>
      <c r="B989" s="41"/>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4.25" customHeight="1">
      <c r="A990" s="41"/>
      <c r="B990" s="41"/>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4.25" customHeight="1">
      <c r="A991" s="41"/>
      <c r="B991" s="41"/>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4.25" customHeight="1">
      <c r="A992" s="41"/>
      <c r="B992" s="41"/>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4.25" customHeight="1">
      <c r="A993" s="41"/>
      <c r="B993" s="41"/>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4.25" customHeight="1">
      <c r="A994" s="41"/>
      <c r="B994" s="41"/>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4.25" customHeight="1">
      <c r="A995" s="41"/>
      <c r="B995" s="41"/>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4.25" customHeight="1">
      <c r="A996" s="41"/>
      <c r="B996" s="41"/>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4.25" customHeight="1">
      <c r="A997" s="41"/>
      <c r="B997" s="41"/>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4.25" customHeight="1">
      <c r="A998" s="41"/>
      <c r="B998" s="41"/>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4.25" customHeight="1">
      <c r="A999" s="41"/>
      <c r="B999" s="41"/>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4.25" customHeight="1">
      <c r="A1000" s="41"/>
      <c r="B1000" s="41"/>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
    <mergeCell ref="C38:D38"/>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election activeCell="C4" sqref="C4"/>
    </sheetView>
  </sheetViews>
  <sheetFormatPr defaultColWidth="14.36328125" defaultRowHeight="15" customHeight="1"/>
  <cols>
    <col min="1" max="1" width="19.7265625" style="33" customWidth="1"/>
    <col min="2" max="2" width="16.36328125" style="33" hidden="1" customWidth="1"/>
    <col min="3" max="3" width="15.54296875" style="33" customWidth="1"/>
    <col min="4" max="4" width="21.36328125" style="33" customWidth="1"/>
    <col min="5" max="26" width="8.7265625" style="33" customWidth="1"/>
    <col min="27" max="16384" width="14.36328125" style="33"/>
  </cols>
  <sheetData>
    <row r="1" spans="1:26" ht="14.25" customHeight="1">
      <c r="A1" s="66"/>
      <c r="B1" s="67"/>
      <c r="C1" s="67"/>
      <c r="D1" s="66"/>
      <c r="E1" s="66"/>
      <c r="F1" s="66"/>
      <c r="G1" s="66"/>
      <c r="H1" s="66"/>
      <c r="I1" s="66"/>
      <c r="J1" s="66"/>
      <c r="K1" s="66"/>
      <c r="L1" s="66"/>
      <c r="M1" s="66"/>
      <c r="N1" s="66"/>
      <c r="O1" s="66"/>
      <c r="P1" s="66"/>
      <c r="Q1" s="66"/>
      <c r="R1" s="66"/>
      <c r="S1" s="66"/>
      <c r="T1" s="66"/>
      <c r="U1" s="66"/>
      <c r="V1" s="66"/>
      <c r="W1" s="66"/>
      <c r="X1" s="66"/>
      <c r="Y1" s="66"/>
      <c r="Z1" s="66"/>
    </row>
    <row r="2" spans="1:26" ht="14.25" customHeight="1">
      <c r="A2" s="66"/>
      <c r="B2" s="67"/>
      <c r="C2" s="67"/>
      <c r="D2" s="66"/>
      <c r="E2" s="66"/>
      <c r="F2" s="66"/>
      <c r="G2" s="66"/>
      <c r="H2" s="66"/>
      <c r="I2" s="66"/>
      <c r="J2" s="66"/>
      <c r="K2" s="66"/>
      <c r="L2" s="66"/>
      <c r="M2" s="66"/>
      <c r="N2" s="66"/>
      <c r="O2" s="66"/>
      <c r="P2" s="66"/>
      <c r="Q2" s="66"/>
      <c r="R2" s="66"/>
      <c r="S2" s="66"/>
      <c r="T2" s="66"/>
      <c r="U2" s="66"/>
      <c r="V2" s="66"/>
      <c r="W2" s="66"/>
      <c r="X2" s="66"/>
      <c r="Y2" s="66"/>
      <c r="Z2" s="66"/>
    </row>
    <row r="3" spans="1:26" ht="35.25" customHeight="1">
      <c r="A3" s="68" t="s">
        <v>109</v>
      </c>
      <c r="B3" s="69" t="s">
        <v>129</v>
      </c>
      <c r="C3" s="69" t="s">
        <v>130</v>
      </c>
      <c r="D3" s="70" t="s">
        <v>49</v>
      </c>
      <c r="E3" s="66"/>
      <c r="F3" s="66"/>
      <c r="G3" s="66"/>
      <c r="H3" s="66"/>
      <c r="I3" s="66"/>
      <c r="J3" s="66"/>
      <c r="K3" s="66"/>
      <c r="L3" s="66"/>
      <c r="M3" s="66"/>
      <c r="N3" s="66"/>
      <c r="O3" s="66"/>
      <c r="P3" s="66"/>
      <c r="Q3" s="66"/>
      <c r="R3" s="66"/>
      <c r="S3" s="66"/>
      <c r="T3" s="66"/>
      <c r="U3" s="66"/>
      <c r="V3" s="66"/>
      <c r="W3" s="66"/>
      <c r="X3" s="66"/>
      <c r="Y3" s="66"/>
      <c r="Z3" s="66"/>
    </row>
    <row r="4" spans="1:26" ht="29">
      <c r="A4" s="57" t="s">
        <v>131</v>
      </c>
      <c r="B4" s="71"/>
      <c r="C4" s="71">
        <v>0.14127300000000001</v>
      </c>
      <c r="D4" s="72" t="s">
        <v>132</v>
      </c>
      <c r="E4" s="66"/>
      <c r="F4" s="66"/>
      <c r="G4" s="66"/>
      <c r="H4" s="66"/>
      <c r="I4" s="66"/>
      <c r="J4" s="66"/>
      <c r="K4" s="66"/>
      <c r="L4" s="66"/>
      <c r="M4" s="66"/>
      <c r="N4" s="66"/>
      <c r="O4" s="66"/>
      <c r="P4" s="66"/>
      <c r="Q4" s="66"/>
      <c r="R4" s="66"/>
      <c r="S4" s="66"/>
      <c r="T4" s="66"/>
      <c r="U4" s="66"/>
      <c r="V4" s="66"/>
      <c r="W4" s="66"/>
      <c r="X4" s="66"/>
      <c r="Y4" s="66"/>
      <c r="Z4" s="66"/>
    </row>
    <row r="5" spans="1:26" ht="14.25" customHeight="1">
      <c r="A5" s="58"/>
      <c r="B5" s="71"/>
      <c r="C5" s="71"/>
      <c r="D5" s="72"/>
      <c r="E5" s="66"/>
      <c r="F5" s="66"/>
      <c r="G5" s="66"/>
      <c r="H5" s="66"/>
      <c r="I5" s="66"/>
      <c r="J5" s="66"/>
      <c r="K5" s="66"/>
      <c r="L5" s="66"/>
      <c r="M5" s="66"/>
      <c r="N5" s="66"/>
      <c r="O5" s="66"/>
      <c r="P5" s="66"/>
      <c r="Q5" s="66"/>
      <c r="R5" s="66"/>
      <c r="S5" s="66"/>
      <c r="T5" s="66"/>
      <c r="U5" s="66"/>
      <c r="V5" s="66"/>
      <c r="W5" s="66"/>
      <c r="X5" s="66"/>
      <c r="Y5" s="66"/>
      <c r="Z5" s="66"/>
    </row>
    <row r="6" spans="1:26" ht="14.25" customHeight="1">
      <c r="A6" s="58"/>
      <c r="B6" s="71"/>
      <c r="C6" s="71"/>
      <c r="D6" s="72"/>
      <c r="E6" s="66"/>
      <c r="F6" s="66"/>
      <c r="G6" s="66"/>
      <c r="H6" s="66"/>
      <c r="I6" s="66"/>
      <c r="J6" s="66"/>
      <c r="K6" s="66"/>
      <c r="L6" s="66"/>
      <c r="M6" s="66"/>
      <c r="N6" s="66"/>
      <c r="O6" s="66"/>
      <c r="P6" s="66"/>
      <c r="Q6" s="66"/>
      <c r="R6" s="66"/>
      <c r="S6" s="66"/>
      <c r="T6" s="66"/>
      <c r="U6" s="66"/>
      <c r="V6" s="66"/>
      <c r="W6" s="66"/>
      <c r="X6" s="66"/>
      <c r="Y6" s="66"/>
      <c r="Z6" s="66"/>
    </row>
    <row r="7" spans="1:26" ht="14.25" customHeight="1">
      <c r="A7" s="58"/>
      <c r="B7" s="71"/>
      <c r="C7" s="71"/>
      <c r="D7" s="72"/>
      <c r="E7" s="66"/>
      <c r="F7" s="66"/>
      <c r="G7" s="66"/>
      <c r="H7" s="66"/>
      <c r="I7" s="66"/>
      <c r="J7" s="66"/>
      <c r="K7" s="66"/>
      <c r="L7" s="66"/>
      <c r="M7" s="66"/>
      <c r="N7" s="66"/>
      <c r="O7" s="66"/>
      <c r="P7" s="66"/>
      <c r="Q7" s="66"/>
      <c r="R7" s="66"/>
      <c r="S7" s="66"/>
      <c r="T7" s="66"/>
      <c r="U7" s="66"/>
      <c r="V7" s="66"/>
      <c r="W7" s="66"/>
      <c r="X7" s="66"/>
      <c r="Y7" s="66"/>
      <c r="Z7" s="66"/>
    </row>
    <row r="8" spans="1:26" ht="14.25" customHeight="1">
      <c r="A8" s="58"/>
      <c r="B8" s="71"/>
      <c r="C8" s="71"/>
      <c r="D8" s="72"/>
      <c r="E8" s="66"/>
      <c r="F8" s="66"/>
      <c r="G8" s="66"/>
      <c r="H8" s="66"/>
      <c r="I8" s="66"/>
      <c r="J8" s="66"/>
      <c r="K8" s="66"/>
      <c r="L8" s="66"/>
      <c r="M8" s="66"/>
      <c r="N8" s="66"/>
      <c r="O8" s="66"/>
      <c r="P8" s="66"/>
      <c r="Q8" s="66"/>
      <c r="R8" s="66"/>
      <c r="S8" s="66"/>
      <c r="T8" s="66"/>
      <c r="U8" s="66"/>
      <c r="V8" s="66"/>
      <c r="W8" s="66"/>
      <c r="X8" s="66"/>
      <c r="Y8" s="66"/>
      <c r="Z8" s="66"/>
    </row>
    <row r="9" spans="1:26" ht="14.25" customHeight="1">
      <c r="A9" s="68"/>
      <c r="B9" s="73"/>
      <c r="C9" s="69" t="s">
        <v>133</v>
      </c>
      <c r="D9" s="70" t="s">
        <v>179</v>
      </c>
      <c r="E9" s="66"/>
      <c r="F9" s="66"/>
      <c r="G9" s="66"/>
      <c r="H9" s="66"/>
      <c r="I9" s="66"/>
      <c r="J9" s="66"/>
      <c r="K9" s="66"/>
      <c r="L9" s="66"/>
      <c r="M9" s="66"/>
      <c r="N9" s="66"/>
      <c r="O9" s="66"/>
      <c r="P9" s="66"/>
      <c r="Q9" s="66"/>
      <c r="R9" s="66"/>
      <c r="S9" s="66"/>
      <c r="T9" s="66"/>
      <c r="U9" s="66"/>
      <c r="V9" s="66"/>
      <c r="W9" s="66"/>
      <c r="X9" s="66"/>
      <c r="Y9" s="66"/>
      <c r="Z9" s="66"/>
    </row>
    <row r="10" spans="1:26" ht="14.25" customHeight="1">
      <c r="A10" s="66"/>
      <c r="B10" s="67"/>
      <c r="C10" s="67"/>
      <c r="D10" s="66"/>
      <c r="E10" s="66"/>
      <c r="F10" s="66"/>
      <c r="G10" s="66"/>
      <c r="H10" s="66"/>
      <c r="I10" s="66"/>
      <c r="J10" s="66"/>
      <c r="K10" s="66"/>
      <c r="L10" s="66"/>
      <c r="M10" s="66"/>
      <c r="N10" s="66"/>
      <c r="O10" s="66"/>
      <c r="P10" s="66"/>
      <c r="Q10" s="66"/>
      <c r="R10" s="66"/>
      <c r="S10" s="66"/>
      <c r="T10" s="66"/>
      <c r="U10" s="66"/>
      <c r="V10" s="66"/>
      <c r="W10" s="66"/>
      <c r="X10" s="66"/>
      <c r="Y10" s="66"/>
      <c r="Z10" s="66"/>
    </row>
    <row r="11" spans="1:26" ht="14.25" customHeight="1">
      <c r="A11" s="66"/>
      <c r="B11" s="67"/>
      <c r="C11" s="67"/>
      <c r="D11" s="66"/>
      <c r="E11" s="66"/>
      <c r="F11" s="66"/>
      <c r="G11" s="66"/>
      <c r="H11" s="66"/>
      <c r="I11" s="66"/>
      <c r="J11" s="66"/>
      <c r="K11" s="66"/>
      <c r="L11" s="66"/>
      <c r="M11" s="66"/>
      <c r="N11" s="66"/>
      <c r="O11" s="66"/>
      <c r="P11" s="66"/>
      <c r="Q11" s="66"/>
      <c r="R11" s="66"/>
      <c r="S11" s="66"/>
      <c r="T11" s="66"/>
      <c r="U11" s="66"/>
      <c r="V11" s="66"/>
      <c r="W11" s="66"/>
      <c r="X11" s="66"/>
      <c r="Y11" s="66"/>
      <c r="Z11" s="66"/>
    </row>
    <row r="12" spans="1:26" ht="14.25" customHeight="1">
      <c r="A12" s="66"/>
      <c r="B12" s="67"/>
      <c r="C12" s="67"/>
      <c r="D12" s="66"/>
      <c r="E12" s="66"/>
      <c r="F12" s="66"/>
      <c r="G12" s="66"/>
      <c r="H12" s="66"/>
      <c r="I12" s="66"/>
      <c r="J12" s="66"/>
      <c r="K12" s="66"/>
      <c r="L12" s="66"/>
      <c r="M12" s="66"/>
      <c r="N12" s="66"/>
      <c r="O12" s="66"/>
      <c r="P12" s="66"/>
      <c r="Q12" s="66"/>
      <c r="R12" s="66"/>
      <c r="S12" s="66"/>
      <c r="T12" s="66"/>
      <c r="U12" s="66"/>
      <c r="V12" s="66"/>
      <c r="W12" s="66"/>
      <c r="X12" s="66"/>
      <c r="Y12" s="66"/>
      <c r="Z12" s="66"/>
    </row>
    <row r="13" spans="1:26" ht="14.25" customHeight="1">
      <c r="A13" s="66"/>
      <c r="B13" s="67"/>
      <c r="C13" s="67"/>
      <c r="D13" s="66"/>
      <c r="E13" s="66"/>
      <c r="F13" s="66"/>
      <c r="G13" s="66"/>
      <c r="H13" s="66"/>
      <c r="I13" s="66"/>
      <c r="J13" s="66"/>
      <c r="K13" s="66"/>
      <c r="L13" s="66"/>
      <c r="M13" s="66"/>
      <c r="N13" s="66"/>
      <c r="O13" s="66"/>
      <c r="P13" s="66"/>
      <c r="Q13" s="66"/>
      <c r="R13" s="66"/>
      <c r="S13" s="66"/>
      <c r="T13" s="66"/>
      <c r="U13" s="66"/>
      <c r="V13" s="66"/>
      <c r="W13" s="66"/>
      <c r="X13" s="66"/>
      <c r="Y13" s="66"/>
      <c r="Z13" s="66"/>
    </row>
    <row r="14" spans="1:26" ht="14.25" customHeight="1">
      <c r="A14" s="66"/>
      <c r="B14" s="67"/>
      <c r="C14" s="67"/>
      <c r="D14" s="66"/>
      <c r="E14" s="66"/>
      <c r="F14" s="66"/>
      <c r="G14" s="66"/>
      <c r="H14" s="66"/>
      <c r="I14" s="66"/>
      <c r="J14" s="66"/>
      <c r="K14" s="66"/>
      <c r="L14" s="66"/>
      <c r="M14" s="66"/>
      <c r="N14" s="66"/>
      <c r="O14" s="66"/>
      <c r="P14" s="66"/>
      <c r="Q14" s="66"/>
      <c r="R14" s="66"/>
      <c r="S14" s="66"/>
      <c r="T14" s="66"/>
      <c r="U14" s="66"/>
      <c r="V14" s="66"/>
      <c r="W14" s="66"/>
      <c r="X14" s="66"/>
      <c r="Y14" s="66"/>
      <c r="Z14" s="66"/>
    </row>
    <row r="15" spans="1:26" ht="14.25" customHeight="1">
      <c r="A15" s="66"/>
      <c r="B15" s="67"/>
      <c r="C15" s="67"/>
      <c r="D15" s="66"/>
      <c r="E15" s="66"/>
      <c r="F15" s="66"/>
      <c r="G15" s="66"/>
      <c r="H15" s="66"/>
      <c r="I15" s="66"/>
      <c r="J15" s="66"/>
      <c r="K15" s="66"/>
      <c r="L15" s="66"/>
      <c r="M15" s="66"/>
      <c r="N15" s="66"/>
      <c r="O15" s="66"/>
      <c r="P15" s="66"/>
      <c r="Q15" s="66"/>
      <c r="R15" s="66"/>
      <c r="S15" s="66"/>
      <c r="T15" s="66"/>
      <c r="U15" s="66"/>
      <c r="V15" s="66"/>
      <c r="W15" s="66"/>
      <c r="X15" s="66"/>
      <c r="Y15" s="66"/>
      <c r="Z15" s="66"/>
    </row>
    <row r="16" spans="1:26" ht="14.25" customHeight="1">
      <c r="A16" s="66"/>
      <c r="B16" s="67"/>
      <c r="C16" s="67"/>
      <c r="D16" s="66"/>
      <c r="E16" s="66"/>
      <c r="F16" s="66"/>
      <c r="G16" s="66"/>
      <c r="H16" s="66"/>
      <c r="I16" s="66"/>
      <c r="J16" s="66"/>
      <c r="K16" s="66"/>
      <c r="L16" s="66"/>
      <c r="M16" s="66"/>
      <c r="N16" s="66"/>
      <c r="O16" s="66"/>
      <c r="P16" s="66"/>
      <c r="Q16" s="66"/>
      <c r="R16" s="66"/>
      <c r="S16" s="66"/>
      <c r="T16" s="66"/>
      <c r="U16" s="66"/>
      <c r="V16" s="66"/>
      <c r="W16" s="66"/>
      <c r="X16" s="66"/>
      <c r="Y16" s="66"/>
      <c r="Z16" s="66"/>
    </row>
    <row r="17" spans="1:26" ht="14.25" customHeight="1">
      <c r="A17" s="66"/>
      <c r="B17" s="67"/>
      <c r="C17" s="67"/>
      <c r="D17" s="66"/>
      <c r="E17" s="66"/>
      <c r="F17" s="66"/>
      <c r="G17" s="66"/>
      <c r="H17" s="66"/>
      <c r="I17" s="66"/>
      <c r="J17" s="66"/>
      <c r="K17" s="66"/>
      <c r="L17" s="66"/>
      <c r="M17" s="66"/>
      <c r="N17" s="66"/>
      <c r="O17" s="66"/>
      <c r="P17" s="66"/>
      <c r="Q17" s="66"/>
      <c r="R17" s="66"/>
      <c r="S17" s="66"/>
      <c r="T17" s="66"/>
      <c r="U17" s="66"/>
      <c r="V17" s="66"/>
      <c r="W17" s="66"/>
      <c r="X17" s="66"/>
      <c r="Y17" s="66"/>
      <c r="Z17" s="66"/>
    </row>
    <row r="18" spans="1:26" ht="14.25" customHeight="1">
      <c r="A18" s="66"/>
      <c r="B18" s="67"/>
      <c r="C18" s="67"/>
      <c r="D18" s="66"/>
      <c r="E18" s="66"/>
      <c r="F18" s="66"/>
      <c r="G18" s="66"/>
      <c r="H18" s="66"/>
      <c r="I18" s="66"/>
      <c r="J18" s="66"/>
      <c r="K18" s="66"/>
      <c r="L18" s="66"/>
      <c r="M18" s="66"/>
      <c r="N18" s="66"/>
      <c r="O18" s="66"/>
      <c r="P18" s="66"/>
      <c r="Q18" s="66"/>
      <c r="R18" s="66"/>
      <c r="S18" s="66"/>
      <c r="T18" s="66"/>
      <c r="U18" s="66"/>
      <c r="V18" s="66"/>
      <c r="W18" s="66"/>
      <c r="X18" s="66"/>
      <c r="Y18" s="66"/>
      <c r="Z18" s="66"/>
    </row>
    <row r="19" spans="1:26" ht="14.25" customHeight="1">
      <c r="A19" s="66"/>
      <c r="B19" s="67"/>
      <c r="C19" s="67"/>
      <c r="D19" s="66"/>
      <c r="E19" s="66"/>
      <c r="F19" s="66"/>
      <c r="G19" s="66"/>
      <c r="H19" s="66"/>
      <c r="I19" s="66"/>
      <c r="J19" s="66"/>
      <c r="K19" s="66"/>
      <c r="L19" s="66"/>
      <c r="M19" s="66"/>
      <c r="N19" s="66"/>
      <c r="O19" s="66"/>
      <c r="P19" s="66"/>
      <c r="Q19" s="66"/>
      <c r="R19" s="66"/>
      <c r="S19" s="66"/>
      <c r="T19" s="66"/>
      <c r="U19" s="66"/>
      <c r="V19" s="66"/>
      <c r="W19" s="66"/>
      <c r="X19" s="66"/>
      <c r="Y19" s="66"/>
      <c r="Z19" s="66"/>
    </row>
    <row r="20" spans="1:26" ht="14.25" customHeight="1">
      <c r="A20" s="66"/>
      <c r="B20" s="67"/>
      <c r="C20" s="67"/>
      <c r="D20" s="66"/>
      <c r="E20" s="66"/>
      <c r="F20" s="66"/>
      <c r="G20" s="66"/>
      <c r="H20" s="66"/>
      <c r="I20" s="66"/>
      <c r="J20" s="66"/>
      <c r="K20" s="66"/>
      <c r="L20" s="66"/>
      <c r="M20" s="66"/>
      <c r="N20" s="66"/>
      <c r="O20" s="66"/>
      <c r="P20" s="66"/>
      <c r="Q20" s="66"/>
      <c r="R20" s="66"/>
      <c r="S20" s="66"/>
      <c r="T20" s="66"/>
      <c r="U20" s="66"/>
      <c r="V20" s="66"/>
      <c r="W20" s="66"/>
      <c r="X20" s="66"/>
      <c r="Y20" s="66"/>
      <c r="Z20" s="66"/>
    </row>
    <row r="21" spans="1:26" ht="14.25" customHeight="1">
      <c r="A21" s="66"/>
      <c r="B21" s="67"/>
      <c r="C21" s="67"/>
      <c r="D21" s="66"/>
      <c r="E21" s="66"/>
      <c r="F21" s="66"/>
      <c r="G21" s="66"/>
      <c r="H21" s="66"/>
      <c r="I21" s="66"/>
      <c r="J21" s="66"/>
      <c r="K21" s="66"/>
      <c r="L21" s="66"/>
      <c r="M21" s="66"/>
      <c r="N21" s="66"/>
      <c r="O21" s="66"/>
      <c r="P21" s="66"/>
      <c r="Q21" s="66"/>
      <c r="R21" s="66"/>
      <c r="S21" s="66"/>
      <c r="T21" s="66"/>
      <c r="U21" s="66"/>
      <c r="V21" s="66"/>
      <c r="W21" s="66"/>
      <c r="X21" s="66"/>
      <c r="Y21" s="66"/>
      <c r="Z21" s="66"/>
    </row>
    <row r="22" spans="1:26" ht="14.25" customHeight="1">
      <c r="A22" s="66"/>
      <c r="B22" s="67"/>
      <c r="C22" s="67"/>
      <c r="D22" s="66"/>
      <c r="E22" s="66"/>
      <c r="F22" s="66"/>
      <c r="G22" s="66"/>
      <c r="H22" s="66"/>
      <c r="I22" s="66"/>
      <c r="J22" s="66"/>
      <c r="K22" s="66"/>
      <c r="L22" s="66"/>
      <c r="M22" s="66"/>
      <c r="N22" s="66"/>
      <c r="O22" s="66"/>
      <c r="P22" s="66"/>
      <c r="Q22" s="66"/>
      <c r="R22" s="66"/>
      <c r="S22" s="66"/>
      <c r="T22" s="66"/>
      <c r="U22" s="66"/>
      <c r="V22" s="66"/>
      <c r="W22" s="66"/>
      <c r="X22" s="66"/>
      <c r="Y22" s="66"/>
      <c r="Z22" s="66"/>
    </row>
    <row r="23" spans="1:26" ht="14.25" customHeight="1">
      <c r="A23" s="66"/>
      <c r="B23" s="67"/>
      <c r="C23" s="67"/>
      <c r="D23" s="66"/>
      <c r="E23" s="66"/>
      <c r="F23" s="66"/>
      <c r="G23" s="66"/>
      <c r="H23" s="66"/>
      <c r="I23" s="66"/>
      <c r="J23" s="66"/>
      <c r="K23" s="66"/>
      <c r="L23" s="66"/>
      <c r="M23" s="66"/>
      <c r="N23" s="66"/>
      <c r="O23" s="66"/>
      <c r="P23" s="66"/>
      <c r="Q23" s="66"/>
      <c r="R23" s="66"/>
      <c r="S23" s="66"/>
      <c r="T23" s="66"/>
      <c r="U23" s="66"/>
      <c r="V23" s="66"/>
      <c r="W23" s="66"/>
      <c r="X23" s="66"/>
      <c r="Y23" s="66"/>
      <c r="Z23" s="66"/>
    </row>
    <row r="24" spans="1:26" ht="14.25" customHeight="1">
      <c r="A24" s="66"/>
      <c r="B24" s="67"/>
      <c r="C24" s="67"/>
      <c r="D24" s="66"/>
      <c r="E24" s="66"/>
      <c r="F24" s="66"/>
      <c r="G24" s="66"/>
      <c r="H24" s="66"/>
      <c r="I24" s="66"/>
      <c r="J24" s="66"/>
      <c r="K24" s="66"/>
      <c r="L24" s="66"/>
      <c r="M24" s="66"/>
      <c r="N24" s="66"/>
      <c r="O24" s="66"/>
      <c r="P24" s="66"/>
      <c r="Q24" s="66"/>
      <c r="R24" s="66"/>
      <c r="S24" s="66"/>
      <c r="T24" s="66"/>
      <c r="U24" s="66"/>
      <c r="V24" s="66"/>
      <c r="W24" s="66"/>
      <c r="X24" s="66"/>
      <c r="Y24" s="66"/>
      <c r="Z24" s="66"/>
    </row>
    <row r="25" spans="1:26" ht="14.25" customHeight="1">
      <c r="A25" s="66"/>
      <c r="B25" s="67"/>
      <c r="C25" s="67"/>
      <c r="D25" s="66"/>
      <c r="E25" s="66"/>
      <c r="F25" s="66"/>
      <c r="G25" s="66"/>
      <c r="H25" s="66"/>
      <c r="I25" s="66"/>
      <c r="J25" s="66"/>
      <c r="K25" s="66"/>
      <c r="L25" s="66"/>
      <c r="M25" s="66"/>
      <c r="N25" s="66"/>
      <c r="O25" s="66"/>
      <c r="P25" s="66"/>
      <c r="Q25" s="66"/>
      <c r="R25" s="66"/>
      <c r="S25" s="66"/>
      <c r="T25" s="66"/>
      <c r="U25" s="66"/>
      <c r="V25" s="66"/>
      <c r="W25" s="66"/>
      <c r="X25" s="66"/>
      <c r="Y25" s="66"/>
      <c r="Z25" s="66"/>
    </row>
    <row r="26" spans="1:26" ht="14.25" customHeight="1">
      <c r="A26" s="66"/>
      <c r="B26" s="67"/>
      <c r="C26" s="67"/>
      <c r="D26" s="66"/>
      <c r="E26" s="66"/>
      <c r="F26" s="66"/>
      <c r="G26" s="66"/>
      <c r="H26" s="66"/>
      <c r="I26" s="66"/>
      <c r="J26" s="66"/>
      <c r="K26" s="66"/>
      <c r="L26" s="66"/>
      <c r="M26" s="66"/>
      <c r="N26" s="66"/>
      <c r="O26" s="66"/>
      <c r="P26" s="66"/>
      <c r="Q26" s="66"/>
      <c r="R26" s="66"/>
      <c r="S26" s="66"/>
      <c r="T26" s="66"/>
      <c r="U26" s="66"/>
      <c r="V26" s="66"/>
      <c r="W26" s="66"/>
      <c r="X26" s="66"/>
      <c r="Y26" s="66"/>
      <c r="Z26" s="66"/>
    </row>
    <row r="27" spans="1:26" ht="14.25" customHeight="1">
      <c r="A27" s="66"/>
      <c r="B27" s="67"/>
      <c r="C27" s="67"/>
      <c r="D27" s="66"/>
      <c r="E27" s="66"/>
      <c r="F27" s="66"/>
      <c r="G27" s="66"/>
      <c r="H27" s="66"/>
      <c r="I27" s="66"/>
      <c r="J27" s="66"/>
      <c r="K27" s="66"/>
      <c r="L27" s="66"/>
      <c r="M27" s="66"/>
      <c r="N27" s="66"/>
      <c r="O27" s="66"/>
      <c r="P27" s="66"/>
      <c r="Q27" s="66"/>
      <c r="R27" s="66"/>
      <c r="S27" s="66"/>
      <c r="T27" s="66"/>
      <c r="U27" s="66"/>
      <c r="V27" s="66"/>
      <c r="W27" s="66"/>
      <c r="X27" s="66"/>
      <c r="Y27" s="66"/>
      <c r="Z27" s="66"/>
    </row>
    <row r="28" spans="1:26" ht="14.25" customHeight="1">
      <c r="A28" s="66"/>
      <c r="B28" s="67"/>
      <c r="C28" s="67"/>
      <c r="D28" s="66"/>
      <c r="E28" s="66"/>
      <c r="F28" s="66"/>
      <c r="G28" s="66"/>
      <c r="H28" s="66"/>
      <c r="I28" s="66"/>
      <c r="J28" s="66"/>
      <c r="K28" s="66"/>
      <c r="L28" s="66"/>
      <c r="M28" s="66"/>
      <c r="N28" s="66"/>
      <c r="O28" s="66"/>
      <c r="P28" s="66"/>
      <c r="Q28" s="66"/>
      <c r="R28" s="66"/>
      <c r="S28" s="66"/>
      <c r="T28" s="66"/>
      <c r="U28" s="66"/>
      <c r="V28" s="66"/>
      <c r="W28" s="66"/>
      <c r="X28" s="66"/>
      <c r="Y28" s="66"/>
      <c r="Z28" s="66"/>
    </row>
    <row r="29" spans="1:26" ht="14.25" customHeight="1">
      <c r="A29" s="66"/>
      <c r="B29" s="67"/>
      <c r="C29" s="67"/>
      <c r="D29" s="66"/>
      <c r="E29" s="66"/>
      <c r="F29" s="66"/>
      <c r="G29" s="66"/>
      <c r="H29" s="66"/>
      <c r="I29" s="66"/>
      <c r="J29" s="66"/>
      <c r="K29" s="66"/>
      <c r="L29" s="66"/>
      <c r="M29" s="66"/>
      <c r="N29" s="66"/>
      <c r="O29" s="66"/>
      <c r="P29" s="66"/>
      <c r="Q29" s="66"/>
      <c r="R29" s="66"/>
      <c r="S29" s="66"/>
      <c r="T29" s="66"/>
      <c r="U29" s="66"/>
      <c r="V29" s="66"/>
      <c r="W29" s="66"/>
      <c r="X29" s="66"/>
      <c r="Y29" s="66"/>
      <c r="Z29" s="66"/>
    </row>
    <row r="30" spans="1:26" ht="14.25" customHeight="1">
      <c r="A30" s="66"/>
      <c r="B30" s="67"/>
      <c r="C30" s="67"/>
      <c r="D30" s="66"/>
      <c r="E30" s="66"/>
      <c r="F30" s="66"/>
      <c r="G30" s="66"/>
      <c r="H30" s="66"/>
      <c r="I30" s="66"/>
      <c r="J30" s="66"/>
      <c r="K30" s="66"/>
      <c r="L30" s="66"/>
      <c r="M30" s="66"/>
      <c r="N30" s="66"/>
      <c r="O30" s="66"/>
      <c r="P30" s="66"/>
      <c r="Q30" s="66"/>
      <c r="R30" s="66"/>
      <c r="S30" s="66"/>
      <c r="T30" s="66"/>
      <c r="U30" s="66"/>
      <c r="V30" s="66"/>
      <c r="W30" s="66"/>
      <c r="X30" s="66"/>
      <c r="Y30" s="66"/>
      <c r="Z30" s="66"/>
    </row>
    <row r="31" spans="1:26" ht="14.25" customHeight="1">
      <c r="A31" s="66"/>
      <c r="B31" s="67"/>
      <c r="C31" s="67"/>
      <c r="D31" s="66"/>
      <c r="E31" s="66"/>
      <c r="F31" s="66"/>
      <c r="G31" s="66"/>
      <c r="H31" s="66"/>
      <c r="I31" s="66"/>
      <c r="J31" s="66"/>
      <c r="K31" s="66"/>
      <c r="L31" s="66"/>
      <c r="M31" s="66"/>
      <c r="N31" s="66"/>
      <c r="O31" s="66"/>
      <c r="P31" s="66"/>
      <c r="Q31" s="66"/>
      <c r="R31" s="66"/>
      <c r="S31" s="66"/>
      <c r="T31" s="66"/>
      <c r="U31" s="66"/>
      <c r="V31" s="66"/>
      <c r="W31" s="66"/>
      <c r="X31" s="66"/>
      <c r="Y31" s="66"/>
      <c r="Z31" s="66"/>
    </row>
    <row r="32" spans="1:26" ht="14.25" customHeight="1">
      <c r="A32" s="66"/>
      <c r="B32" s="67"/>
      <c r="C32" s="67"/>
      <c r="D32" s="66"/>
      <c r="E32" s="66"/>
      <c r="F32" s="66"/>
      <c r="G32" s="66"/>
      <c r="H32" s="66"/>
      <c r="I32" s="66"/>
      <c r="J32" s="66"/>
      <c r="K32" s="66"/>
      <c r="L32" s="66"/>
      <c r="M32" s="66"/>
      <c r="N32" s="66"/>
      <c r="O32" s="66"/>
      <c r="P32" s="66"/>
      <c r="Q32" s="66"/>
      <c r="R32" s="66"/>
      <c r="S32" s="66"/>
      <c r="T32" s="66"/>
      <c r="U32" s="66"/>
      <c r="V32" s="66"/>
      <c r="W32" s="66"/>
      <c r="X32" s="66"/>
      <c r="Y32" s="66"/>
      <c r="Z32" s="66"/>
    </row>
    <row r="33" spans="1:26" ht="14.25" customHeight="1">
      <c r="A33" s="66"/>
      <c r="B33" s="67"/>
      <c r="C33" s="67"/>
      <c r="D33" s="66"/>
      <c r="E33" s="66"/>
      <c r="F33" s="66"/>
      <c r="G33" s="66"/>
      <c r="H33" s="66"/>
      <c r="I33" s="66"/>
      <c r="J33" s="66"/>
      <c r="K33" s="66"/>
      <c r="L33" s="66"/>
      <c r="M33" s="66"/>
      <c r="N33" s="66"/>
      <c r="O33" s="66"/>
      <c r="P33" s="66"/>
      <c r="Q33" s="66"/>
      <c r="R33" s="66"/>
      <c r="S33" s="66"/>
      <c r="T33" s="66"/>
      <c r="U33" s="66"/>
      <c r="V33" s="66"/>
      <c r="W33" s="66"/>
      <c r="X33" s="66"/>
      <c r="Y33" s="66"/>
      <c r="Z33" s="66"/>
    </row>
    <row r="34" spans="1:26" ht="14.25" customHeight="1">
      <c r="A34" s="66"/>
      <c r="B34" s="67"/>
      <c r="C34" s="67"/>
      <c r="D34" s="66"/>
      <c r="E34" s="66"/>
      <c r="F34" s="66"/>
      <c r="G34" s="66"/>
      <c r="H34" s="66"/>
      <c r="I34" s="66"/>
      <c r="J34" s="66"/>
      <c r="K34" s="66"/>
      <c r="L34" s="66"/>
      <c r="M34" s="66"/>
      <c r="N34" s="66"/>
      <c r="O34" s="66"/>
      <c r="P34" s="66"/>
      <c r="Q34" s="66"/>
      <c r="R34" s="66"/>
      <c r="S34" s="66"/>
      <c r="T34" s="66"/>
      <c r="U34" s="66"/>
      <c r="V34" s="66"/>
      <c r="W34" s="66"/>
      <c r="X34" s="66"/>
      <c r="Y34" s="66"/>
      <c r="Z34" s="66"/>
    </row>
    <row r="35" spans="1:26" ht="14.25" customHeight="1">
      <c r="A35" s="66"/>
      <c r="B35" s="67"/>
      <c r="C35" s="67"/>
      <c r="D35" s="66"/>
      <c r="E35" s="66"/>
      <c r="F35" s="66"/>
      <c r="G35" s="66"/>
      <c r="H35" s="66"/>
      <c r="I35" s="66"/>
      <c r="J35" s="66"/>
      <c r="K35" s="66"/>
      <c r="L35" s="66"/>
      <c r="M35" s="66"/>
      <c r="N35" s="66"/>
      <c r="O35" s="66"/>
      <c r="P35" s="66"/>
      <c r="Q35" s="66"/>
      <c r="R35" s="66"/>
      <c r="S35" s="66"/>
      <c r="T35" s="66"/>
      <c r="U35" s="66"/>
      <c r="V35" s="66"/>
      <c r="W35" s="66"/>
      <c r="X35" s="66"/>
      <c r="Y35" s="66"/>
      <c r="Z35" s="66"/>
    </row>
    <row r="36" spans="1:26" ht="14.25" customHeight="1">
      <c r="A36" s="66"/>
      <c r="B36" s="67"/>
      <c r="C36" s="67"/>
      <c r="D36" s="66"/>
      <c r="E36" s="66"/>
      <c r="F36" s="66"/>
      <c r="G36" s="66"/>
      <c r="H36" s="66"/>
      <c r="I36" s="66"/>
      <c r="J36" s="66"/>
      <c r="K36" s="66"/>
      <c r="L36" s="66"/>
      <c r="M36" s="66"/>
      <c r="N36" s="66"/>
      <c r="O36" s="66"/>
      <c r="P36" s="66"/>
      <c r="Q36" s="66"/>
      <c r="R36" s="66"/>
      <c r="S36" s="66"/>
      <c r="T36" s="66"/>
      <c r="U36" s="66"/>
      <c r="V36" s="66"/>
      <c r="W36" s="66"/>
      <c r="X36" s="66"/>
      <c r="Y36" s="66"/>
      <c r="Z36" s="66"/>
    </row>
    <row r="37" spans="1:26" ht="14.25" customHeight="1">
      <c r="A37" s="66"/>
      <c r="B37" s="67"/>
      <c r="C37" s="67"/>
      <c r="D37" s="66"/>
      <c r="E37" s="66"/>
      <c r="F37" s="66"/>
      <c r="G37" s="66"/>
      <c r="H37" s="66"/>
      <c r="I37" s="66"/>
      <c r="J37" s="66"/>
      <c r="K37" s="66"/>
      <c r="L37" s="66"/>
      <c r="M37" s="66"/>
      <c r="N37" s="66"/>
      <c r="O37" s="66"/>
      <c r="P37" s="66"/>
      <c r="Q37" s="66"/>
      <c r="R37" s="66"/>
      <c r="S37" s="66"/>
      <c r="T37" s="66"/>
      <c r="U37" s="66"/>
      <c r="V37" s="66"/>
      <c r="W37" s="66"/>
      <c r="X37" s="66"/>
      <c r="Y37" s="66"/>
      <c r="Z37" s="66"/>
    </row>
    <row r="38" spans="1:26" ht="14.25" customHeight="1">
      <c r="A38" s="66"/>
      <c r="B38" s="67"/>
      <c r="C38" s="67"/>
      <c r="D38" s="66"/>
      <c r="E38" s="66"/>
      <c r="F38" s="66"/>
      <c r="G38" s="66"/>
      <c r="H38" s="66"/>
      <c r="I38" s="66"/>
      <c r="J38" s="66"/>
      <c r="K38" s="66"/>
      <c r="L38" s="66"/>
      <c r="M38" s="66"/>
      <c r="N38" s="66"/>
      <c r="O38" s="66"/>
      <c r="P38" s="66"/>
      <c r="Q38" s="66"/>
      <c r="R38" s="66"/>
      <c r="S38" s="66"/>
      <c r="T38" s="66"/>
      <c r="U38" s="66"/>
      <c r="V38" s="66"/>
      <c r="W38" s="66"/>
      <c r="X38" s="66"/>
      <c r="Y38" s="66"/>
      <c r="Z38" s="66"/>
    </row>
    <row r="39" spans="1:26" ht="14.25" customHeight="1">
      <c r="A39" s="66"/>
      <c r="B39" s="67"/>
      <c r="C39" s="67"/>
      <c r="D39" s="66"/>
      <c r="E39" s="66"/>
      <c r="F39" s="66"/>
      <c r="G39" s="66"/>
      <c r="H39" s="66"/>
      <c r="I39" s="66"/>
      <c r="J39" s="66"/>
      <c r="K39" s="66"/>
      <c r="L39" s="66"/>
      <c r="M39" s="66"/>
      <c r="N39" s="66"/>
      <c r="O39" s="66"/>
      <c r="P39" s="66"/>
      <c r="Q39" s="66"/>
      <c r="R39" s="66"/>
      <c r="S39" s="66"/>
      <c r="T39" s="66"/>
      <c r="U39" s="66"/>
      <c r="V39" s="66"/>
      <c r="W39" s="66"/>
      <c r="X39" s="66"/>
      <c r="Y39" s="66"/>
      <c r="Z39" s="66"/>
    </row>
    <row r="40" spans="1:26" ht="14.25" customHeight="1">
      <c r="A40" s="66"/>
      <c r="B40" s="67"/>
      <c r="C40" s="67"/>
      <c r="D40" s="66"/>
      <c r="E40" s="66"/>
      <c r="F40" s="66"/>
      <c r="G40" s="66"/>
      <c r="H40" s="66"/>
      <c r="I40" s="66"/>
      <c r="J40" s="66"/>
      <c r="K40" s="66"/>
      <c r="L40" s="66"/>
      <c r="M40" s="66"/>
      <c r="N40" s="66"/>
      <c r="O40" s="66"/>
      <c r="P40" s="66"/>
      <c r="Q40" s="66"/>
      <c r="R40" s="66"/>
      <c r="S40" s="66"/>
      <c r="T40" s="66"/>
      <c r="U40" s="66"/>
      <c r="V40" s="66"/>
      <c r="W40" s="66"/>
      <c r="X40" s="66"/>
      <c r="Y40" s="66"/>
      <c r="Z40" s="66"/>
    </row>
    <row r="41" spans="1:26" ht="14.25" customHeight="1">
      <c r="A41" s="66"/>
      <c r="B41" s="67"/>
      <c r="C41" s="67"/>
      <c r="D41" s="66"/>
      <c r="E41" s="66"/>
      <c r="F41" s="66"/>
      <c r="G41" s="66"/>
      <c r="H41" s="66"/>
      <c r="I41" s="66"/>
      <c r="J41" s="66"/>
      <c r="K41" s="66"/>
      <c r="L41" s="66"/>
      <c r="M41" s="66"/>
      <c r="N41" s="66"/>
      <c r="O41" s="66"/>
      <c r="P41" s="66"/>
      <c r="Q41" s="66"/>
      <c r="R41" s="66"/>
      <c r="S41" s="66"/>
      <c r="T41" s="66"/>
      <c r="U41" s="66"/>
      <c r="V41" s="66"/>
      <c r="W41" s="66"/>
      <c r="X41" s="66"/>
      <c r="Y41" s="66"/>
      <c r="Z41" s="66"/>
    </row>
    <row r="42" spans="1:26" ht="14.25" customHeight="1">
      <c r="A42" s="66"/>
      <c r="B42" s="67"/>
      <c r="C42" s="67"/>
      <c r="D42" s="66"/>
      <c r="E42" s="66"/>
      <c r="F42" s="66"/>
      <c r="G42" s="66"/>
      <c r="H42" s="66"/>
      <c r="I42" s="66"/>
      <c r="J42" s="66"/>
      <c r="K42" s="66"/>
      <c r="L42" s="66"/>
      <c r="M42" s="66"/>
      <c r="N42" s="66"/>
      <c r="O42" s="66"/>
      <c r="P42" s="66"/>
      <c r="Q42" s="66"/>
      <c r="R42" s="66"/>
      <c r="S42" s="66"/>
      <c r="T42" s="66"/>
      <c r="U42" s="66"/>
      <c r="V42" s="66"/>
      <c r="W42" s="66"/>
      <c r="X42" s="66"/>
      <c r="Y42" s="66"/>
      <c r="Z42" s="66"/>
    </row>
    <row r="43" spans="1:26" ht="14.25" customHeight="1">
      <c r="A43" s="66"/>
      <c r="B43" s="67"/>
      <c r="C43" s="67"/>
      <c r="D43" s="66"/>
      <c r="E43" s="66"/>
      <c r="F43" s="66"/>
      <c r="G43" s="66"/>
      <c r="H43" s="66"/>
      <c r="I43" s="66"/>
      <c r="J43" s="66"/>
      <c r="K43" s="66"/>
      <c r="L43" s="66"/>
      <c r="M43" s="66"/>
      <c r="N43" s="66"/>
      <c r="O43" s="66"/>
      <c r="P43" s="66"/>
      <c r="Q43" s="66"/>
      <c r="R43" s="66"/>
      <c r="S43" s="66"/>
      <c r="T43" s="66"/>
      <c r="U43" s="66"/>
      <c r="V43" s="66"/>
      <c r="W43" s="66"/>
      <c r="X43" s="66"/>
      <c r="Y43" s="66"/>
      <c r="Z43" s="66"/>
    </row>
    <row r="44" spans="1:26" ht="14.25" customHeight="1">
      <c r="A44" s="66"/>
      <c r="B44" s="67"/>
      <c r="C44" s="67"/>
      <c r="D44" s="66"/>
      <c r="E44" s="66"/>
      <c r="F44" s="66"/>
      <c r="G44" s="66"/>
      <c r="H44" s="66"/>
      <c r="I44" s="66"/>
      <c r="J44" s="66"/>
      <c r="K44" s="66"/>
      <c r="L44" s="66"/>
      <c r="M44" s="66"/>
      <c r="N44" s="66"/>
      <c r="O44" s="66"/>
      <c r="P44" s="66"/>
      <c r="Q44" s="66"/>
      <c r="R44" s="66"/>
      <c r="S44" s="66"/>
      <c r="T44" s="66"/>
      <c r="U44" s="66"/>
      <c r="V44" s="66"/>
      <c r="W44" s="66"/>
      <c r="X44" s="66"/>
      <c r="Y44" s="66"/>
      <c r="Z44" s="66"/>
    </row>
    <row r="45" spans="1:26" ht="14.25" customHeight="1">
      <c r="A45" s="66"/>
      <c r="B45" s="67"/>
      <c r="C45" s="67"/>
      <c r="D45" s="66"/>
      <c r="E45" s="66"/>
      <c r="F45" s="66"/>
      <c r="G45" s="66"/>
      <c r="H45" s="66"/>
      <c r="I45" s="66"/>
      <c r="J45" s="66"/>
      <c r="K45" s="66"/>
      <c r="L45" s="66"/>
      <c r="M45" s="66"/>
      <c r="N45" s="66"/>
      <c r="O45" s="66"/>
      <c r="P45" s="66"/>
      <c r="Q45" s="66"/>
      <c r="R45" s="66"/>
      <c r="S45" s="66"/>
      <c r="T45" s="66"/>
      <c r="U45" s="66"/>
      <c r="V45" s="66"/>
      <c r="W45" s="66"/>
      <c r="X45" s="66"/>
      <c r="Y45" s="66"/>
      <c r="Z45" s="66"/>
    </row>
    <row r="46" spans="1:26" ht="14.25" customHeight="1">
      <c r="A46" s="66"/>
      <c r="B46" s="67"/>
      <c r="C46" s="67"/>
      <c r="D46" s="66"/>
      <c r="E46" s="66"/>
      <c r="F46" s="66"/>
      <c r="G46" s="66"/>
      <c r="H46" s="66"/>
      <c r="I46" s="66"/>
      <c r="J46" s="66"/>
      <c r="K46" s="66"/>
      <c r="L46" s="66"/>
      <c r="M46" s="66"/>
      <c r="N46" s="66"/>
      <c r="O46" s="66"/>
      <c r="P46" s="66"/>
      <c r="Q46" s="66"/>
      <c r="R46" s="66"/>
      <c r="S46" s="66"/>
      <c r="T46" s="66"/>
      <c r="U46" s="66"/>
      <c r="V46" s="66"/>
      <c r="W46" s="66"/>
      <c r="X46" s="66"/>
      <c r="Y46" s="66"/>
      <c r="Z46" s="66"/>
    </row>
    <row r="47" spans="1:26" ht="14.25" customHeight="1">
      <c r="A47" s="66"/>
      <c r="B47" s="67"/>
      <c r="C47" s="67"/>
      <c r="D47" s="66"/>
      <c r="E47" s="66"/>
      <c r="F47" s="66"/>
      <c r="G47" s="66"/>
      <c r="H47" s="66"/>
      <c r="I47" s="66"/>
      <c r="J47" s="66"/>
      <c r="K47" s="66"/>
      <c r="L47" s="66"/>
      <c r="M47" s="66"/>
      <c r="N47" s="66"/>
      <c r="O47" s="66"/>
      <c r="P47" s="66"/>
      <c r="Q47" s="66"/>
      <c r="R47" s="66"/>
      <c r="S47" s="66"/>
      <c r="T47" s="66"/>
      <c r="U47" s="66"/>
      <c r="V47" s="66"/>
      <c r="W47" s="66"/>
      <c r="X47" s="66"/>
      <c r="Y47" s="66"/>
      <c r="Z47" s="66"/>
    </row>
    <row r="48" spans="1:26" ht="14.25" customHeight="1">
      <c r="A48" s="66"/>
      <c r="B48" s="67"/>
      <c r="C48" s="67"/>
      <c r="D48" s="66"/>
      <c r="E48" s="66"/>
      <c r="F48" s="66"/>
      <c r="G48" s="66"/>
      <c r="H48" s="66"/>
      <c r="I48" s="66"/>
      <c r="J48" s="66"/>
      <c r="K48" s="66"/>
      <c r="L48" s="66"/>
      <c r="M48" s="66"/>
      <c r="N48" s="66"/>
      <c r="O48" s="66"/>
      <c r="P48" s="66"/>
      <c r="Q48" s="66"/>
      <c r="R48" s="66"/>
      <c r="S48" s="66"/>
      <c r="T48" s="66"/>
      <c r="U48" s="66"/>
      <c r="V48" s="66"/>
      <c r="W48" s="66"/>
      <c r="X48" s="66"/>
      <c r="Y48" s="66"/>
      <c r="Z48" s="66"/>
    </row>
    <row r="49" spans="1:26" ht="14.25" customHeight="1">
      <c r="A49" s="66"/>
      <c r="B49" s="67"/>
      <c r="C49" s="67"/>
      <c r="D49" s="66"/>
      <c r="E49" s="66"/>
      <c r="F49" s="66"/>
      <c r="G49" s="66"/>
      <c r="H49" s="66"/>
      <c r="I49" s="66"/>
      <c r="J49" s="66"/>
      <c r="K49" s="66"/>
      <c r="L49" s="66"/>
      <c r="M49" s="66"/>
      <c r="N49" s="66"/>
      <c r="O49" s="66"/>
      <c r="P49" s="66"/>
      <c r="Q49" s="66"/>
      <c r="R49" s="66"/>
      <c r="S49" s="66"/>
      <c r="T49" s="66"/>
      <c r="U49" s="66"/>
      <c r="V49" s="66"/>
      <c r="W49" s="66"/>
      <c r="X49" s="66"/>
      <c r="Y49" s="66"/>
      <c r="Z49" s="66"/>
    </row>
    <row r="50" spans="1:26" ht="14.25" customHeight="1">
      <c r="A50" s="66"/>
      <c r="B50" s="67"/>
      <c r="C50" s="67"/>
      <c r="D50" s="66"/>
      <c r="E50" s="66"/>
      <c r="F50" s="66"/>
      <c r="G50" s="66"/>
      <c r="H50" s="66"/>
      <c r="I50" s="66"/>
      <c r="J50" s="66"/>
      <c r="K50" s="66"/>
      <c r="L50" s="66"/>
      <c r="M50" s="66"/>
      <c r="N50" s="66"/>
      <c r="O50" s="66"/>
      <c r="P50" s="66"/>
      <c r="Q50" s="66"/>
      <c r="R50" s="66"/>
      <c r="S50" s="66"/>
      <c r="T50" s="66"/>
      <c r="U50" s="66"/>
      <c r="V50" s="66"/>
      <c r="W50" s="66"/>
      <c r="X50" s="66"/>
      <c r="Y50" s="66"/>
      <c r="Z50" s="66"/>
    </row>
    <row r="51" spans="1:26" ht="14.25" customHeight="1">
      <c r="A51" s="66"/>
      <c r="B51" s="67"/>
      <c r="C51" s="67"/>
      <c r="D51" s="66"/>
      <c r="E51" s="66"/>
      <c r="F51" s="66"/>
      <c r="G51" s="66"/>
      <c r="H51" s="66"/>
      <c r="I51" s="66"/>
      <c r="J51" s="66"/>
      <c r="K51" s="66"/>
      <c r="L51" s="66"/>
      <c r="M51" s="66"/>
      <c r="N51" s="66"/>
      <c r="O51" s="66"/>
      <c r="P51" s="66"/>
      <c r="Q51" s="66"/>
      <c r="R51" s="66"/>
      <c r="S51" s="66"/>
      <c r="T51" s="66"/>
      <c r="U51" s="66"/>
      <c r="V51" s="66"/>
      <c r="W51" s="66"/>
      <c r="X51" s="66"/>
      <c r="Y51" s="66"/>
      <c r="Z51" s="66"/>
    </row>
    <row r="52" spans="1:26" ht="14.25" customHeight="1">
      <c r="A52" s="66"/>
      <c r="B52" s="67"/>
      <c r="C52" s="67"/>
      <c r="D52" s="66"/>
      <c r="E52" s="66"/>
      <c r="F52" s="66"/>
      <c r="G52" s="66"/>
      <c r="H52" s="66"/>
      <c r="I52" s="66"/>
      <c r="J52" s="66"/>
      <c r="K52" s="66"/>
      <c r="L52" s="66"/>
      <c r="M52" s="66"/>
      <c r="N52" s="66"/>
      <c r="O52" s="66"/>
      <c r="P52" s="66"/>
      <c r="Q52" s="66"/>
      <c r="R52" s="66"/>
      <c r="S52" s="66"/>
      <c r="T52" s="66"/>
      <c r="U52" s="66"/>
      <c r="V52" s="66"/>
      <c r="W52" s="66"/>
      <c r="X52" s="66"/>
      <c r="Y52" s="66"/>
      <c r="Z52" s="66"/>
    </row>
    <row r="53" spans="1:26" ht="14.25" customHeight="1">
      <c r="A53" s="66"/>
      <c r="B53" s="67"/>
      <c r="C53" s="67"/>
      <c r="D53" s="66"/>
      <c r="E53" s="66"/>
      <c r="F53" s="66"/>
      <c r="G53" s="66"/>
      <c r="H53" s="66"/>
      <c r="I53" s="66"/>
      <c r="J53" s="66"/>
      <c r="K53" s="66"/>
      <c r="L53" s="66"/>
      <c r="M53" s="66"/>
      <c r="N53" s="66"/>
      <c r="O53" s="66"/>
      <c r="P53" s="66"/>
      <c r="Q53" s="66"/>
      <c r="R53" s="66"/>
      <c r="S53" s="66"/>
      <c r="T53" s="66"/>
      <c r="U53" s="66"/>
      <c r="V53" s="66"/>
      <c r="W53" s="66"/>
      <c r="X53" s="66"/>
      <c r="Y53" s="66"/>
      <c r="Z53" s="66"/>
    </row>
    <row r="54" spans="1:26" ht="14.25" customHeight="1">
      <c r="A54" s="66"/>
      <c r="B54" s="67"/>
      <c r="C54" s="67"/>
      <c r="D54" s="66"/>
      <c r="E54" s="66"/>
      <c r="F54" s="66"/>
      <c r="G54" s="66"/>
      <c r="H54" s="66"/>
      <c r="I54" s="66"/>
      <c r="J54" s="66"/>
      <c r="K54" s="66"/>
      <c r="L54" s="66"/>
      <c r="M54" s="66"/>
      <c r="N54" s="66"/>
      <c r="O54" s="66"/>
      <c r="P54" s="66"/>
      <c r="Q54" s="66"/>
      <c r="R54" s="66"/>
      <c r="S54" s="66"/>
      <c r="T54" s="66"/>
      <c r="U54" s="66"/>
      <c r="V54" s="66"/>
      <c r="W54" s="66"/>
      <c r="X54" s="66"/>
      <c r="Y54" s="66"/>
      <c r="Z54" s="66"/>
    </row>
    <row r="55" spans="1:26" ht="14.25" customHeight="1">
      <c r="A55" s="66"/>
      <c r="B55" s="67"/>
      <c r="C55" s="67"/>
      <c r="D55" s="66"/>
      <c r="E55" s="66"/>
      <c r="F55" s="66"/>
      <c r="G55" s="66"/>
      <c r="H55" s="66"/>
      <c r="I55" s="66"/>
      <c r="J55" s="66"/>
      <c r="K55" s="66"/>
      <c r="L55" s="66"/>
      <c r="M55" s="66"/>
      <c r="N55" s="66"/>
      <c r="O55" s="66"/>
      <c r="P55" s="66"/>
      <c r="Q55" s="66"/>
      <c r="R55" s="66"/>
      <c r="S55" s="66"/>
      <c r="T55" s="66"/>
      <c r="U55" s="66"/>
      <c r="V55" s="66"/>
      <c r="W55" s="66"/>
      <c r="X55" s="66"/>
      <c r="Y55" s="66"/>
      <c r="Z55" s="66"/>
    </row>
    <row r="56" spans="1:26" ht="14.25" customHeight="1">
      <c r="A56" s="66"/>
      <c r="B56" s="67"/>
      <c r="C56" s="67"/>
      <c r="D56" s="66"/>
      <c r="E56" s="66"/>
      <c r="F56" s="66"/>
      <c r="G56" s="66"/>
      <c r="H56" s="66"/>
      <c r="I56" s="66"/>
      <c r="J56" s="66"/>
      <c r="K56" s="66"/>
      <c r="L56" s="66"/>
      <c r="M56" s="66"/>
      <c r="N56" s="66"/>
      <c r="O56" s="66"/>
      <c r="P56" s="66"/>
      <c r="Q56" s="66"/>
      <c r="R56" s="66"/>
      <c r="S56" s="66"/>
      <c r="T56" s="66"/>
      <c r="U56" s="66"/>
      <c r="V56" s="66"/>
      <c r="W56" s="66"/>
      <c r="X56" s="66"/>
      <c r="Y56" s="66"/>
      <c r="Z56" s="66"/>
    </row>
    <row r="57" spans="1:26" ht="14.25" customHeight="1">
      <c r="A57" s="66"/>
      <c r="B57" s="67"/>
      <c r="C57" s="67"/>
      <c r="D57" s="66"/>
      <c r="E57" s="66"/>
      <c r="F57" s="66"/>
      <c r="G57" s="66"/>
      <c r="H57" s="66"/>
      <c r="I57" s="66"/>
      <c r="J57" s="66"/>
      <c r="K57" s="66"/>
      <c r="L57" s="66"/>
      <c r="M57" s="66"/>
      <c r="N57" s="66"/>
      <c r="O57" s="66"/>
      <c r="P57" s="66"/>
      <c r="Q57" s="66"/>
      <c r="R57" s="66"/>
      <c r="S57" s="66"/>
      <c r="T57" s="66"/>
      <c r="U57" s="66"/>
      <c r="V57" s="66"/>
      <c r="W57" s="66"/>
      <c r="X57" s="66"/>
      <c r="Y57" s="66"/>
      <c r="Z57" s="66"/>
    </row>
    <row r="58" spans="1:26" ht="14.25" customHeight="1">
      <c r="A58" s="66"/>
      <c r="B58" s="67"/>
      <c r="C58" s="67"/>
      <c r="D58" s="66"/>
      <c r="E58" s="66"/>
      <c r="F58" s="66"/>
      <c r="G58" s="66"/>
      <c r="H58" s="66"/>
      <c r="I58" s="66"/>
      <c r="J58" s="66"/>
      <c r="K58" s="66"/>
      <c r="L58" s="66"/>
      <c r="M58" s="66"/>
      <c r="N58" s="66"/>
      <c r="O58" s="66"/>
      <c r="P58" s="66"/>
      <c r="Q58" s="66"/>
      <c r="R58" s="66"/>
      <c r="S58" s="66"/>
      <c r="T58" s="66"/>
      <c r="U58" s="66"/>
      <c r="V58" s="66"/>
      <c r="W58" s="66"/>
      <c r="X58" s="66"/>
      <c r="Y58" s="66"/>
      <c r="Z58" s="66"/>
    </row>
    <row r="59" spans="1:26" ht="14.25" customHeight="1">
      <c r="A59" s="66"/>
      <c r="B59" s="67"/>
      <c r="C59" s="67"/>
      <c r="D59" s="66"/>
      <c r="E59" s="66"/>
      <c r="F59" s="66"/>
      <c r="G59" s="66"/>
      <c r="H59" s="66"/>
      <c r="I59" s="66"/>
      <c r="J59" s="66"/>
      <c r="K59" s="66"/>
      <c r="L59" s="66"/>
      <c r="M59" s="66"/>
      <c r="N59" s="66"/>
      <c r="O59" s="66"/>
      <c r="P59" s="66"/>
      <c r="Q59" s="66"/>
      <c r="R59" s="66"/>
      <c r="S59" s="66"/>
      <c r="T59" s="66"/>
      <c r="U59" s="66"/>
      <c r="V59" s="66"/>
      <c r="W59" s="66"/>
      <c r="X59" s="66"/>
      <c r="Y59" s="66"/>
      <c r="Z59" s="66"/>
    </row>
    <row r="60" spans="1:26" ht="14.25" customHeight="1">
      <c r="A60" s="66"/>
      <c r="B60" s="67"/>
      <c r="C60" s="67"/>
      <c r="D60" s="66"/>
      <c r="E60" s="66"/>
      <c r="F60" s="66"/>
      <c r="G60" s="66"/>
      <c r="H60" s="66"/>
      <c r="I60" s="66"/>
      <c r="J60" s="66"/>
      <c r="K60" s="66"/>
      <c r="L60" s="66"/>
      <c r="M60" s="66"/>
      <c r="N60" s="66"/>
      <c r="O60" s="66"/>
      <c r="P60" s="66"/>
      <c r="Q60" s="66"/>
      <c r="R60" s="66"/>
      <c r="S60" s="66"/>
      <c r="T60" s="66"/>
      <c r="U60" s="66"/>
      <c r="V60" s="66"/>
      <c r="W60" s="66"/>
      <c r="X60" s="66"/>
      <c r="Y60" s="66"/>
      <c r="Z60" s="66"/>
    </row>
    <row r="61" spans="1:26" ht="14.25" customHeight="1">
      <c r="A61" s="66"/>
      <c r="B61" s="67"/>
      <c r="C61" s="67"/>
      <c r="D61" s="66"/>
      <c r="E61" s="66"/>
      <c r="F61" s="66"/>
      <c r="G61" s="66"/>
      <c r="H61" s="66"/>
      <c r="I61" s="66"/>
      <c r="J61" s="66"/>
      <c r="K61" s="66"/>
      <c r="L61" s="66"/>
      <c r="M61" s="66"/>
      <c r="N61" s="66"/>
      <c r="O61" s="66"/>
      <c r="P61" s="66"/>
      <c r="Q61" s="66"/>
      <c r="R61" s="66"/>
      <c r="S61" s="66"/>
      <c r="T61" s="66"/>
      <c r="U61" s="66"/>
      <c r="V61" s="66"/>
      <c r="W61" s="66"/>
      <c r="X61" s="66"/>
      <c r="Y61" s="66"/>
      <c r="Z61" s="66"/>
    </row>
    <row r="62" spans="1:26" ht="14.25" customHeight="1">
      <c r="A62" s="66"/>
      <c r="B62" s="67"/>
      <c r="C62" s="67"/>
      <c r="D62" s="66"/>
      <c r="E62" s="66"/>
      <c r="F62" s="66"/>
      <c r="G62" s="66"/>
      <c r="H62" s="66"/>
      <c r="I62" s="66"/>
      <c r="J62" s="66"/>
      <c r="K62" s="66"/>
      <c r="L62" s="66"/>
      <c r="M62" s="66"/>
      <c r="N62" s="66"/>
      <c r="O62" s="66"/>
      <c r="P62" s="66"/>
      <c r="Q62" s="66"/>
      <c r="R62" s="66"/>
      <c r="S62" s="66"/>
      <c r="T62" s="66"/>
      <c r="U62" s="66"/>
      <c r="V62" s="66"/>
      <c r="W62" s="66"/>
      <c r="X62" s="66"/>
      <c r="Y62" s="66"/>
      <c r="Z62" s="66"/>
    </row>
    <row r="63" spans="1:26" ht="14.25" customHeight="1">
      <c r="A63" s="66"/>
      <c r="B63" s="67"/>
      <c r="C63" s="67"/>
      <c r="D63" s="66"/>
      <c r="E63" s="66"/>
      <c r="F63" s="66"/>
      <c r="G63" s="66"/>
      <c r="H63" s="66"/>
      <c r="I63" s="66"/>
      <c r="J63" s="66"/>
      <c r="K63" s="66"/>
      <c r="L63" s="66"/>
      <c r="M63" s="66"/>
      <c r="N63" s="66"/>
      <c r="O63" s="66"/>
      <c r="P63" s="66"/>
      <c r="Q63" s="66"/>
      <c r="R63" s="66"/>
      <c r="S63" s="66"/>
      <c r="T63" s="66"/>
      <c r="U63" s="66"/>
      <c r="V63" s="66"/>
      <c r="W63" s="66"/>
      <c r="X63" s="66"/>
      <c r="Y63" s="66"/>
      <c r="Z63" s="66"/>
    </row>
    <row r="64" spans="1:26" ht="14.25" customHeight="1">
      <c r="A64" s="66"/>
      <c r="B64" s="67"/>
      <c r="C64" s="67"/>
      <c r="D64" s="66"/>
      <c r="E64" s="66"/>
      <c r="F64" s="66"/>
      <c r="G64" s="66"/>
      <c r="H64" s="66"/>
      <c r="I64" s="66"/>
      <c r="J64" s="66"/>
      <c r="K64" s="66"/>
      <c r="L64" s="66"/>
      <c r="M64" s="66"/>
      <c r="N64" s="66"/>
      <c r="O64" s="66"/>
      <c r="P64" s="66"/>
      <c r="Q64" s="66"/>
      <c r="R64" s="66"/>
      <c r="S64" s="66"/>
      <c r="T64" s="66"/>
      <c r="U64" s="66"/>
      <c r="V64" s="66"/>
      <c r="W64" s="66"/>
      <c r="X64" s="66"/>
      <c r="Y64" s="66"/>
      <c r="Z64" s="66"/>
    </row>
    <row r="65" spans="1:26" ht="14.25" customHeight="1">
      <c r="A65" s="66"/>
      <c r="B65" s="67"/>
      <c r="C65" s="67"/>
      <c r="D65" s="66"/>
      <c r="E65" s="66"/>
      <c r="F65" s="66"/>
      <c r="G65" s="66"/>
      <c r="H65" s="66"/>
      <c r="I65" s="66"/>
      <c r="J65" s="66"/>
      <c r="K65" s="66"/>
      <c r="L65" s="66"/>
      <c r="M65" s="66"/>
      <c r="N65" s="66"/>
      <c r="O65" s="66"/>
      <c r="P65" s="66"/>
      <c r="Q65" s="66"/>
      <c r="R65" s="66"/>
      <c r="S65" s="66"/>
      <c r="T65" s="66"/>
      <c r="U65" s="66"/>
      <c r="V65" s="66"/>
      <c r="W65" s="66"/>
      <c r="X65" s="66"/>
      <c r="Y65" s="66"/>
      <c r="Z65" s="66"/>
    </row>
    <row r="66" spans="1:26" ht="14.25" customHeight="1">
      <c r="A66" s="66"/>
      <c r="B66" s="67"/>
      <c r="C66" s="67"/>
      <c r="D66" s="66"/>
      <c r="E66" s="66"/>
      <c r="F66" s="66"/>
      <c r="G66" s="66"/>
      <c r="H66" s="66"/>
      <c r="I66" s="66"/>
      <c r="J66" s="66"/>
      <c r="K66" s="66"/>
      <c r="L66" s="66"/>
      <c r="M66" s="66"/>
      <c r="N66" s="66"/>
      <c r="O66" s="66"/>
      <c r="P66" s="66"/>
      <c r="Q66" s="66"/>
      <c r="R66" s="66"/>
      <c r="S66" s="66"/>
      <c r="T66" s="66"/>
      <c r="U66" s="66"/>
      <c r="V66" s="66"/>
      <c r="W66" s="66"/>
      <c r="X66" s="66"/>
      <c r="Y66" s="66"/>
      <c r="Z66" s="66"/>
    </row>
    <row r="67" spans="1:26" ht="14.25" customHeight="1">
      <c r="A67" s="66"/>
      <c r="B67" s="67"/>
      <c r="C67" s="67"/>
      <c r="D67" s="66"/>
      <c r="E67" s="66"/>
      <c r="F67" s="66"/>
      <c r="G67" s="66"/>
      <c r="H67" s="66"/>
      <c r="I67" s="66"/>
      <c r="J67" s="66"/>
      <c r="K67" s="66"/>
      <c r="L67" s="66"/>
      <c r="M67" s="66"/>
      <c r="N67" s="66"/>
      <c r="O67" s="66"/>
      <c r="P67" s="66"/>
      <c r="Q67" s="66"/>
      <c r="R67" s="66"/>
      <c r="S67" s="66"/>
      <c r="T67" s="66"/>
      <c r="U67" s="66"/>
      <c r="V67" s="66"/>
      <c r="W67" s="66"/>
      <c r="X67" s="66"/>
      <c r="Y67" s="66"/>
      <c r="Z67" s="66"/>
    </row>
    <row r="68" spans="1:26" ht="14.25" customHeight="1">
      <c r="A68" s="66"/>
      <c r="B68" s="67"/>
      <c r="C68" s="67"/>
      <c r="D68" s="66"/>
      <c r="E68" s="66"/>
      <c r="F68" s="66"/>
      <c r="G68" s="66"/>
      <c r="H68" s="66"/>
      <c r="I68" s="66"/>
      <c r="J68" s="66"/>
      <c r="K68" s="66"/>
      <c r="L68" s="66"/>
      <c r="M68" s="66"/>
      <c r="N68" s="66"/>
      <c r="O68" s="66"/>
      <c r="P68" s="66"/>
      <c r="Q68" s="66"/>
      <c r="R68" s="66"/>
      <c r="S68" s="66"/>
      <c r="T68" s="66"/>
      <c r="U68" s="66"/>
      <c r="V68" s="66"/>
      <c r="W68" s="66"/>
      <c r="X68" s="66"/>
      <c r="Y68" s="66"/>
      <c r="Z68" s="66"/>
    </row>
    <row r="69" spans="1:26" ht="14.25" customHeight="1">
      <c r="A69" s="66"/>
      <c r="B69" s="67"/>
      <c r="C69" s="67"/>
      <c r="D69" s="66"/>
      <c r="E69" s="66"/>
      <c r="F69" s="66"/>
      <c r="G69" s="66"/>
      <c r="H69" s="66"/>
      <c r="I69" s="66"/>
      <c r="J69" s="66"/>
      <c r="K69" s="66"/>
      <c r="L69" s="66"/>
      <c r="M69" s="66"/>
      <c r="N69" s="66"/>
      <c r="O69" s="66"/>
      <c r="P69" s="66"/>
      <c r="Q69" s="66"/>
      <c r="R69" s="66"/>
      <c r="S69" s="66"/>
      <c r="T69" s="66"/>
      <c r="U69" s="66"/>
      <c r="V69" s="66"/>
      <c r="W69" s="66"/>
      <c r="X69" s="66"/>
      <c r="Y69" s="66"/>
      <c r="Z69" s="66"/>
    </row>
    <row r="70" spans="1:26" ht="14.25" customHeight="1">
      <c r="A70" s="66"/>
      <c r="B70" s="67"/>
      <c r="C70" s="67"/>
      <c r="D70" s="66"/>
      <c r="E70" s="66"/>
      <c r="F70" s="66"/>
      <c r="G70" s="66"/>
      <c r="H70" s="66"/>
      <c r="I70" s="66"/>
      <c r="J70" s="66"/>
      <c r="K70" s="66"/>
      <c r="L70" s="66"/>
      <c r="M70" s="66"/>
      <c r="N70" s="66"/>
      <c r="O70" s="66"/>
      <c r="P70" s="66"/>
      <c r="Q70" s="66"/>
      <c r="R70" s="66"/>
      <c r="S70" s="66"/>
      <c r="T70" s="66"/>
      <c r="U70" s="66"/>
      <c r="V70" s="66"/>
      <c r="W70" s="66"/>
      <c r="X70" s="66"/>
      <c r="Y70" s="66"/>
      <c r="Z70" s="66"/>
    </row>
    <row r="71" spans="1:26" ht="14.25" customHeight="1">
      <c r="A71" s="66"/>
      <c r="B71" s="67"/>
      <c r="C71" s="67"/>
      <c r="D71" s="66"/>
      <c r="E71" s="66"/>
      <c r="F71" s="66"/>
      <c r="G71" s="66"/>
      <c r="H71" s="66"/>
      <c r="I71" s="66"/>
      <c r="J71" s="66"/>
      <c r="K71" s="66"/>
      <c r="L71" s="66"/>
      <c r="M71" s="66"/>
      <c r="N71" s="66"/>
      <c r="O71" s="66"/>
      <c r="P71" s="66"/>
      <c r="Q71" s="66"/>
      <c r="R71" s="66"/>
      <c r="S71" s="66"/>
      <c r="T71" s="66"/>
      <c r="U71" s="66"/>
      <c r="V71" s="66"/>
      <c r="W71" s="66"/>
      <c r="X71" s="66"/>
      <c r="Y71" s="66"/>
      <c r="Z71" s="66"/>
    </row>
    <row r="72" spans="1:26" ht="14.25" customHeight="1">
      <c r="A72" s="66"/>
      <c r="B72" s="67"/>
      <c r="C72" s="67"/>
      <c r="D72" s="66"/>
      <c r="E72" s="66"/>
      <c r="F72" s="66"/>
      <c r="G72" s="66"/>
      <c r="H72" s="66"/>
      <c r="I72" s="66"/>
      <c r="J72" s="66"/>
      <c r="K72" s="66"/>
      <c r="L72" s="66"/>
      <c r="M72" s="66"/>
      <c r="N72" s="66"/>
      <c r="O72" s="66"/>
      <c r="P72" s="66"/>
      <c r="Q72" s="66"/>
      <c r="R72" s="66"/>
      <c r="S72" s="66"/>
      <c r="T72" s="66"/>
      <c r="U72" s="66"/>
      <c r="V72" s="66"/>
      <c r="W72" s="66"/>
      <c r="X72" s="66"/>
      <c r="Y72" s="66"/>
      <c r="Z72" s="66"/>
    </row>
    <row r="73" spans="1:26" ht="14.25" customHeight="1">
      <c r="A73" s="66"/>
      <c r="B73" s="67"/>
      <c r="C73" s="67"/>
      <c r="D73" s="66"/>
      <c r="E73" s="66"/>
      <c r="F73" s="66"/>
      <c r="G73" s="66"/>
      <c r="H73" s="66"/>
      <c r="I73" s="66"/>
      <c r="J73" s="66"/>
      <c r="K73" s="66"/>
      <c r="L73" s="66"/>
      <c r="M73" s="66"/>
      <c r="N73" s="66"/>
      <c r="O73" s="66"/>
      <c r="P73" s="66"/>
      <c r="Q73" s="66"/>
      <c r="R73" s="66"/>
      <c r="S73" s="66"/>
      <c r="T73" s="66"/>
      <c r="U73" s="66"/>
      <c r="V73" s="66"/>
      <c r="W73" s="66"/>
      <c r="X73" s="66"/>
      <c r="Y73" s="66"/>
      <c r="Z73" s="66"/>
    </row>
    <row r="74" spans="1:26" ht="14.25" customHeight="1">
      <c r="A74" s="66"/>
      <c r="B74" s="67"/>
      <c r="C74" s="67"/>
      <c r="D74" s="66"/>
      <c r="E74" s="66"/>
      <c r="F74" s="66"/>
      <c r="G74" s="66"/>
      <c r="H74" s="66"/>
      <c r="I74" s="66"/>
      <c r="J74" s="66"/>
      <c r="K74" s="66"/>
      <c r="L74" s="66"/>
      <c r="M74" s="66"/>
      <c r="N74" s="66"/>
      <c r="O74" s="66"/>
      <c r="P74" s="66"/>
      <c r="Q74" s="66"/>
      <c r="R74" s="66"/>
      <c r="S74" s="66"/>
      <c r="T74" s="66"/>
      <c r="U74" s="66"/>
      <c r="V74" s="66"/>
      <c r="W74" s="66"/>
      <c r="X74" s="66"/>
      <c r="Y74" s="66"/>
      <c r="Z74" s="66"/>
    </row>
    <row r="75" spans="1:26" ht="14.25" customHeight="1">
      <c r="A75" s="66"/>
      <c r="B75" s="67"/>
      <c r="C75" s="67"/>
      <c r="D75" s="66"/>
      <c r="E75" s="66"/>
      <c r="F75" s="66"/>
      <c r="G75" s="66"/>
      <c r="H75" s="66"/>
      <c r="I75" s="66"/>
      <c r="J75" s="66"/>
      <c r="K75" s="66"/>
      <c r="L75" s="66"/>
      <c r="M75" s="66"/>
      <c r="N75" s="66"/>
      <c r="O75" s="66"/>
      <c r="P75" s="66"/>
      <c r="Q75" s="66"/>
      <c r="R75" s="66"/>
      <c r="S75" s="66"/>
      <c r="T75" s="66"/>
      <c r="U75" s="66"/>
      <c r="V75" s="66"/>
      <c r="W75" s="66"/>
      <c r="X75" s="66"/>
      <c r="Y75" s="66"/>
      <c r="Z75" s="66"/>
    </row>
    <row r="76" spans="1:26" ht="14.25" customHeight="1">
      <c r="A76" s="66"/>
      <c r="B76" s="67"/>
      <c r="C76" s="67"/>
      <c r="D76" s="66"/>
      <c r="E76" s="66"/>
      <c r="F76" s="66"/>
      <c r="G76" s="66"/>
      <c r="H76" s="66"/>
      <c r="I76" s="66"/>
      <c r="J76" s="66"/>
      <c r="K76" s="66"/>
      <c r="L76" s="66"/>
      <c r="M76" s="66"/>
      <c r="N76" s="66"/>
      <c r="O76" s="66"/>
      <c r="P76" s="66"/>
      <c r="Q76" s="66"/>
      <c r="R76" s="66"/>
      <c r="S76" s="66"/>
      <c r="T76" s="66"/>
      <c r="U76" s="66"/>
      <c r="V76" s="66"/>
      <c r="W76" s="66"/>
      <c r="X76" s="66"/>
      <c r="Y76" s="66"/>
      <c r="Z76" s="66"/>
    </row>
    <row r="77" spans="1:26" ht="14.25" customHeight="1">
      <c r="A77" s="66"/>
      <c r="B77" s="67"/>
      <c r="C77" s="67"/>
      <c r="D77" s="66"/>
      <c r="E77" s="66"/>
      <c r="F77" s="66"/>
      <c r="G77" s="66"/>
      <c r="H77" s="66"/>
      <c r="I77" s="66"/>
      <c r="J77" s="66"/>
      <c r="K77" s="66"/>
      <c r="L77" s="66"/>
      <c r="M77" s="66"/>
      <c r="N77" s="66"/>
      <c r="O77" s="66"/>
      <c r="P77" s="66"/>
      <c r="Q77" s="66"/>
      <c r="R77" s="66"/>
      <c r="S77" s="66"/>
      <c r="T77" s="66"/>
      <c r="U77" s="66"/>
      <c r="V77" s="66"/>
      <c r="W77" s="66"/>
      <c r="X77" s="66"/>
      <c r="Y77" s="66"/>
      <c r="Z77" s="66"/>
    </row>
    <row r="78" spans="1:26" ht="14.25" customHeight="1">
      <c r="A78" s="66"/>
      <c r="B78" s="67"/>
      <c r="C78" s="67"/>
      <c r="D78" s="66"/>
      <c r="E78" s="66"/>
      <c r="F78" s="66"/>
      <c r="G78" s="66"/>
      <c r="H78" s="66"/>
      <c r="I78" s="66"/>
      <c r="J78" s="66"/>
      <c r="K78" s="66"/>
      <c r="L78" s="66"/>
      <c r="M78" s="66"/>
      <c r="N78" s="66"/>
      <c r="O78" s="66"/>
      <c r="P78" s="66"/>
      <c r="Q78" s="66"/>
      <c r="R78" s="66"/>
      <c r="S78" s="66"/>
      <c r="T78" s="66"/>
      <c r="U78" s="66"/>
      <c r="V78" s="66"/>
      <c r="W78" s="66"/>
      <c r="X78" s="66"/>
      <c r="Y78" s="66"/>
      <c r="Z78" s="66"/>
    </row>
    <row r="79" spans="1:26" ht="14.25" customHeight="1">
      <c r="A79" s="66"/>
      <c r="B79" s="67"/>
      <c r="C79" s="67"/>
      <c r="D79" s="66"/>
      <c r="E79" s="66"/>
      <c r="F79" s="66"/>
      <c r="G79" s="66"/>
      <c r="H79" s="66"/>
      <c r="I79" s="66"/>
      <c r="J79" s="66"/>
      <c r="K79" s="66"/>
      <c r="L79" s="66"/>
      <c r="M79" s="66"/>
      <c r="N79" s="66"/>
      <c r="O79" s="66"/>
      <c r="P79" s="66"/>
      <c r="Q79" s="66"/>
      <c r="R79" s="66"/>
      <c r="S79" s="66"/>
      <c r="T79" s="66"/>
      <c r="U79" s="66"/>
      <c r="V79" s="66"/>
      <c r="W79" s="66"/>
      <c r="X79" s="66"/>
      <c r="Y79" s="66"/>
      <c r="Z79" s="66"/>
    </row>
    <row r="80" spans="1:26" ht="14.25" customHeight="1">
      <c r="A80" s="66"/>
      <c r="B80" s="67"/>
      <c r="C80" s="67"/>
      <c r="D80" s="66"/>
      <c r="E80" s="66"/>
      <c r="F80" s="66"/>
      <c r="G80" s="66"/>
      <c r="H80" s="66"/>
      <c r="I80" s="66"/>
      <c r="J80" s="66"/>
      <c r="K80" s="66"/>
      <c r="L80" s="66"/>
      <c r="M80" s="66"/>
      <c r="N80" s="66"/>
      <c r="O80" s="66"/>
      <c r="P80" s="66"/>
      <c r="Q80" s="66"/>
      <c r="R80" s="66"/>
      <c r="S80" s="66"/>
      <c r="T80" s="66"/>
      <c r="U80" s="66"/>
      <c r="V80" s="66"/>
      <c r="W80" s="66"/>
      <c r="X80" s="66"/>
      <c r="Y80" s="66"/>
      <c r="Z80" s="66"/>
    </row>
    <row r="81" spans="1:26" ht="14.25" customHeight="1">
      <c r="A81" s="66"/>
      <c r="B81" s="67"/>
      <c r="C81" s="67"/>
      <c r="D81" s="66"/>
      <c r="E81" s="66"/>
      <c r="F81" s="66"/>
      <c r="G81" s="66"/>
      <c r="H81" s="66"/>
      <c r="I81" s="66"/>
      <c r="J81" s="66"/>
      <c r="K81" s="66"/>
      <c r="L81" s="66"/>
      <c r="M81" s="66"/>
      <c r="N81" s="66"/>
      <c r="O81" s="66"/>
      <c r="P81" s="66"/>
      <c r="Q81" s="66"/>
      <c r="R81" s="66"/>
      <c r="S81" s="66"/>
      <c r="T81" s="66"/>
      <c r="U81" s="66"/>
      <c r="V81" s="66"/>
      <c r="W81" s="66"/>
      <c r="X81" s="66"/>
      <c r="Y81" s="66"/>
      <c r="Z81" s="66"/>
    </row>
    <row r="82" spans="1:26" ht="14.25" customHeight="1">
      <c r="A82" s="66"/>
      <c r="B82" s="67"/>
      <c r="C82" s="67"/>
      <c r="D82" s="66"/>
      <c r="E82" s="66"/>
      <c r="F82" s="66"/>
      <c r="G82" s="66"/>
      <c r="H82" s="66"/>
      <c r="I82" s="66"/>
      <c r="J82" s="66"/>
      <c r="K82" s="66"/>
      <c r="L82" s="66"/>
      <c r="M82" s="66"/>
      <c r="N82" s="66"/>
      <c r="O82" s="66"/>
      <c r="P82" s="66"/>
      <c r="Q82" s="66"/>
      <c r="R82" s="66"/>
      <c r="S82" s="66"/>
      <c r="T82" s="66"/>
      <c r="U82" s="66"/>
      <c r="V82" s="66"/>
      <c r="W82" s="66"/>
      <c r="X82" s="66"/>
      <c r="Y82" s="66"/>
      <c r="Z82" s="66"/>
    </row>
    <row r="83" spans="1:26" ht="14.25" customHeight="1">
      <c r="A83" s="66"/>
      <c r="B83" s="67"/>
      <c r="C83" s="67"/>
      <c r="D83" s="66"/>
      <c r="E83" s="66"/>
      <c r="F83" s="66"/>
      <c r="G83" s="66"/>
      <c r="H83" s="66"/>
      <c r="I83" s="66"/>
      <c r="J83" s="66"/>
      <c r="K83" s="66"/>
      <c r="L83" s="66"/>
      <c r="M83" s="66"/>
      <c r="N83" s="66"/>
      <c r="O83" s="66"/>
      <c r="P83" s="66"/>
      <c r="Q83" s="66"/>
      <c r="R83" s="66"/>
      <c r="S83" s="66"/>
      <c r="T83" s="66"/>
      <c r="U83" s="66"/>
      <c r="V83" s="66"/>
      <c r="W83" s="66"/>
      <c r="X83" s="66"/>
      <c r="Y83" s="66"/>
      <c r="Z83" s="66"/>
    </row>
    <row r="84" spans="1:26" ht="14.25" customHeight="1">
      <c r="A84" s="66"/>
      <c r="B84" s="67"/>
      <c r="C84" s="67"/>
      <c r="D84" s="66"/>
      <c r="E84" s="66"/>
      <c r="F84" s="66"/>
      <c r="G84" s="66"/>
      <c r="H84" s="66"/>
      <c r="I84" s="66"/>
      <c r="J84" s="66"/>
      <c r="K84" s="66"/>
      <c r="L84" s="66"/>
      <c r="M84" s="66"/>
      <c r="N84" s="66"/>
      <c r="O84" s="66"/>
      <c r="P84" s="66"/>
      <c r="Q84" s="66"/>
      <c r="R84" s="66"/>
      <c r="S84" s="66"/>
      <c r="T84" s="66"/>
      <c r="U84" s="66"/>
      <c r="V84" s="66"/>
      <c r="W84" s="66"/>
      <c r="X84" s="66"/>
      <c r="Y84" s="66"/>
      <c r="Z84" s="66"/>
    </row>
    <row r="85" spans="1:26" ht="14.25" customHeight="1">
      <c r="A85" s="66"/>
      <c r="B85" s="67"/>
      <c r="C85" s="67"/>
      <c r="D85" s="66"/>
      <c r="E85" s="66"/>
      <c r="F85" s="66"/>
      <c r="G85" s="66"/>
      <c r="H85" s="66"/>
      <c r="I85" s="66"/>
      <c r="J85" s="66"/>
      <c r="K85" s="66"/>
      <c r="L85" s="66"/>
      <c r="M85" s="66"/>
      <c r="N85" s="66"/>
      <c r="O85" s="66"/>
      <c r="P85" s="66"/>
      <c r="Q85" s="66"/>
      <c r="R85" s="66"/>
      <c r="S85" s="66"/>
      <c r="T85" s="66"/>
      <c r="U85" s="66"/>
      <c r="V85" s="66"/>
      <c r="W85" s="66"/>
      <c r="X85" s="66"/>
      <c r="Y85" s="66"/>
      <c r="Z85" s="66"/>
    </row>
    <row r="86" spans="1:26" ht="14.25" customHeight="1">
      <c r="A86" s="66"/>
      <c r="B86" s="67"/>
      <c r="C86" s="67"/>
      <c r="D86" s="66"/>
      <c r="E86" s="66"/>
      <c r="F86" s="66"/>
      <c r="G86" s="66"/>
      <c r="H86" s="66"/>
      <c r="I86" s="66"/>
      <c r="J86" s="66"/>
      <c r="K86" s="66"/>
      <c r="L86" s="66"/>
      <c r="M86" s="66"/>
      <c r="N86" s="66"/>
      <c r="O86" s="66"/>
      <c r="P86" s="66"/>
      <c r="Q86" s="66"/>
      <c r="R86" s="66"/>
      <c r="S86" s="66"/>
      <c r="T86" s="66"/>
      <c r="U86" s="66"/>
      <c r="V86" s="66"/>
      <c r="W86" s="66"/>
      <c r="X86" s="66"/>
      <c r="Y86" s="66"/>
      <c r="Z86" s="66"/>
    </row>
    <row r="87" spans="1:26" ht="14.25" customHeight="1">
      <c r="A87" s="66"/>
      <c r="B87" s="67"/>
      <c r="C87" s="67"/>
      <c r="D87" s="66"/>
      <c r="E87" s="66"/>
      <c r="F87" s="66"/>
      <c r="G87" s="66"/>
      <c r="H87" s="66"/>
      <c r="I87" s="66"/>
      <c r="J87" s="66"/>
      <c r="K87" s="66"/>
      <c r="L87" s="66"/>
      <c r="M87" s="66"/>
      <c r="N87" s="66"/>
      <c r="O87" s="66"/>
      <c r="P87" s="66"/>
      <c r="Q87" s="66"/>
      <c r="R87" s="66"/>
      <c r="S87" s="66"/>
      <c r="T87" s="66"/>
      <c r="U87" s="66"/>
      <c r="V87" s="66"/>
      <c r="W87" s="66"/>
      <c r="X87" s="66"/>
      <c r="Y87" s="66"/>
      <c r="Z87" s="66"/>
    </row>
    <row r="88" spans="1:26" ht="14.25" customHeight="1">
      <c r="A88" s="66"/>
      <c r="B88" s="67"/>
      <c r="C88" s="67"/>
      <c r="D88" s="66"/>
      <c r="E88" s="66"/>
      <c r="F88" s="66"/>
      <c r="G88" s="66"/>
      <c r="H88" s="66"/>
      <c r="I88" s="66"/>
      <c r="J88" s="66"/>
      <c r="K88" s="66"/>
      <c r="L88" s="66"/>
      <c r="M88" s="66"/>
      <c r="N88" s="66"/>
      <c r="O88" s="66"/>
      <c r="P88" s="66"/>
      <c r="Q88" s="66"/>
      <c r="R88" s="66"/>
      <c r="S88" s="66"/>
      <c r="T88" s="66"/>
      <c r="U88" s="66"/>
      <c r="V88" s="66"/>
      <c r="W88" s="66"/>
      <c r="X88" s="66"/>
      <c r="Y88" s="66"/>
      <c r="Z88" s="66"/>
    </row>
    <row r="89" spans="1:26" ht="14.25" customHeight="1">
      <c r="A89" s="66"/>
      <c r="B89" s="67"/>
      <c r="C89" s="67"/>
      <c r="D89" s="66"/>
      <c r="E89" s="66"/>
      <c r="F89" s="66"/>
      <c r="G89" s="66"/>
      <c r="H89" s="66"/>
      <c r="I89" s="66"/>
      <c r="J89" s="66"/>
      <c r="K89" s="66"/>
      <c r="L89" s="66"/>
      <c r="M89" s="66"/>
      <c r="N89" s="66"/>
      <c r="O89" s="66"/>
      <c r="P89" s="66"/>
      <c r="Q89" s="66"/>
      <c r="R89" s="66"/>
      <c r="S89" s="66"/>
      <c r="T89" s="66"/>
      <c r="U89" s="66"/>
      <c r="V89" s="66"/>
      <c r="W89" s="66"/>
      <c r="X89" s="66"/>
      <c r="Y89" s="66"/>
      <c r="Z89" s="66"/>
    </row>
    <row r="90" spans="1:26" ht="14.25" customHeight="1">
      <c r="A90" s="66"/>
      <c r="B90" s="67"/>
      <c r="C90" s="67"/>
      <c r="D90" s="66"/>
      <c r="E90" s="66"/>
      <c r="F90" s="66"/>
      <c r="G90" s="66"/>
      <c r="H90" s="66"/>
      <c r="I90" s="66"/>
      <c r="J90" s="66"/>
      <c r="K90" s="66"/>
      <c r="L90" s="66"/>
      <c r="M90" s="66"/>
      <c r="N90" s="66"/>
      <c r="O90" s="66"/>
      <c r="P90" s="66"/>
      <c r="Q90" s="66"/>
      <c r="R90" s="66"/>
      <c r="S90" s="66"/>
      <c r="T90" s="66"/>
      <c r="U90" s="66"/>
      <c r="V90" s="66"/>
      <c r="W90" s="66"/>
      <c r="X90" s="66"/>
      <c r="Y90" s="66"/>
      <c r="Z90" s="66"/>
    </row>
    <row r="91" spans="1:26" ht="14.25" customHeight="1">
      <c r="A91" s="66"/>
      <c r="B91" s="67"/>
      <c r="C91" s="67"/>
      <c r="D91" s="66"/>
      <c r="E91" s="66"/>
      <c r="F91" s="66"/>
      <c r="G91" s="66"/>
      <c r="H91" s="66"/>
      <c r="I91" s="66"/>
      <c r="J91" s="66"/>
      <c r="K91" s="66"/>
      <c r="L91" s="66"/>
      <c r="M91" s="66"/>
      <c r="N91" s="66"/>
      <c r="O91" s="66"/>
      <c r="P91" s="66"/>
      <c r="Q91" s="66"/>
      <c r="R91" s="66"/>
      <c r="S91" s="66"/>
      <c r="T91" s="66"/>
      <c r="U91" s="66"/>
      <c r="V91" s="66"/>
      <c r="W91" s="66"/>
      <c r="X91" s="66"/>
      <c r="Y91" s="66"/>
      <c r="Z91" s="66"/>
    </row>
    <row r="92" spans="1:26" ht="14.25" customHeight="1">
      <c r="A92" s="66"/>
      <c r="B92" s="67"/>
      <c r="C92" s="67"/>
      <c r="D92" s="66"/>
      <c r="E92" s="66"/>
      <c r="F92" s="66"/>
      <c r="G92" s="66"/>
      <c r="H92" s="66"/>
      <c r="I92" s="66"/>
      <c r="J92" s="66"/>
      <c r="K92" s="66"/>
      <c r="L92" s="66"/>
      <c r="M92" s="66"/>
      <c r="N92" s="66"/>
      <c r="O92" s="66"/>
      <c r="P92" s="66"/>
      <c r="Q92" s="66"/>
      <c r="R92" s="66"/>
      <c r="S92" s="66"/>
      <c r="T92" s="66"/>
      <c r="U92" s="66"/>
      <c r="V92" s="66"/>
      <c r="W92" s="66"/>
      <c r="X92" s="66"/>
      <c r="Y92" s="66"/>
      <c r="Z92" s="66"/>
    </row>
    <row r="93" spans="1:26" ht="14.25" customHeight="1">
      <c r="A93" s="66"/>
      <c r="B93" s="67"/>
      <c r="C93" s="67"/>
      <c r="D93" s="66"/>
      <c r="E93" s="66"/>
      <c r="F93" s="66"/>
      <c r="G93" s="66"/>
      <c r="H93" s="66"/>
      <c r="I93" s="66"/>
      <c r="J93" s="66"/>
      <c r="K93" s="66"/>
      <c r="L93" s="66"/>
      <c r="M93" s="66"/>
      <c r="N93" s="66"/>
      <c r="O93" s="66"/>
      <c r="P93" s="66"/>
      <c r="Q93" s="66"/>
      <c r="R93" s="66"/>
      <c r="S93" s="66"/>
      <c r="T93" s="66"/>
      <c r="U93" s="66"/>
      <c r="V93" s="66"/>
      <c r="W93" s="66"/>
      <c r="X93" s="66"/>
      <c r="Y93" s="66"/>
      <c r="Z93" s="66"/>
    </row>
    <row r="94" spans="1:26" ht="14.25" customHeight="1">
      <c r="A94" s="66"/>
      <c r="B94" s="67"/>
      <c r="C94" s="67"/>
      <c r="D94" s="66"/>
      <c r="E94" s="66"/>
      <c r="F94" s="66"/>
      <c r="G94" s="66"/>
      <c r="H94" s="66"/>
      <c r="I94" s="66"/>
      <c r="J94" s="66"/>
      <c r="K94" s="66"/>
      <c r="L94" s="66"/>
      <c r="M94" s="66"/>
      <c r="N94" s="66"/>
      <c r="O94" s="66"/>
      <c r="P94" s="66"/>
      <c r="Q94" s="66"/>
      <c r="R94" s="66"/>
      <c r="S94" s="66"/>
      <c r="T94" s="66"/>
      <c r="U94" s="66"/>
      <c r="V94" s="66"/>
      <c r="W94" s="66"/>
      <c r="X94" s="66"/>
      <c r="Y94" s="66"/>
      <c r="Z94" s="66"/>
    </row>
    <row r="95" spans="1:26" ht="14.25" customHeight="1">
      <c r="A95" s="66"/>
      <c r="B95" s="67"/>
      <c r="C95" s="67"/>
      <c r="D95" s="66"/>
      <c r="E95" s="66"/>
      <c r="F95" s="66"/>
      <c r="G95" s="66"/>
      <c r="H95" s="66"/>
      <c r="I95" s="66"/>
      <c r="J95" s="66"/>
      <c r="K95" s="66"/>
      <c r="L95" s="66"/>
      <c r="M95" s="66"/>
      <c r="N95" s="66"/>
      <c r="O95" s="66"/>
      <c r="P95" s="66"/>
      <c r="Q95" s="66"/>
      <c r="R95" s="66"/>
      <c r="S95" s="66"/>
      <c r="T95" s="66"/>
      <c r="U95" s="66"/>
      <c r="V95" s="66"/>
      <c r="W95" s="66"/>
      <c r="X95" s="66"/>
      <c r="Y95" s="66"/>
      <c r="Z95" s="66"/>
    </row>
    <row r="96" spans="1:26" ht="14.25" customHeight="1">
      <c r="A96" s="66"/>
      <c r="B96" s="67"/>
      <c r="C96" s="67"/>
      <c r="D96" s="66"/>
      <c r="E96" s="66"/>
      <c r="F96" s="66"/>
      <c r="G96" s="66"/>
      <c r="H96" s="66"/>
      <c r="I96" s="66"/>
      <c r="J96" s="66"/>
      <c r="K96" s="66"/>
      <c r="L96" s="66"/>
      <c r="M96" s="66"/>
      <c r="N96" s="66"/>
      <c r="O96" s="66"/>
      <c r="P96" s="66"/>
      <c r="Q96" s="66"/>
      <c r="R96" s="66"/>
      <c r="S96" s="66"/>
      <c r="T96" s="66"/>
      <c r="U96" s="66"/>
      <c r="V96" s="66"/>
      <c r="W96" s="66"/>
      <c r="X96" s="66"/>
      <c r="Y96" s="66"/>
      <c r="Z96" s="66"/>
    </row>
    <row r="97" spans="1:26" ht="14.25" customHeight="1">
      <c r="A97" s="66"/>
      <c r="B97" s="67"/>
      <c r="C97" s="67"/>
      <c r="D97" s="66"/>
      <c r="E97" s="66"/>
      <c r="F97" s="66"/>
      <c r="G97" s="66"/>
      <c r="H97" s="66"/>
      <c r="I97" s="66"/>
      <c r="J97" s="66"/>
      <c r="K97" s="66"/>
      <c r="L97" s="66"/>
      <c r="M97" s="66"/>
      <c r="N97" s="66"/>
      <c r="O97" s="66"/>
      <c r="P97" s="66"/>
      <c r="Q97" s="66"/>
      <c r="R97" s="66"/>
      <c r="S97" s="66"/>
      <c r="T97" s="66"/>
      <c r="U97" s="66"/>
      <c r="V97" s="66"/>
      <c r="W97" s="66"/>
      <c r="X97" s="66"/>
      <c r="Y97" s="66"/>
      <c r="Z97" s="66"/>
    </row>
    <row r="98" spans="1:26" ht="14.25" customHeight="1">
      <c r="A98" s="66"/>
      <c r="B98" s="67"/>
      <c r="C98" s="67"/>
      <c r="D98" s="66"/>
      <c r="E98" s="66"/>
      <c r="F98" s="66"/>
      <c r="G98" s="66"/>
      <c r="H98" s="66"/>
      <c r="I98" s="66"/>
      <c r="J98" s="66"/>
      <c r="K98" s="66"/>
      <c r="L98" s="66"/>
      <c r="M98" s="66"/>
      <c r="N98" s="66"/>
      <c r="O98" s="66"/>
      <c r="P98" s="66"/>
      <c r="Q98" s="66"/>
      <c r="R98" s="66"/>
      <c r="S98" s="66"/>
      <c r="T98" s="66"/>
      <c r="U98" s="66"/>
      <c r="V98" s="66"/>
      <c r="W98" s="66"/>
      <c r="X98" s="66"/>
      <c r="Y98" s="66"/>
      <c r="Z98" s="66"/>
    </row>
    <row r="99" spans="1:26" ht="14.25" customHeight="1">
      <c r="A99" s="66"/>
      <c r="B99" s="67"/>
      <c r="C99" s="67"/>
      <c r="D99" s="66"/>
      <c r="E99" s="66"/>
      <c r="F99" s="66"/>
      <c r="G99" s="66"/>
      <c r="H99" s="66"/>
      <c r="I99" s="66"/>
      <c r="J99" s="66"/>
      <c r="K99" s="66"/>
      <c r="L99" s="66"/>
      <c r="M99" s="66"/>
      <c r="N99" s="66"/>
      <c r="O99" s="66"/>
      <c r="P99" s="66"/>
      <c r="Q99" s="66"/>
      <c r="R99" s="66"/>
      <c r="S99" s="66"/>
      <c r="T99" s="66"/>
      <c r="U99" s="66"/>
      <c r="V99" s="66"/>
      <c r="W99" s="66"/>
      <c r="X99" s="66"/>
      <c r="Y99" s="66"/>
      <c r="Z99" s="66"/>
    </row>
    <row r="100" spans="1:26" ht="14.25" customHeight="1">
      <c r="A100" s="66"/>
      <c r="B100" s="67"/>
      <c r="C100" s="67"/>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4.25" customHeight="1">
      <c r="A101" s="66"/>
      <c r="B101" s="67"/>
      <c r="C101" s="67"/>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4.25" customHeight="1">
      <c r="A102" s="66"/>
      <c r="B102" s="67"/>
      <c r="C102" s="67"/>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4.25" customHeight="1">
      <c r="A103" s="66"/>
      <c r="B103" s="67"/>
      <c r="C103" s="67"/>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4.25" customHeight="1">
      <c r="A104" s="66"/>
      <c r="B104" s="67"/>
      <c r="C104" s="67"/>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4.25" customHeight="1">
      <c r="A105" s="66"/>
      <c r="B105" s="67"/>
      <c r="C105" s="67"/>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4.25" customHeight="1">
      <c r="A106" s="66"/>
      <c r="B106" s="67"/>
      <c r="C106" s="67"/>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4.25" customHeight="1">
      <c r="A107" s="66"/>
      <c r="B107" s="67"/>
      <c r="C107" s="67"/>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4.25" customHeight="1">
      <c r="A108" s="66"/>
      <c r="B108" s="67"/>
      <c r="C108" s="67"/>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4.25" customHeight="1">
      <c r="A109" s="66"/>
      <c r="B109" s="67"/>
      <c r="C109" s="67"/>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4.25" customHeight="1">
      <c r="A110" s="66"/>
      <c r="B110" s="67"/>
      <c r="C110" s="67"/>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4.25" customHeight="1">
      <c r="A111" s="66"/>
      <c r="B111" s="67"/>
      <c r="C111" s="67"/>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4.25" customHeight="1">
      <c r="A112" s="66"/>
      <c r="B112" s="67"/>
      <c r="C112" s="67"/>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4.25" customHeight="1">
      <c r="A113" s="66"/>
      <c r="B113" s="67"/>
      <c r="C113" s="67"/>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4.25" customHeight="1">
      <c r="A114" s="66"/>
      <c r="B114" s="67"/>
      <c r="C114" s="67"/>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4.25" customHeight="1">
      <c r="A115" s="66"/>
      <c r="B115" s="67"/>
      <c r="C115" s="67"/>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4.25" customHeight="1">
      <c r="A116" s="66"/>
      <c r="B116" s="67"/>
      <c r="C116" s="67"/>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4.25" customHeight="1">
      <c r="A117" s="66"/>
      <c r="B117" s="67"/>
      <c r="C117" s="67"/>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4.25" customHeight="1">
      <c r="A118" s="66"/>
      <c r="B118" s="67"/>
      <c r="C118" s="67"/>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4.25" customHeight="1">
      <c r="A119" s="66"/>
      <c r="B119" s="67"/>
      <c r="C119" s="67"/>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4.25" customHeight="1">
      <c r="A120" s="66"/>
      <c r="B120" s="67"/>
      <c r="C120" s="67"/>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4.25" customHeight="1">
      <c r="A121" s="66"/>
      <c r="B121" s="67"/>
      <c r="C121" s="67"/>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4.25" customHeight="1">
      <c r="A122" s="66"/>
      <c r="B122" s="67"/>
      <c r="C122" s="67"/>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4.25" customHeight="1">
      <c r="A123" s="66"/>
      <c r="B123" s="67"/>
      <c r="C123" s="67"/>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4.25" customHeight="1">
      <c r="A124" s="66"/>
      <c r="B124" s="67"/>
      <c r="C124" s="67"/>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4.25" customHeight="1">
      <c r="A125" s="66"/>
      <c r="B125" s="67"/>
      <c r="C125" s="67"/>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4.25" customHeight="1">
      <c r="A126" s="66"/>
      <c r="B126" s="67"/>
      <c r="C126" s="67"/>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c r="A127" s="66"/>
      <c r="B127" s="67"/>
      <c r="C127" s="67"/>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c r="A128" s="66"/>
      <c r="B128" s="67"/>
      <c r="C128" s="67"/>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c r="A129" s="66"/>
      <c r="B129" s="67"/>
      <c r="C129" s="67"/>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c r="A130" s="66"/>
      <c r="B130" s="67"/>
      <c r="C130" s="67"/>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c r="A131" s="66"/>
      <c r="B131" s="67"/>
      <c r="C131" s="67"/>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c r="A132" s="66"/>
      <c r="B132" s="67"/>
      <c r="C132" s="67"/>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c r="A133" s="66"/>
      <c r="B133" s="67"/>
      <c r="C133" s="67"/>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c r="A134" s="66"/>
      <c r="B134" s="67"/>
      <c r="C134" s="67"/>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c r="A135" s="66"/>
      <c r="B135" s="67"/>
      <c r="C135" s="67"/>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c r="A136" s="66"/>
      <c r="B136" s="67"/>
      <c r="C136" s="67"/>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c r="A137" s="66"/>
      <c r="B137" s="67"/>
      <c r="C137" s="67"/>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c r="A138" s="66"/>
      <c r="B138" s="67"/>
      <c r="C138" s="67"/>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c r="A139" s="66"/>
      <c r="B139" s="67"/>
      <c r="C139" s="67"/>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c r="A140" s="66"/>
      <c r="B140" s="67"/>
      <c r="C140" s="67"/>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c r="A141" s="66"/>
      <c r="B141" s="67"/>
      <c r="C141" s="67"/>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c r="A142" s="66"/>
      <c r="B142" s="67"/>
      <c r="C142" s="67"/>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c r="A143" s="66"/>
      <c r="B143" s="67"/>
      <c r="C143" s="67"/>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c r="A144" s="66"/>
      <c r="B144" s="67"/>
      <c r="C144" s="67"/>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c r="A145" s="66"/>
      <c r="B145" s="67"/>
      <c r="C145" s="67"/>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c r="A146" s="66"/>
      <c r="B146" s="67"/>
      <c r="C146" s="67"/>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c r="A147" s="66"/>
      <c r="B147" s="67"/>
      <c r="C147" s="67"/>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c r="A148" s="66"/>
      <c r="B148" s="67"/>
      <c r="C148" s="67"/>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c r="A149" s="66"/>
      <c r="B149" s="67"/>
      <c r="C149" s="67"/>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c r="A150" s="66"/>
      <c r="B150" s="67"/>
      <c r="C150" s="67"/>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c r="A151" s="66"/>
      <c r="B151" s="67"/>
      <c r="C151" s="67"/>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c r="A152" s="66"/>
      <c r="B152" s="67"/>
      <c r="C152" s="67"/>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c r="A153" s="66"/>
      <c r="B153" s="67"/>
      <c r="C153" s="67"/>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c r="A154" s="66"/>
      <c r="B154" s="67"/>
      <c r="C154" s="67"/>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c r="A155" s="66"/>
      <c r="B155" s="67"/>
      <c r="C155" s="67"/>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c r="A156" s="66"/>
      <c r="B156" s="67"/>
      <c r="C156" s="67"/>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c r="A157" s="66"/>
      <c r="B157" s="67"/>
      <c r="C157" s="67"/>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c r="A158" s="66"/>
      <c r="B158" s="67"/>
      <c r="C158" s="67"/>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c r="A159" s="66"/>
      <c r="B159" s="67"/>
      <c r="C159" s="67"/>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c r="A160" s="66"/>
      <c r="B160" s="67"/>
      <c r="C160" s="67"/>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c r="A161" s="66"/>
      <c r="B161" s="67"/>
      <c r="C161" s="67"/>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c r="A162" s="66"/>
      <c r="B162" s="67"/>
      <c r="C162" s="67"/>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c r="A163" s="66"/>
      <c r="B163" s="67"/>
      <c r="C163" s="67"/>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c r="A164" s="66"/>
      <c r="B164" s="67"/>
      <c r="C164" s="67"/>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c r="A165" s="66"/>
      <c r="B165" s="67"/>
      <c r="C165" s="67"/>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c r="A166" s="66"/>
      <c r="B166" s="67"/>
      <c r="C166" s="67"/>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c r="A167" s="66"/>
      <c r="B167" s="67"/>
      <c r="C167" s="67"/>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c r="A168" s="66"/>
      <c r="B168" s="67"/>
      <c r="C168" s="67"/>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c r="A169" s="66"/>
      <c r="B169" s="67"/>
      <c r="C169" s="67"/>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c r="A170" s="66"/>
      <c r="B170" s="67"/>
      <c r="C170" s="67"/>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c r="A171" s="66"/>
      <c r="B171" s="67"/>
      <c r="C171" s="67"/>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c r="A172" s="66"/>
      <c r="B172" s="67"/>
      <c r="C172" s="67"/>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c r="A173" s="66"/>
      <c r="B173" s="67"/>
      <c r="C173" s="67"/>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c r="A174" s="66"/>
      <c r="B174" s="67"/>
      <c r="C174" s="67"/>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c r="A175" s="66"/>
      <c r="B175" s="67"/>
      <c r="C175" s="67"/>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c r="A176" s="66"/>
      <c r="B176" s="67"/>
      <c r="C176" s="67"/>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c r="A177" s="66"/>
      <c r="B177" s="67"/>
      <c r="C177" s="67"/>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c r="A178" s="66"/>
      <c r="B178" s="67"/>
      <c r="C178" s="67"/>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c r="A179" s="66"/>
      <c r="B179" s="67"/>
      <c r="C179" s="67"/>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c r="A180" s="66"/>
      <c r="B180" s="67"/>
      <c r="C180" s="67"/>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c r="A181" s="66"/>
      <c r="B181" s="67"/>
      <c r="C181" s="67"/>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c r="A182" s="66"/>
      <c r="B182" s="67"/>
      <c r="C182" s="67"/>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c r="A183" s="66"/>
      <c r="B183" s="67"/>
      <c r="C183" s="67"/>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c r="A184" s="66"/>
      <c r="B184" s="67"/>
      <c r="C184" s="67"/>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c r="A185" s="66"/>
      <c r="B185" s="67"/>
      <c r="C185" s="67"/>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c r="A186" s="66"/>
      <c r="B186" s="67"/>
      <c r="C186" s="67"/>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c r="A187" s="66"/>
      <c r="B187" s="67"/>
      <c r="C187" s="67"/>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c r="A188" s="66"/>
      <c r="B188" s="67"/>
      <c r="C188" s="67"/>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c r="A189" s="66"/>
      <c r="B189" s="67"/>
      <c r="C189" s="67"/>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c r="A190" s="66"/>
      <c r="B190" s="67"/>
      <c r="C190" s="67"/>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c r="A191" s="66"/>
      <c r="B191" s="67"/>
      <c r="C191" s="67"/>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c r="A192" s="66"/>
      <c r="B192" s="67"/>
      <c r="C192" s="67"/>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c r="A193" s="66"/>
      <c r="B193" s="67"/>
      <c r="C193" s="67"/>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c r="A194" s="66"/>
      <c r="B194" s="67"/>
      <c r="C194" s="67"/>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c r="A195" s="66"/>
      <c r="B195" s="67"/>
      <c r="C195" s="67"/>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c r="A196" s="66"/>
      <c r="B196" s="67"/>
      <c r="C196" s="67"/>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c r="A197" s="66"/>
      <c r="B197" s="67"/>
      <c r="C197" s="67"/>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c r="A198" s="66"/>
      <c r="B198" s="67"/>
      <c r="C198" s="67"/>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c r="A199" s="66"/>
      <c r="B199" s="67"/>
      <c r="C199" s="67"/>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c r="A200" s="66"/>
      <c r="B200" s="67"/>
      <c r="C200" s="67"/>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c r="A201" s="66"/>
      <c r="B201" s="67"/>
      <c r="C201" s="67"/>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c r="A202" s="66"/>
      <c r="B202" s="67"/>
      <c r="C202" s="67"/>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c r="A203" s="66"/>
      <c r="B203" s="67"/>
      <c r="C203" s="67"/>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c r="A204" s="66"/>
      <c r="B204" s="67"/>
      <c r="C204" s="67"/>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c r="A205" s="66"/>
      <c r="B205" s="67"/>
      <c r="C205" s="67"/>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c r="A206" s="66"/>
      <c r="B206" s="67"/>
      <c r="C206" s="67"/>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c r="A207" s="66"/>
      <c r="B207" s="67"/>
      <c r="C207" s="67"/>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c r="A208" s="66"/>
      <c r="B208" s="67"/>
      <c r="C208" s="67"/>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c r="A209" s="66"/>
      <c r="B209" s="67"/>
      <c r="C209" s="67"/>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c r="A210" s="66"/>
      <c r="B210" s="67"/>
      <c r="C210" s="67"/>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c r="A211" s="66"/>
      <c r="B211" s="67"/>
      <c r="C211" s="67"/>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c r="A212" s="66"/>
      <c r="B212" s="67"/>
      <c r="C212" s="67"/>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c r="A213" s="66"/>
      <c r="B213" s="67"/>
      <c r="C213" s="67"/>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c r="A214" s="66"/>
      <c r="B214" s="67"/>
      <c r="C214" s="67"/>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c r="A215" s="66"/>
      <c r="B215" s="67"/>
      <c r="C215" s="67"/>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c r="A216" s="66"/>
      <c r="B216" s="67"/>
      <c r="C216" s="67"/>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c r="A217" s="66"/>
      <c r="B217" s="67"/>
      <c r="C217" s="67"/>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c r="A218" s="66"/>
      <c r="B218" s="67"/>
      <c r="C218" s="67"/>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c r="A219" s="66"/>
      <c r="B219" s="67"/>
      <c r="C219" s="67"/>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c r="A220" s="66"/>
      <c r="B220" s="67"/>
      <c r="C220" s="67"/>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4.25" customHeight="1">
      <c r="A221" s="66"/>
      <c r="B221" s="67"/>
      <c r="C221" s="67"/>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4.25" customHeight="1">
      <c r="A222" s="66"/>
      <c r="B222" s="67"/>
      <c r="C222" s="67"/>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4.25" customHeight="1">
      <c r="A223" s="66"/>
      <c r="B223" s="67"/>
      <c r="C223" s="67"/>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4.25" customHeight="1">
      <c r="A224" s="66"/>
      <c r="B224" s="67"/>
      <c r="C224" s="67"/>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4.25" customHeight="1">
      <c r="A225" s="66"/>
      <c r="B225" s="67"/>
      <c r="C225" s="67"/>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4.25" customHeight="1">
      <c r="A226" s="66"/>
      <c r="B226" s="67"/>
      <c r="C226" s="67"/>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4.25" customHeight="1">
      <c r="A227" s="66"/>
      <c r="B227" s="67"/>
      <c r="C227" s="67"/>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4.25" customHeight="1">
      <c r="A228" s="66"/>
      <c r="B228" s="67"/>
      <c r="C228" s="67"/>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4.25" customHeight="1">
      <c r="A229" s="66"/>
      <c r="B229" s="67"/>
      <c r="C229" s="67"/>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4.25" customHeight="1">
      <c r="A230" s="66"/>
      <c r="B230" s="67"/>
      <c r="C230" s="67"/>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4.25" customHeight="1">
      <c r="A231" s="66"/>
      <c r="B231" s="67"/>
      <c r="C231" s="67"/>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4.25" customHeight="1">
      <c r="A232" s="66"/>
      <c r="B232" s="67"/>
      <c r="C232" s="67"/>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4.25" customHeight="1">
      <c r="A233" s="66"/>
      <c r="B233" s="67"/>
      <c r="C233" s="67"/>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4.25" customHeight="1">
      <c r="A234" s="66"/>
      <c r="B234" s="67"/>
      <c r="C234" s="67"/>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4.25" customHeight="1">
      <c r="A235" s="66"/>
      <c r="B235" s="67"/>
      <c r="C235" s="67"/>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4.25" customHeight="1">
      <c r="A236" s="66"/>
      <c r="B236" s="67"/>
      <c r="C236" s="67"/>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4.25" customHeight="1">
      <c r="A237" s="66"/>
      <c r="B237" s="67"/>
      <c r="C237" s="67"/>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4.25" customHeight="1">
      <c r="A238" s="66"/>
      <c r="B238" s="67"/>
      <c r="C238" s="67"/>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4.25" customHeight="1">
      <c r="A239" s="66"/>
      <c r="B239" s="67"/>
      <c r="C239" s="67"/>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4.25" customHeight="1">
      <c r="A240" s="66"/>
      <c r="B240" s="67"/>
      <c r="C240" s="67"/>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4.25" customHeight="1">
      <c r="A241" s="66"/>
      <c r="B241" s="67"/>
      <c r="C241" s="67"/>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4.25" customHeight="1">
      <c r="A242" s="66"/>
      <c r="B242" s="67"/>
      <c r="C242" s="67"/>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4.25" customHeight="1">
      <c r="A243" s="66"/>
      <c r="B243" s="67"/>
      <c r="C243" s="67"/>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4.25" customHeight="1">
      <c r="A244" s="66"/>
      <c r="B244" s="67"/>
      <c r="C244" s="67"/>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4.25" customHeight="1">
      <c r="A245" s="66"/>
      <c r="B245" s="67"/>
      <c r="C245" s="67"/>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4.25" customHeight="1">
      <c r="A246" s="66"/>
      <c r="B246" s="67"/>
      <c r="C246" s="67"/>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4.25" customHeight="1">
      <c r="A247" s="66"/>
      <c r="B247" s="67"/>
      <c r="C247" s="67"/>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4.25" customHeight="1">
      <c r="A248" s="66"/>
      <c r="B248" s="67"/>
      <c r="C248" s="67"/>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4.25" customHeight="1">
      <c r="A249" s="66"/>
      <c r="B249" s="67"/>
      <c r="C249" s="67"/>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4.25" customHeight="1">
      <c r="A250" s="66"/>
      <c r="B250" s="67"/>
      <c r="C250" s="67"/>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4.25" customHeight="1">
      <c r="A251" s="66"/>
      <c r="B251" s="67"/>
      <c r="C251" s="67"/>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4.25" customHeight="1">
      <c r="A252" s="66"/>
      <c r="B252" s="67"/>
      <c r="C252" s="67"/>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4.25" customHeight="1">
      <c r="A253" s="66"/>
      <c r="B253" s="67"/>
      <c r="C253" s="67"/>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4.25" customHeight="1">
      <c r="A254" s="66"/>
      <c r="B254" s="67"/>
      <c r="C254" s="67"/>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4.25" customHeight="1">
      <c r="A255" s="66"/>
      <c r="B255" s="67"/>
      <c r="C255" s="67"/>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4.25" customHeight="1">
      <c r="A256" s="66"/>
      <c r="B256" s="67"/>
      <c r="C256" s="67"/>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4.25" customHeight="1">
      <c r="A257" s="66"/>
      <c r="B257" s="67"/>
      <c r="C257" s="67"/>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4.25" customHeight="1">
      <c r="A258" s="66"/>
      <c r="B258" s="67"/>
      <c r="C258" s="67"/>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4.25" customHeight="1">
      <c r="A259" s="66"/>
      <c r="B259" s="67"/>
      <c r="C259" s="67"/>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4.25" customHeight="1">
      <c r="A260" s="66"/>
      <c r="B260" s="67"/>
      <c r="C260" s="67"/>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4.25" customHeight="1">
      <c r="A261" s="66"/>
      <c r="B261" s="67"/>
      <c r="C261" s="67"/>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4.25" customHeight="1">
      <c r="A262" s="66"/>
      <c r="B262" s="67"/>
      <c r="C262" s="67"/>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4.25" customHeight="1">
      <c r="A263" s="66"/>
      <c r="B263" s="67"/>
      <c r="C263" s="67"/>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4.25" customHeight="1">
      <c r="A264" s="66"/>
      <c r="B264" s="67"/>
      <c r="C264" s="67"/>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4.25" customHeight="1">
      <c r="A265" s="66"/>
      <c r="B265" s="67"/>
      <c r="C265" s="67"/>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4.25" customHeight="1">
      <c r="A266" s="66"/>
      <c r="B266" s="67"/>
      <c r="C266" s="67"/>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4.25" customHeight="1">
      <c r="A267" s="66"/>
      <c r="B267" s="67"/>
      <c r="C267" s="67"/>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4.25" customHeight="1">
      <c r="A268" s="66"/>
      <c r="B268" s="67"/>
      <c r="C268" s="67"/>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4.25" customHeight="1">
      <c r="A269" s="66"/>
      <c r="B269" s="67"/>
      <c r="C269" s="67"/>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4.25" customHeight="1">
      <c r="A270" s="66"/>
      <c r="B270" s="67"/>
      <c r="C270" s="67"/>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4.25" customHeight="1">
      <c r="A271" s="66"/>
      <c r="B271" s="67"/>
      <c r="C271" s="67"/>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4.25" customHeight="1">
      <c r="A272" s="66"/>
      <c r="B272" s="67"/>
      <c r="C272" s="67"/>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4.25" customHeight="1">
      <c r="A273" s="66"/>
      <c r="B273" s="67"/>
      <c r="C273" s="67"/>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4.25" customHeight="1">
      <c r="A274" s="66"/>
      <c r="B274" s="67"/>
      <c r="C274" s="67"/>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4.25" customHeight="1">
      <c r="A275" s="66"/>
      <c r="B275" s="67"/>
      <c r="C275" s="67"/>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4.25" customHeight="1">
      <c r="A276" s="66"/>
      <c r="B276" s="67"/>
      <c r="C276" s="67"/>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4.25" customHeight="1">
      <c r="A277" s="66"/>
      <c r="B277" s="67"/>
      <c r="C277" s="67"/>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4.25" customHeight="1">
      <c r="A278" s="66"/>
      <c r="B278" s="67"/>
      <c r="C278" s="67"/>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4.25" customHeight="1">
      <c r="A279" s="66"/>
      <c r="B279" s="67"/>
      <c r="C279" s="67"/>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4.25" customHeight="1">
      <c r="A280" s="66"/>
      <c r="B280" s="67"/>
      <c r="C280" s="67"/>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4.25" customHeight="1">
      <c r="A281" s="66"/>
      <c r="B281" s="67"/>
      <c r="C281" s="67"/>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4.25" customHeight="1">
      <c r="A282" s="66"/>
      <c r="B282" s="67"/>
      <c r="C282" s="67"/>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4.25" customHeight="1">
      <c r="A283" s="66"/>
      <c r="B283" s="67"/>
      <c r="C283" s="67"/>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4.25" customHeight="1">
      <c r="A284" s="66"/>
      <c r="B284" s="67"/>
      <c r="C284" s="67"/>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4.25" customHeight="1">
      <c r="A285" s="66"/>
      <c r="B285" s="67"/>
      <c r="C285" s="67"/>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4.25" customHeight="1">
      <c r="A286" s="66"/>
      <c r="B286" s="67"/>
      <c r="C286" s="67"/>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4.25" customHeight="1">
      <c r="A287" s="66"/>
      <c r="B287" s="67"/>
      <c r="C287" s="67"/>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4.25" customHeight="1">
      <c r="A288" s="66"/>
      <c r="B288" s="67"/>
      <c r="C288" s="67"/>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4.25" customHeight="1">
      <c r="A289" s="66"/>
      <c r="B289" s="67"/>
      <c r="C289" s="67"/>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4.25" customHeight="1">
      <c r="A290" s="66"/>
      <c r="B290" s="67"/>
      <c r="C290" s="67"/>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4.25" customHeight="1">
      <c r="A291" s="66"/>
      <c r="B291" s="67"/>
      <c r="C291" s="67"/>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4.25" customHeight="1">
      <c r="A292" s="66"/>
      <c r="B292" s="67"/>
      <c r="C292" s="67"/>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4.25" customHeight="1">
      <c r="A293" s="66"/>
      <c r="B293" s="67"/>
      <c r="C293" s="67"/>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4.25" customHeight="1">
      <c r="A294" s="66"/>
      <c r="B294" s="67"/>
      <c r="C294" s="67"/>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4.25" customHeight="1">
      <c r="A295" s="66"/>
      <c r="B295" s="67"/>
      <c r="C295" s="67"/>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4.25" customHeight="1">
      <c r="A296" s="66"/>
      <c r="B296" s="67"/>
      <c r="C296" s="67"/>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4.25" customHeight="1">
      <c r="A297" s="66"/>
      <c r="B297" s="67"/>
      <c r="C297" s="67"/>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4.25" customHeight="1">
      <c r="A298" s="66"/>
      <c r="B298" s="67"/>
      <c r="C298" s="67"/>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4.25" customHeight="1">
      <c r="A299" s="66"/>
      <c r="B299" s="67"/>
      <c r="C299" s="67"/>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4.25" customHeight="1">
      <c r="A300" s="66"/>
      <c r="B300" s="67"/>
      <c r="C300" s="67"/>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4.25" customHeight="1">
      <c r="A301" s="66"/>
      <c r="B301" s="67"/>
      <c r="C301" s="67"/>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4.25" customHeight="1">
      <c r="A302" s="66"/>
      <c r="B302" s="67"/>
      <c r="C302" s="67"/>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4.25" customHeight="1">
      <c r="A303" s="66"/>
      <c r="B303" s="67"/>
      <c r="C303" s="67"/>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4.25" customHeight="1">
      <c r="A304" s="66"/>
      <c r="B304" s="67"/>
      <c r="C304" s="67"/>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4.25" customHeight="1">
      <c r="A305" s="66"/>
      <c r="B305" s="67"/>
      <c r="C305" s="67"/>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4.25" customHeight="1">
      <c r="A306" s="66"/>
      <c r="B306" s="67"/>
      <c r="C306" s="67"/>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4.25" customHeight="1">
      <c r="A307" s="66"/>
      <c r="B307" s="67"/>
      <c r="C307" s="67"/>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4.25" customHeight="1">
      <c r="A308" s="66"/>
      <c r="B308" s="67"/>
      <c r="C308" s="67"/>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4.25" customHeight="1">
      <c r="A309" s="66"/>
      <c r="B309" s="67"/>
      <c r="C309" s="67"/>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4.25" customHeight="1">
      <c r="A310" s="66"/>
      <c r="B310" s="67"/>
      <c r="C310" s="67"/>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4.25" customHeight="1">
      <c r="A311" s="66"/>
      <c r="B311" s="67"/>
      <c r="C311" s="67"/>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4.25" customHeight="1">
      <c r="A312" s="66"/>
      <c r="B312" s="67"/>
      <c r="C312" s="67"/>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4.25" customHeight="1">
      <c r="A313" s="66"/>
      <c r="B313" s="67"/>
      <c r="C313" s="67"/>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4.25" customHeight="1">
      <c r="A314" s="66"/>
      <c r="B314" s="67"/>
      <c r="C314" s="67"/>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4.25" customHeight="1">
      <c r="A315" s="66"/>
      <c r="B315" s="67"/>
      <c r="C315" s="67"/>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4.25" customHeight="1">
      <c r="A316" s="66"/>
      <c r="B316" s="67"/>
      <c r="C316" s="67"/>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4.25" customHeight="1">
      <c r="A317" s="66"/>
      <c r="B317" s="67"/>
      <c r="C317" s="67"/>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4.25" customHeight="1">
      <c r="A318" s="66"/>
      <c r="B318" s="67"/>
      <c r="C318" s="67"/>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4.25" customHeight="1">
      <c r="A319" s="66"/>
      <c r="B319" s="67"/>
      <c r="C319" s="67"/>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4.25" customHeight="1">
      <c r="A320" s="66"/>
      <c r="B320" s="67"/>
      <c r="C320" s="67"/>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4.25" customHeight="1">
      <c r="A321" s="66"/>
      <c r="B321" s="67"/>
      <c r="C321" s="67"/>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4.25" customHeight="1">
      <c r="A322" s="66"/>
      <c r="B322" s="67"/>
      <c r="C322" s="67"/>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4.25" customHeight="1">
      <c r="A323" s="66"/>
      <c r="B323" s="67"/>
      <c r="C323" s="67"/>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4.25" customHeight="1">
      <c r="A324" s="66"/>
      <c r="B324" s="67"/>
      <c r="C324" s="67"/>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4.25" customHeight="1">
      <c r="A325" s="66"/>
      <c r="B325" s="67"/>
      <c r="C325" s="67"/>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4.25" customHeight="1">
      <c r="A326" s="66"/>
      <c r="B326" s="67"/>
      <c r="C326" s="67"/>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4.25" customHeight="1">
      <c r="A327" s="66"/>
      <c r="B327" s="67"/>
      <c r="C327" s="67"/>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4.25" customHeight="1">
      <c r="A328" s="66"/>
      <c r="B328" s="67"/>
      <c r="C328" s="67"/>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4.25" customHeight="1">
      <c r="A329" s="66"/>
      <c r="B329" s="67"/>
      <c r="C329" s="67"/>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4.25" customHeight="1">
      <c r="A330" s="66"/>
      <c r="B330" s="67"/>
      <c r="C330" s="67"/>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4.25" customHeight="1">
      <c r="A331" s="66"/>
      <c r="B331" s="67"/>
      <c r="C331" s="67"/>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4.25" customHeight="1">
      <c r="A332" s="66"/>
      <c r="B332" s="67"/>
      <c r="C332" s="67"/>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4.25" customHeight="1">
      <c r="A333" s="66"/>
      <c r="B333" s="67"/>
      <c r="C333" s="67"/>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4.25" customHeight="1">
      <c r="A334" s="66"/>
      <c r="B334" s="67"/>
      <c r="C334" s="67"/>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4.25" customHeight="1">
      <c r="A335" s="66"/>
      <c r="B335" s="67"/>
      <c r="C335" s="67"/>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4.25" customHeight="1">
      <c r="A336" s="66"/>
      <c r="B336" s="67"/>
      <c r="C336" s="67"/>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4.25" customHeight="1">
      <c r="A337" s="66"/>
      <c r="B337" s="67"/>
      <c r="C337" s="67"/>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4.25" customHeight="1">
      <c r="A338" s="66"/>
      <c r="B338" s="67"/>
      <c r="C338" s="67"/>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4.25" customHeight="1">
      <c r="A339" s="66"/>
      <c r="B339" s="67"/>
      <c r="C339" s="67"/>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4.25" customHeight="1">
      <c r="A340" s="66"/>
      <c r="B340" s="67"/>
      <c r="C340" s="67"/>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4.25" customHeight="1">
      <c r="A341" s="66"/>
      <c r="B341" s="67"/>
      <c r="C341" s="67"/>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4.25" customHeight="1">
      <c r="A342" s="66"/>
      <c r="B342" s="67"/>
      <c r="C342" s="67"/>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4.25" customHeight="1">
      <c r="A343" s="66"/>
      <c r="B343" s="67"/>
      <c r="C343" s="67"/>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4.25" customHeight="1">
      <c r="A344" s="66"/>
      <c r="B344" s="67"/>
      <c r="C344" s="67"/>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4.25" customHeight="1">
      <c r="A345" s="66"/>
      <c r="B345" s="67"/>
      <c r="C345" s="67"/>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4.25" customHeight="1">
      <c r="A346" s="66"/>
      <c r="B346" s="67"/>
      <c r="C346" s="67"/>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4.25" customHeight="1">
      <c r="A347" s="66"/>
      <c r="B347" s="67"/>
      <c r="C347" s="67"/>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4.25" customHeight="1">
      <c r="A348" s="66"/>
      <c r="B348" s="67"/>
      <c r="C348" s="67"/>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4.25" customHeight="1">
      <c r="A349" s="66"/>
      <c r="B349" s="67"/>
      <c r="C349" s="67"/>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4.25" customHeight="1">
      <c r="A350" s="66"/>
      <c r="B350" s="67"/>
      <c r="C350" s="67"/>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4.25" customHeight="1">
      <c r="A351" s="66"/>
      <c r="B351" s="67"/>
      <c r="C351" s="67"/>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4.25" customHeight="1">
      <c r="A352" s="66"/>
      <c r="B352" s="67"/>
      <c r="C352" s="67"/>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4.25" customHeight="1">
      <c r="A353" s="66"/>
      <c r="B353" s="67"/>
      <c r="C353" s="67"/>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4.25" customHeight="1">
      <c r="A354" s="66"/>
      <c r="B354" s="67"/>
      <c r="C354" s="67"/>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4.25" customHeight="1">
      <c r="A355" s="66"/>
      <c r="B355" s="67"/>
      <c r="C355" s="67"/>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4.25" customHeight="1">
      <c r="A356" s="66"/>
      <c r="B356" s="67"/>
      <c r="C356" s="67"/>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4.25" customHeight="1">
      <c r="A357" s="66"/>
      <c r="B357" s="67"/>
      <c r="C357" s="67"/>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4.25" customHeight="1">
      <c r="A358" s="66"/>
      <c r="B358" s="67"/>
      <c r="C358" s="67"/>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4.25" customHeight="1">
      <c r="A359" s="66"/>
      <c r="B359" s="67"/>
      <c r="C359" s="67"/>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4.25" customHeight="1">
      <c r="A360" s="66"/>
      <c r="B360" s="67"/>
      <c r="C360" s="67"/>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4.25" customHeight="1">
      <c r="A361" s="66"/>
      <c r="B361" s="67"/>
      <c r="C361" s="67"/>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4.25" customHeight="1">
      <c r="A362" s="66"/>
      <c r="B362" s="67"/>
      <c r="C362" s="67"/>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4.25" customHeight="1">
      <c r="A363" s="66"/>
      <c r="B363" s="67"/>
      <c r="C363" s="67"/>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4.25" customHeight="1">
      <c r="A364" s="66"/>
      <c r="B364" s="67"/>
      <c r="C364" s="67"/>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4.25" customHeight="1">
      <c r="A365" s="66"/>
      <c r="B365" s="67"/>
      <c r="C365" s="67"/>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4.25" customHeight="1">
      <c r="A366" s="66"/>
      <c r="B366" s="67"/>
      <c r="C366" s="67"/>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4.25" customHeight="1">
      <c r="A367" s="66"/>
      <c r="B367" s="67"/>
      <c r="C367" s="67"/>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4.25" customHeight="1">
      <c r="A368" s="66"/>
      <c r="B368" s="67"/>
      <c r="C368" s="67"/>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4.25" customHeight="1">
      <c r="A369" s="66"/>
      <c r="B369" s="67"/>
      <c r="C369" s="67"/>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4.25" customHeight="1">
      <c r="A370" s="66"/>
      <c r="B370" s="67"/>
      <c r="C370" s="67"/>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4.25" customHeight="1">
      <c r="A371" s="66"/>
      <c r="B371" s="67"/>
      <c r="C371" s="67"/>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4.25" customHeight="1">
      <c r="A372" s="66"/>
      <c r="B372" s="67"/>
      <c r="C372" s="67"/>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4.25" customHeight="1">
      <c r="A373" s="66"/>
      <c r="B373" s="67"/>
      <c r="C373" s="67"/>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4.25" customHeight="1">
      <c r="A374" s="66"/>
      <c r="B374" s="67"/>
      <c r="C374" s="67"/>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4.25" customHeight="1">
      <c r="A375" s="66"/>
      <c r="B375" s="67"/>
      <c r="C375" s="67"/>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4.25" customHeight="1">
      <c r="A376" s="66"/>
      <c r="B376" s="67"/>
      <c r="C376" s="67"/>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4.25" customHeight="1">
      <c r="A377" s="66"/>
      <c r="B377" s="67"/>
      <c r="C377" s="67"/>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4.25" customHeight="1">
      <c r="A378" s="66"/>
      <c r="B378" s="67"/>
      <c r="C378" s="67"/>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4.25" customHeight="1">
      <c r="A379" s="66"/>
      <c r="B379" s="67"/>
      <c r="C379" s="67"/>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4.25" customHeight="1">
      <c r="A380" s="66"/>
      <c r="B380" s="67"/>
      <c r="C380" s="67"/>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4.25" customHeight="1">
      <c r="A381" s="66"/>
      <c r="B381" s="67"/>
      <c r="C381" s="67"/>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4.25" customHeight="1">
      <c r="A382" s="66"/>
      <c r="B382" s="67"/>
      <c r="C382" s="67"/>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4.25" customHeight="1">
      <c r="A383" s="66"/>
      <c r="B383" s="67"/>
      <c r="C383" s="67"/>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4.25" customHeight="1">
      <c r="A384" s="66"/>
      <c r="B384" s="67"/>
      <c r="C384" s="67"/>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4.25" customHeight="1">
      <c r="A385" s="66"/>
      <c r="B385" s="67"/>
      <c r="C385" s="67"/>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4.25" customHeight="1">
      <c r="A386" s="66"/>
      <c r="B386" s="67"/>
      <c r="C386" s="67"/>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4.25" customHeight="1">
      <c r="A387" s="66"/>
      <c r="B387" s="67"/>
      <c r="C387" s="67"/>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4.25" customHeight="1">
      <c r="A388" s="66"/>
      <c r="B388" s="67"/>
      <c r="C388" s="67"/>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4.25" customHeight="1">
      <c r="A389" s="66"/>
      <c r="B389" s="67"/>
      <c r="C389" s="67"/>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4.25" customHeight="1">
      <c r="A390" s="66"/>
      <c r="B390" s="67"/>
      <c r="C390" s="67"/>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4.25" customHeight="1">
      <c r="A391" s="66"/>
      <c r="B391" s="67"/>
      <c r="C391" s="67"/>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4.25" customHeight="1">
      <c r="A392" s="66"/>
      <c r="B392" s="67"/>
      <c r="C392" s="67"/>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4.25" customHeight="1">
      <c r="A393" s="66"/>
      <c r="B393" s="67"/>
      <c r="C393" s="67"/>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4.25" customHeight="1">
      <c r="A394" s="66"/>
      <c r="B394" s="67"/>
      <c r="C394" s="67"/>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4.25" customHeight="1">
      <c r="A395" s="66"/>
      <c r="B395" s="67"/>
      <c r="C395" s="67"/>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4.25" customHeight="1">
      <c r="A396" s="66"/>
      <c r="B396" s="67"/>
      <c r="C396" s="67"/>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4.25" customHeight="1">
      <c r="A397" s="66"/>
      <c r="B397" s="67"/>
      <c r="C397" s="67"/>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4.25" customHeight="1">
      <c r="A398" s="66"/>
      <c r="B398" s="67"/>
      <c r="C398" s="67"/>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4.25" customHeight="1">
      <c r="A399" s="66"/>
      <c r="B399" s="67"/>
      <c r="C399" s="67"/>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4.25" customHeight="1">
      <c r="A400" s="66"/>
      <c r="B400" s="67"/>
      <c r="C400" s="67"/>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4.25" customHeight="1">
      <c r="A401" s="66"/>
      <c r="B401" s="67"/>
      <c r="C401" s="67"/>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4.25" customHeight="1">
      <c r="A402" s="66"/>
      <c r="B402" s="67"/>
      <c r="C402" s="67"/>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4.25" customHeight="1">
      <c r="A403" s="66"/>
      <c r="B403" s="67"/>
      <c r="C403" s="67"/>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4.25" customHeight="1">
      <c r="A404" s="66"/>
      <c r="B404" s="67"/>
      <c r="C404" s="67"/>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4.25" customHeight="1">
      <c r="A405" s="66"/>
      <c r="B405" s="67"/>
      <c r="C405" s="67"/>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4.25" customHeight="1">
      <c r="A406" s="66"/>
      <c r="B406" s="67"/>
      <c r="C406" s="67"/>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4.25" customHeight="1">
      <c r="A407" s="66"/>
      <c r="B407" s="67"/>
      <c r="C407" s="67"/>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4.25" customHeight="1">
      <c r="A408" s="66"/>
      <c r="B408" s="67"/>
      <c r="C408" s="67"/>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4.25" customHeight="1">
      <c r="A409" s="66"/>
      <c r="B409" s="67"/>
      <c r="C409" s="67"/>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4.25" customHeight="1">
      <c r="A410" s="66"/>
      <c r="B410" s="67"/>
      <c r="C410" s="67"/>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4.25" customHeight="1">
      <c r="A411" s="66"/>
      <c r="B411" s="67"/>
      <c r="C411" s="67"/>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4.25" customHeight="1">
      <c r="A412" s="66"/>
      <c r="B412" s="67"/>
      <c r="C412" s="67"/>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4.25" customHeight="1">
      <c r="A413" s="66"/>
      <c r="B413" s="67"/>
      <c r="C413" s="67"/>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4.25" customHeight="1">
      <c r="A414" s="66"/>
      <c r="B414" s="67"/>
      <c r="C414" s="67"/>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4.25" customHeight="1">
      <c r="A415" s="66"/>
      <c r="B415" s="67"/>
      <c r="C415" s="67"/>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4.25" customHeight="1">
      <c r="A416" s="66"/>
      <c r="B416" s="67"/>
      <c r="C416" s="67"/>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4.25" customHeight="1">
      <c r="A417" s="66"/>
      <c r="B417" s="67"/>
      <c r="C417" s="67"/>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4.25" customHeight="1">
      <c r="A418" s="66"/>
      <c r="B418" s="67"/>
      <c r="C418" s="67"/>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4.25" customHeight="1">
      <c r="A419" s="66"/>
      <c r="B419" s="67"/>
      <c r="C419" s="67"/>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4.25" customHeight="1">
      <c r="A420" s="66"/>
      <c r="B420" s="67"/>
      <c r="C420" s="67"/>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4.25" customHeight="1">
      <c r="A421" s="66"/>
      <c r="B421" s="67"/>
      <c r="C421" s="67"/>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4.25" customHeight="1">
      <c r="A422" s="66"/>
      <c r="B422" s="67"/>
      <c r="C422" s="67"/>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4.25" customHeight="1">
      <c r="A423" s="66"/>
      <c r="B423" s="67"/>
      <c r="C423" s="67"/>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4.25" customHeight="1">
      <c r="A424" s="66"/>
      <c r="B424" s="67"/>
      <c r="C424" s="67"/>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4.25" customHeight="1">
      <c r="A425" s="66"/>
      <c r="B425" s="67"/>
      <c r="C425" s="67"/>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4.25" customHeight="1">
      <c r="A426" s="66"/>
      <c r="B426" s="67"/>
      <c r="C426" s="67"/>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4.25" customHeight="1">
      <c r="A427" s="66"/>
      <c r="B427" s="67"/>
      <c r="C427" s="67"/>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4.25" customHeight="1">
      <c r="A428" s="66"/>
      <c r="B428" s="67"/>
      <c r="C428" s="67"/>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4.25" customHeight="1">
      <c r="A429" s="66"/>
      <c r="B429" s="67"/>
      <c r="C429" s="67"/>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4.25" customHeight="1">
      <c r="A430" s="66"/>
      <c r="B430" s="67"/>
      <c r="C430" s="67"/>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4.25" customHeight="1">
      <c r="A431" s="66"/>
      <c r="B431" s="67"/>
      <c r="C431" s="67"/>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4.25" customHeight="1">
      <c r="A432" s="66"/>
      <c r="B432" s="67"/>
      <c r="C432" s="67"/>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4.25" customHeight="1">
      <c r="A433" s="66"/>
      <c r="B433" s="67"/>
      <c r="C433" s="67"/>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4.25" customHeight="1">
      <c r="A434" s="66"/>
      <c r="B434" s="67"/>
      <c r="C434" s="67"/>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4.25" customHeight="1">
      <c r="A435" s="66"/>
      <c r="B435" s="67"/>
      <c r="C435" s="67"/>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4.25" customHeight="1">
      <c r="A436" s="66"/>
      <c r="B436" s="67"/>
      <c r="C436" s="67"/>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4.25" customHeight="1">
      <c r="A437" s="66"/>
      <c r="B437" s="67"/>
      <c r="C437" s="67"/>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4.25" customHeight="1">
      <c r="A438" s="66"/>
      <c r="B438" s="67"/>
      <c r="C438" s="67"/>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4.25" customHeight="1">
      <c r="A439" s="66"/>
      <c r="B439" s="67"/>
      <c r="C439" s="67"/>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4.25" customHeight="1">
      <c r="A440" s="66"/>
      <c r="B440" s="67"/>
      <c r="C440" s="67"/>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4.25" customHeight="1">
      <c r="A441" s="66"/>
      <c r="B441" s="67"/>
      <c r="C441" s="67"/>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4.25" customHeight="1">
      <c r="A442" s="66"/>
      <c r="B442" s="67"/>
      <c r="C442" s="67"/>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4.25" customHeight="1">
      <c r="A443" s="66"/>
      <c r="B443" s="67"/>
      <c r="C443" s="67"/>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4.25" customHeight="1">
      <c r="A444" s="66"/>
      <c r="B444" s="67"/>
      <c r="C444" s="67"/>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4.25" customHeight="1">
      <c r="A445" s="66"/>
      <c r="B445" s="67"/>
      <c r="C445" s="67"/>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4.25" customHeight="1">
      <c r="A446" s="66"/>
      <c r="B446" s="67"/>
      <c r="C446" s="67"/>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4.25" customHeight="1">
      <c r="A447" s="66"/>
      <c r="B447" s="67"/>
      <c r="C447" s="67"/>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4.25" customHeight="1">
      <c r="A448" s="66"/>
      <c r="B448" s="67"/>
      <c r="C448" s="67"/>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4.25" customHeight="1">
      <c r="A449" s="66"/>
      <c r="B449" s="67"/>
      <c r="C449" s="67"/>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4.25" customHeight="1">
      <c r="A450" s="66"/>
      <c r="B450" s="67"/>
      <c r="C450" s="67"/>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4.25" customHeight="1">
      <c r="A451" s="66"/>
      <c r="B451" s="67"/>
      <c r="C451" s="67"/>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4.25" customHeight="1">
      <c r="A452" s="66"/>
      <c r="B452" s="67"/>
      <c r="C452" s="67"/>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4.25" customHeight="1">
      <c r="A453" s="66"/>
      <c r="B453" s="67"/>
      <c r="C453" s="67"/>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4.25" customHeight="1">
      <c r="A454" s="66"/>
      <c r="B454" s="67"/>
      <c r="C454" s="67"/>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4.25" customHeight="1">
      <c r="A455" s="66"/>
      <c r="B455" s="67"/>
      <c r="C455" s="67"/>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4.25" customHeight="1">
      <c r="A456" s="66"/>
      <c r="B456" s="67"/>
      <c r="C456" s="67"/>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4.25" customHeight="1">
      <c r="A457" s="66"/>
      <c r="B457" s="67"/>
      <c r="C457" s="67"/>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4.25" customHeight="1">
      <c r="A458" s="66"/>
      <c r="B458" s="67"/>
      <c r="C458" s="67"/>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4.25" customHeight="1">
      <c r="A459" s="66"/>
      <c r="B459" s="67"/>
      <c r="C459" s="67"/>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4.25" customHeight="1">
      <c r="A460" s="66"/>
      <c r="B460" s="67"/>
      <c r="C460" s="67"/>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4.25" customHeight="1">
      <c r="A461" s="66"/>
      <c r="B461" s="67"/>
      <c r="C461" s="67"/>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4.25" customHeight="1">
      <c r="A462" s="66"/>
      <c r="B462" s="67"/>
      <c r="C462" s="67"/>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4.25" customHeight="1">
      <c r="A463" s="66"/>
      <c r="B463" s="67"/>
      <c r="C463" s="67"/>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4.25" customHeight="1">
      <c r="A464" s="66"/>
      <c r="B464" s="67"/>
      <c r="C464" s="67"/>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4.25" customHeight="1">
      <c r="A465" s="66"/>
      <c r="B465" s="67"/>
      <c r="C465" s="67"/>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4.25" customHeight="1">
      <c r="A466" s="66"/>
      <c r="B466" s="67"/>
      <c r="C466" s="67"/>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4.25" customHeight="1">
      <c r="A467" s="66"/>
      <c r="B467" s="67"/>
      <c r="C467" s="67"/>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4.25" customHeight="1">
      <c r="A468" s="66"/>
      <c r="B468" s="67"/>
      <c r="C468" s="67"/>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4.25" customHeight="1">
      <c r="A469" s="66"/>
      <c r="B469" s="67"/>
      <c r="C469" s="67"/>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4.25" customHeight="1">
      <c r="A470" s="66"/>
      <c r="B470" s="67"/>
      <c r="C470" s="67"/>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4.25" customHeight="1">
      <c r="A471" s="66"/>
      <c r="B471" s="67"/>
      <c r="C471" s="67"/>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4.25" customHeight="1">
      <c r="A472" s="66"/>
      <c r="B472" s="67"/>
      <c r="C472" s="67"/>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4.25" customHeight="1">
      <c r="A473" s="66"/>
      <c r="B473" s="67"/>
      <c r="C473" s="67"/>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4.25" customHeight="1">
      <c r="A474" s="66"/>
      <c r="B474" s="67"/>
      <c r="C474" s="67"/>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4.25" customHeight="1">
      <c r="A475" s="66"/>
      <c r="B475" s="67"/>
      <c r="C475" s="67"/>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4.25" customHeight="1">
      <c r="A476" s="66"/>
      <c r="B476" s="67"/>
      <c r="C476" s="67"/>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4.25" customHeight="1">
      <c r="A477" s="66"/>
      <c r="B477" s="67"/>
      <c r="C477" s="67"/>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4.25" customHeight="1">
      <c r="A478" s="66"/>
      <c r="B478" s="67"/>
      <c r="C478" s="67"/>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4.25" customHeight="1">
      <c r="A479" s="66"/>
      <c r="B479" s="67"/>
      <c r="C479" s="67"/>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4.25" customHeight="1">
      <c r="A480" s="66"/>
      <c r="B480" s="67"/>
      <c r="C480" s="67"/>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4.25" customHeight="1">
      <c r="A481" s="66"/>
      <c r="B481" s="67"/>
      <c r="C481" s="67"/>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4.25" customHeight="1">
      <c r="A482" s="66"/>
      <c r="B482" s="67"/>
      <c r="C482" s="67"/>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4.25" customHeight="1">
      <c r="A483" s="66"/>
      <c r="B483" s="67"/>
      <c r="C483" s="67"/>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4.25" customHeight="1">
      <c r="A484" s="66"/>
      <c r="B484" s="67"/>
      <c r="C484" s="67"/>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4.25" customHeight="1">
      <c r="A485" s="66"/>
      <c r="B485" s="67"/>
      <c r="C485" s="67"/>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4.25" customHeight="1">
      <c r="A486" s="66"/>
      <c r="B486" s="67"/>
      <c r="C486" s="67"/>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4.25" customHeight="1">
      <c r="A487" s="66"/>
      <c r="B487" s="67"/>
      <c r="C487" s="67"/>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4.25" customHeight="1">
      <c r="A488" s="66"/>
      <c r="B488" s="67"/>
      <c r="C488" s="67"/>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4.25" customHeight="1">
      <c r="A489" s="66"/>
      <c r="B489" s="67"/>
      <c r="C489" s="67"/>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4.25" customHeight="1">
      <c r="A490" s="66"/>
      <c r="B490" s="67"/>
      <c r="C490" s="67"/>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4.25" customHeight="1">
      <c r="A491" s="66"/>
      <c r="B491" s="67"/>
      <c r="C491" s="67"/>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4.25" customHeight="1">
      <c r="A492" s="66"/>
      <c r="B492" s="67"/>
      <c r="C492" s="67"/>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4.25" customHeight="1">
      <c r="A493" s="66"/>
      <c r="B493" s="67"/>
      <c r="C493" s="67"/>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4.25" customHeight="1">
      <c r="A494" s="66"/>
      <c r="B494" s="67"/>
      <c r="C494" s="67"/>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4.25" customHeight="1">
      <c r="A495" s="66"/>
      <c r="B495" s="67"/>
      <c r="C495" s="67"/>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4.25" customHeight="1">
      <c r="A496" s="66"/>
      <c r="B496" s="67"/>
      <c r="C496" s="67"/>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4.25" customHeight="1">
      <c r="A497" s="66"/>
      <c r="B497" s="67"/>
      <c r="C497" s="67"/>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4.25" customHeight="1">
      <c r="A498" s="66"/>
      <c r="B498" s="67"/>
      <c r="C498" s="67"/>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4.25" customHeight="1">
      <c r="A499" s="66"/>
      <c r="B499" s="67"/>
      <c r="C499" s="67"/>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4.25" customHeight="1">
      <c r="A500" s="66"/>
      <c r="B500" s="67"/>
      <c r="C500" s="67"/>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4.25" customHeight="1">
      <c r="A501" s="66"/>
      <c r="B501" s="67"/>
      <c r="C501" s="67"/>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4.25" customHeight="1">
      <c r="A502" s="66"/>
      <c r="B502" s="67"/>
      <c r="C502" s="67"/>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4.25" customHeight="1">
      <c r="A503" s="66"/>
      <c r="B503" s="67"/>
      <c r="C503" s="67"/>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4.25" customHeight="1">
      <c r="A504" s="66"/>
      <c r="B504" s="67"/>
      <c r="C504" s="67"/>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4.25" customHeight="1">
      <c r="A505" s="66"/>
      <c r="B505" s="67"/>
      <c r="C505" s="67"/>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4.25" customHeight="1">
      <c r="A506" s="66"/>
      <c r="B506" s="67"/>
      <c r="C506" s="67"/>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4.25" customHeight="1">
      <c r="A507" s="66"/>
      <c r="B507" s="67"/>
      <c r="C507" s="67"/>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4.25" customHeight="1">
      <c r="A508" s="66"/>
      <c r="B508" s="67"/>
      <c r="C508" s="67"/>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4.25" customHeight="1">
      <c r="A509" s="66"/>
      <c r="B509" s="67"/>
      <c r="C509" s="67"/>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4.25" customHeight="1">
      <c r="A510" s="66"/>
      <c r="B510" s="67"/>
      <c r="C510" s="67"/>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4.25" customHeight="1">
      <c r="A511" s="66"/>
      <c r="B511" s="67"/>
      <c r="C511" s="67"/>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4.25" customHeight="1">
      <c r="A512" s="66"/>
      <c r="B512" s="67"/>
      <c r="C512" s="67"/>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4.25" customHeight="1">
      <c r="A513" s="66"/>
      <c r="B513" s="67"/>
      <c r="C513" s="67"/>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4.25" customHeight="1">
      <c r="A514" s="66"/>
      <c r="B514" s="67"/>
      <c r="C514" s="67"/>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4.25" customHeight="1">
      <c r="A515" s="66"/>
      <c r="B515" s="67"/>
      <c r="C515" s="67"/>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4.25" customHeight="1">
      <c r="A516" s="66"/>
      <c r="B516" s="67"/>
      <c r="C516" s="67"/>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4.25" customHeight="1">
      <c r="A517" s="66"/>
      <c r="B517" s="67"/>
      <c r="C517" s="67"/>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4.25" customHeight="1">
      <c r="A518" s="66"/>
      <c r="B518" s="67"/>
      <c r="C518" s="67"/>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4.25" customHeight="1">
      <c r="A519" s="66"/>
      <c r="B519" s="67"/>
      <c r="C519" s="67"/>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4.25" customHeight="1">
      <c r="A520" s="66"/>
      <c r="B520" s="67"/>
      <c r="C520" s="67"/>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4.25" customHeight="1">
      <c r="A521" s="66"/>
      <c r="B521" s="67"/>
      <c r="C521" s="67"/>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4.25" customHeight="1">
      <c r="A522" s="66"/>
      <c r="B522" s="67"/>
      <c r="C522" s="67"/>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4.25" customHeight="1">
      <c r="A523" s="66"/>
      <c r="B523" s="67"/>
      <c r="C523" s="67"/>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4.25" customHeight="1">
      <c r="A524" s="66"/>
      <c r="B524" s="67"/>
      <c r="C524" s="67"/>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4.25" customHeight="1">
      <c r="A525" s="66"/>
      <c r="B525" s="67"/>
      <c r="C525" s="67"/>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4.25" customHeight="1">
      <c r="A526" s="66"/>
      <c r="B526" s="67"/>
      <c r="C526" s="67"/>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4.25" customHeight="1">
      <c r="A527" s="66"/>
      <c r="B527" s="67"/>
      <c r="C527" s="67"/>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4.25" customHeight="1">
      <c r="A528" s="66"/>
      <c r="B528" s="67"/>
      <c r="C528" s="67"/>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4.25" customHeight="1">
      <c r="A529" s="66"/>
      <c r="B529" s="67"/>
      <c r="C529" s="67"/>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4.25" customHeight="1">
      <c r="A530" s="66"/>
      <c r="B530" s="67"/>
      <c r="C530" s="67"/>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4.25" customHeight="1">
      <c r="A531" s="66"/>
      <c r="B531" s="67"/>
      <c r="C531" s="67"/>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4.25" customHeight="1">
      <c r="A532" s="66"/>
      <c r="B532" s="67"/>
      <c r="C532" s="67"/>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4.25" customHeight="1">
      <c r="A533" s="66"/>
      <c r="B533" s="67"/>
      <c r="C533" s="67"/>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4.25" customHeight="1">
      <c r="A534" s="66"/>
      <c r="B534" s="67"/>
      <c r="C534" s="67"/>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4.25" customHeight="1">
      <c r="A535" s="66"/>
      <c r="B535" s="67"/>
      <c r="C535" s="67"/>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4.25" customHeight="1">
      <c r="A536" s="66"/>
      <c r="B536" s="67"/>
      <c r="C536" s="67"/>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4.25" customHeight="1">
      <c r="A537" s="66"/>
      <c r="B537" s="67"/>
      <c r="C537" s="67"/>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4.25" customHeight="1">
      <c r="A538" s="66"/>
      <c r="B538" s="67"/>
      <c r="C538" s="67"/>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4.25" customHeight="1">
      <c r="A539" s="66"/>
      <c r="B539" s="67"/>
      <c r="C539" s="67"/>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4.25" customHeight="1">
      <c r="A540" s="66"/>
      <c r="B540" s="67"/>
      <c r="C540" s="67"/>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4.25" customHeight="1">
      <c r="A541" s="66"/>
      <c r="B541" s="67"/>
      <c r="C541" s="67"/>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4.25" customHeight="1">
      <c r="A542" s="66"/>
      <c r="B542" s="67"/>
      <c r="C542" s="67"/>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4.25" customHeight="1">
      <c r="A543" s="66"/>
      <c r="B543" s="67"/>
      <c r="C543" s="67"/>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4.25" customHeight="1">
      <c r="A544" s="66"/>
      <c r="B544" s="67"/>
      <c r="C544" s="67"/>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4.25" customHeight="1">
      <c r="A545" s="66"/>
      <c r="B545" s="67"/>
      <c r="C545" s="67"/>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4.25" customHeight="1">
      <c r="A546" s="66"/>
      <c r="B546" s="67"/>
      <c r="C546" s="67"/>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4.25" customHeight="1">
      <c r="A547" s="66"/>
      <c r="B547" s="67"/>
      <c r="C547" s="67"/>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4.25" customHeight="1">
      <c r="A548" s="66"/>
      <c r="B548" s="67"/>
      <c r="C548" s="67"/>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4.25" customHeight="1">
      <c r="A549" s="66"/>
      <c r="B549" s="67"/>
      <c r="C549" s="67"/>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4.25" customHeight="1">
      <c r="A550" s="66"/>
      <c r="B550" s="67"/>
      <c r="C550" s="67"/>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4.25" customHeight="1">
      <c r="A551" s="66"/>
      <c r="B551" s="67"/>
      <c r="C551" s="67"/>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4.25" customHeight="1">
      <c r="A552" s="66"/>
      <c r="B552" s="67"/>
      <c r="C552" s="67"/>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4.25" customHeight="1">
      <c r="A553" s="66"/>
      <c r="B553" s="67"/>
      <c r="C553" s="67"/>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4.25" customHeight="1">
      <c r="A554" s="66"/>
      <c r="B554" s="67"/>
      <c r="C554" s="67"/>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4.25" customHeight="1">
      <c r="A555" s="66"/>
      <c r="B555" s="67"/>
      <c r="C555" s="67"/>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4.25" customHeight="1">
      <c r="A556" s="66"/>
      <c r="B556" s="67"/>
      <c r="C556" s="67"/>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4.25" customHeight="1">
      <c r="A557" s="66"/>
      <c r="B557" s="67"/>
      <c r="C557" s="67"/>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4.25" customHeight="1">
      <c r="A558" s="66"/>
      <c r="B558" s="67"/>
      <c r="C558" s="67"/>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4.25" customHeight="1">
      <c r="A559" s="66"/>
      <c r="B559" s="67"/>
      <c r="C559" s="67"/>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4.25" customHeight="1">
      <c r="A560" s="66"/>
      <c r="B560" s="67"/>
      <c r="C560" s="67"/>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4.25" customHeight="1">
      <c r="A561" s="66"/>
      <c r="B561" s="67"/>
      <c r="C561" s="67"/>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4.25" customHeight="1">
      <c r="A562" s="66"/>
      <c r="B562" s="67"/>
      <c r="C562" s="67"/>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4.25" customHeight="1">
      <c r="A563" s="66"/>
      <c r="B563" s="67"/>
      <c r="C563" s="67"/>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4.25" customHeight="1">
      <c r="A564" s="66"/>
      <c r="B564" s="67"/>
      <c r="C564" s="67"/>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4.25" customHeight="1">
      <c r="A565" s="66"/>
      <c r="B565" s="67"/>
      <c r="C565" s="67"/>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4.25" customHeight="1">
      <c r="A566" s="66"/>
      <c r="B566" s="67"/>
      <c r="C566" s="67"/>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4.25" customHeight="1">
      <c r="A567" s="66"/>
      <c r="B567" s="67"/>
      <c r="C567" s="67"/>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4.25" customHeight="1">
      <c r="A568" s="66"/>
      <c r="B568" s="67"/>
      <c r="C568" s="67"/>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4.25" customHeight="1">
      <c r="A569" s="66"/>
      <c r="B569" s="67"/>
      <c r="C569" s="67"/>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4.25" customHeight="1">
      <c r="A570" s="66"/>
      <c r="B570" s="67"/>
      <c r="C570" s="67"/>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4.25" customHeight="1">
      <c r="A571" s="66"/>
      <c r="B571" s="67"/>
      <c r="C571" s="67"/>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4.25" customHeight="1">
      <c r="A572" s="66"/>
      <c r="B572" s="67"/>
      <c r="C572" s="67"/>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4.25" customHeight="1">
      <c r="A573" s="66"/>
      <c r="B573" s="67"/>
      <c r="C573" s="67"/>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4.25" customHeight="1">
      <c r="A574" s="66"/>
      <c r="B574" s="67"/>
      <c r="C574" s="67"/>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4.25" customHeight="1">
      <c r="A575" s="66"/>
      <c r="B575" s="67"/>
      <c r="C575" s="67"/>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4.25" customHeight="1">
      <c r="A576" s="66"/>
      <c r="B576" s="67"/>
      <c r="C576" s="67"/>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4.25" customHeight="1">
      <c r="A577" s="66"/>
      <c r="B577" s="67"/>
      <c r="C577" s="67"/>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4.25" customHeight="1">
      <c r="A578" s="66"/>
      <c r="B578" s="67"/>
      <c r="C578" s="67"/>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4.25" customHeight="1">
      <c r="A579" s="66"/>
      <c r="B579" s="67"/>
      <c r="C579" s="67"/>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4.25" customHeight="1">
      <c r="A580" s="66"/>
      <c r="B580" s="67"/>
      <c r="C580" s="67"/>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4.25" customHeight="1">
      <c r="A581" s="66"/>
      <c r="B581" s="67"/>
      <c r="C581" s="67"/>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4.25" customHeight="1">
      <c r="A582" s="66"/>
      <c r="B582" s="67"/>
      <c r="C582" s="67"/>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4.25" customHeight="1">
      <c r="A583" s="66"/>
      <c r="B583" s="67"/>
      <c r="C583" s="67"/>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4.25" customHeight="1">
      <c r="A584" s="66"/>
      <c r="B584" s="67"/>
      <c r="C584" s="67"/>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4.25" customHeight="1">
      <c r="A585" s="66"/>
      <c r="B585" s="67"/>
      <c r="C585" s="67"/>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4.25" customHeight="1">
      <c r="A586" s="66"/>
      <c r="B586" s="67"/>
      <c r="C586" s="67"/>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4.25" customHeight="1">
      <c r="A587" s="66"/>
      <c r="B587" s="67"/>
      <c r="C587" s="67"/>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4.25" customHeight="1">
      <c r="A588" s="66"/>
      <c r="B588" s="67"/>
      <c r="C588" s="67"/>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4.25" customHeight="1">
      <c r="A589" s="66"/>
      <c r="B589" s="67"/>
      <c r="C589" s="67"/>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4.25" customHeight="1">
      <c r="A590" s="66"/>
      <c r="B590" s="67"/>
      <c r="C590" s="67"/>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4.25" customHeight="1">
      <c r="A591" s="66"/>
      <c r="B591" s="67"/>
      <c r="C591" s="67"/>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4.25" customHeight="1">
      <c r="A592" s="66"/>
      <c r="B592" s="67"/>
      <c r="C592" s="67"/>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4.25" customHeight="1">
      <c r="A593" s="66"/>
      <c r="B593" s="67"/>
      <c r="C593" s="67"/>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4.25" customHeight="1">
      <c r="A594" s="66"/>
      <c r="B594" s="67"/>
      <c r="C594" s="67"/>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4.25" customHeight="1">
      <c r="A595" s="66"/>
      <c r="B595" s="67"/>
      <c r="C595" s="67"/>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4.25" customHeight="1">
      <c r="A596" s="66"/>
      <c r="B596" s="67"/>
      <c r="C596" s="67"/>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4.25" customHeight="1">
      <c r="A597" s="66"/>
      <c r="B597" s="67"/>
      <c r="C597" s="67"/>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4.25" customHeight="1">
      <c r="A598" s="66"/>
      <c r="B598" s="67"/>
      <c r="C598" s="67"/>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4.25" customHeight="1">
      <c r="A599" s="66"/>
      <c r="B599" s="67"/>
      <c r="C599" s="67"/>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4.25" customHeight="1">
      <c r="A600" s="66"/>
      <c r="B600" s="67"/>
      <c r="C600" s="67"/>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4.25" customHeight="1">
      <c r="A601" s="66"/>
      <c r="B601" s="67"/>
      <c r="C601" s="67"/>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4.25" customHeight="1">
      <c r="A602" s="66"/>
      <c r="B602" s="67"/>
      <c r="C602" s="67"/>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4.25" customHeight="1">
      <c r="A603" s="66"/>
      <c r="B603" s="67"/>
      <c r="C603" s="67"/>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4.25" customHeight="1">
      <c r="A604" s="66"/>
      <c r="B604" s="67"/>
      <c r="C604" s="67"/>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4.25" customHeight="1">
      <c r="A605" s="66"/>
      <c r="B605" s="67"/>
      <c r="C605" s="67"/>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4.25" customHeight="1">
      <c r="A606" s="66"/>
      <c r="B606" s="67"/>
      <c r="C606" s="67"/>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4.25" customHeight="1">
      <c r="A607" s="66"/>
      <c r="B607" s="67"/>
      <c r="C607" s="67"/>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4.25" customHeight="1">
      <c r="A608" s="66"/>
      <c r="B608" s="67"/>
      <c r="C608" s="67"/>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4.25" customHeight="1">
      <c r="A609" s="66"/>
      <c r="B609" s="67"/>
      <c r="C609" s="67"/>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4.25" customHeight="1">
      <c r="A610" s="66"/>
      <c r="B610" s="67"/>
      <c r="C610" s="67"/>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4.25" customHeight="1">
      <c r="A611" s="66"/>
      <c r="B611" s="67"/>
      <c r="C611" s="67"/>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4.25" customHeight="1">
      <c r="A612" s="66"/>
      <c r="B612" s="67"/>
      <c r="C612" s="67"/>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4.25" customHeight="1">
      <c r="A613" s="66"/>
      <c r="B613" s="67"/>
      <c r="C613" s="67"/>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4.25" customHeight="1">
      <c r="A614" s="66"/>
      <c r="B614" s="67"/>
      <c r="C614" s="67"/>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4.25" customHeight="1">
      <c r="A615" s="66"/>
      <c r="B615" s="67"/>
      <c r="C615" s="67"/>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4.25" customHeight="1">
      <c r="A616" s="66"/>
      <c r="B616" s="67"/>
      <c r="C616" s="67"/>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4.25" customHeight="1">
      <c r="A617" s="66"/>
      <c r="B617" s="67"/>
      <c r="C617" s="67"/>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4.25" customHeight="1">
      <c r="A618" s="66"/>
      <c r="B618" s="67"/>
      <c r="C618" s="67"/>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4.25" customHeight="1">
      <c r="A619" s="66"/>
      <c r="B619" s="67"/>
      <c r="C619" s="67"/>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4.25" customHeight="1">
      <c r="A620" s="66"/>
      <c r="B620" s="67"/>
      <c r="C620" s="67"/>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4.25" customHeight="1">
      <c r="A621" s="66"/>
      <c r="B621" s="67"/>
      <c r="C621" s="67"/>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4.25" customHeight="1">
      <c r="A622" s="66"/>
      <c r="B622" s="67"/>
      <c r="C622" s="67"/>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4.25" customHeight="1">
      <c r="A623" s="66"/>
      <c r="B623" s="67"/>
      <c r="C623" s="67"/>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4.25" customHeight="1">
      <c r="A624" s="66"/>
      <c r="B624" s="67"/>
      <c r="C624" s="67"/>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4.25" customHeight="1">
      <c r="A625" s="66"/>
      <c r="B625" s="67"/>
      <c r="C625" s="67"/>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4.25" customHeight="1">
      <c r="A626" s="66"/>
      <c r="B626" s="67"/>
      <c r="C626" s="67"/>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4.25" customHeight="1">
      <c r="A627" s="66"/>
      <c r="B627" s="67"/>
      <c r="C627" s="67"/>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4.25" customHeight="1">
      <c r="A628" s="66"/>
      <c r="B628" s="67"/>
      <c r="C628" s="67"/>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4.25" customHeight="1">
      <c r="A629" s="66"/>
      <c r="B629" s="67"/>
      <c r="C629" s="67"/>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4.25" customHeight="1">
      <c r="A630" s="66"/>
      <c r="B630" s="67"/>
      <c r="C630" s="67"/>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4.25" customHeight="1">
      <c r="A631" s="66"/>
      <c r="B631" s="67"/>
      <c r="C631" s="67"/>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4.25" customHeight="1">
      <c r="A632" s="66"/>
      <c r="B632" s="67"/>
      <c r="C632" s="67"/>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4.25" customHeight="1">
      <c r="A633" s="66"/>
      <c r="B633" s="67"/>
      <c r="C633" s="67"/>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4.25" customHeight="1">
      <c r="A634" s="66"/>
      <c r="B634" s="67"/>
      <c r="C634" s="67"/>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4.25" customHeight="1">
      <c r="A635" s="66"/>
      <c r="B635" s="67"/>
      <c r="C635" s="67"/>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4.25" customHeight="1">
      <c r="A636" s="66"/>
      <c r="B636" s="67"/>
      <c r="C636" s="67"/>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4.25" customHeight="1">
      <c r="A637" s="66"/>
      <c r="B637" s="67"/>
      <c r="C637" s="67"/>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4.25" customHeight="1">
      <c r="A638" s="66"/>
      <c r="B638" s="67"/>
      <c r="C638" s="67"/>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4.25" customHeight="1">
      <c r="A639" s="66"/>
      <c r="B639" s="67"/>
      <c r="C639" s="67"/>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4.25" customHeight="1">
      <c r="A640" s="66"/>
      <c r="B640" s="67"/>
      <c r="C640" s="67"/>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4.25" customHeight="1">
      <c r="A641" s="66"/>
      <c r="B641" s="67"/>
      <c r="C641" s="67"/>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4.25" customHeight="1">
      <c r="A642" s="66"/>
      <c r="B642" s="67"/>
      <c r="C642" s="67"/>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4.25" customHeight="1">
      <c r="A643" s="66"/>
      <c r="B643" s="67"/>
      <c r="C643" s="67"/>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4.25" customHeight="1">
      <c r="A644" s="66"/>
      <c r="B644" s="67"/>
      <c r="C644" s="67"/>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4.25" customHeight="1">
      <c r="A645" s="66"/>
      <c r="B645" s="67"/>
      <c r="C645" s="67"/>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4.25" customHeight="1">
      <c r="A646" s="66"/>
      <c r="B646" s="67"/>
      <c r="C646" s="67"/>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4.25" customHeight="1">
      <c r="A647" s="66"/>
      <c r="B647" s="67"/>
      <c r="C647" s="67"/>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4.25" customHeight="1">
      <c r="A648" s="66"/>
      <c r="B648" s="67"/>
      <c r="C648" s="67"/>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4.25" customHeight="1">
      <c r="A649" s="66"/>
      <c r="B649" s="67"/>
      <c r="C649" s="67"/>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4.25" customHeight="1">
      <c r="A650" s="66"/>
      <c r="B650" s="67"/>
      <c r="C650" s="67"/>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4.25" customHeight="1">
      <c r="A651" s="66"/>
      <c r="B651" s="67"/>
      <c r="C651" s="67"/>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4.25" customHeight="1">
      <c r="A652" s="66"/>
      <c r="B652" s="67"/>
      <c r="C652" s="67"/>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4.25" customHeight="1">
      <c r="A653" s="66"/>
      <c r="B653" s="67"/>
      <c r="C653" s="67"/>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4.25" customHeight="1">
      <c r="A654" s="66"/>
      <c r="B654" s="67"/>
      <c r="C654" s="67"/>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4.25" customHeight="1">
      <c r="A655" s="66"/>
      <c r="B655" s="67"/>
      <c r="C655" s="67"/>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4.25" customHeight="1">
      <c r="A656" s="66"/>
      <c r="B656" s="67"/>
      <c r="C656" s="67"/>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4.25" customHeight="1">
      <c r="A657" s="66"/>
      <c r="B657" s="67"/>
      <c r="C657" s="67"/>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4.25" customHeight="1">
      <c r="A658" s="66"/>
      <c r="B658" s="67"/>
      <c r="C658" s="67"/>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4.25" customHeight="1">
      <c r="A659" s="66"/>
      <c r="B659" s="67"/>
      <c r="C659" s="67"/>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4.25" customHeight="1">
      <c r="A660" s="66"/>
      <c r="B660" s="67"/>
      <c r="C660" s="67"/>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4.25" customHeight="1">
      <c r="A661" s="66"/>
      <c r="B661" s="67"/>
      <c r="C661" s="67"/>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4.25" customHeight="1">
      <c r="A662" s="66"/>
      <c r="B662" s="67"/>
      <c r="C662" s="67"/>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4.25" customHeight="1">
      <c r="A663" s="66"/>
      <c r="B663" s="67"/>
      <c r="C663" s="67"/>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4.25" customHeight="1">
      <c r="A664" s="66"/>
      <c r="B664" s="67"/>
      <c r="C664" s="67"/>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4.25" customHeight="1">
      <c r="A665" s="66"/>
      <c r="B665" s="67"/>
      <c r="C665" s="67"/>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4.25" customHeight="1">
      <c r="A666" s="66"/>
      <c r="B666" s="67"/>
      <c r="C666" s="67"/>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4.25" customHeight="1">
      <c r="A667" s="66"/>
      <c r="B667" s="67"/>
      <c r="C667" s="67"/>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4.25" customHeight="1">
      <c r="A668" s="66"/>
      <c r="B668" s="67"/>
      <c r="C668" s="67"/>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4.25" customHeight="1">
      <c r="A669" s="66"/>
      <c r="B669" s="67"/>
      <c r="C669" s="67"/>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4.25" customHeight="1">
      <c r="A670" s="66"/>
      <c r="B670" s="67"/>
      <c r="C670" s="67"/>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4.25" customHeight="1">
      <c r="A671" s="66"/>
      <c r="B671" s="67"/>
      <c r="C671" s="67"/>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4.25" customHeight="1">
      <c r="A672" s="66"/>
      <c r="B672" s="67"/>
      <c r="C672" s="67"/>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4.25" customHeight="1">
      <c r="A673" s="66"/>
      <c r="B673" s="67"/>
      <c r="C673" s="67"/>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4.25" customHeight="1">
      <c r="A674" s="66"/>
      <c r="B674" s="67"/>
      <c r="C674" s="67"/>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4.25" customHeight="1">
      <c r="A675" s="66"/>
      <c r="B675" s="67"/>
      <c r="C675" s="67"/>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4.25" customHeight="1">
      <c r="A676" s="66"/>
      <c r="B676" s="67"/>
      <c r="C676" s="67"/>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4.25" customHeight="1">
      <c r="A677" s="66"/>
      <c r="B677" s="67"/>
      <c r="C677" s="67"/>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4.25" customHeight="1">
      <c r="A678" s="66"/>
      <c r="B678" s="67"/>
      <c r="C678" s="67"/>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4.25" customHeight="1">
      <c r="A679" s="66"/>
      <c r="B679" s="67"/>
      <c r="C679" s="67"/>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4.25" customHeight="1">
      <c r="A680" s="66"/>
      <c r="B680" s="67"/>
      <c r="C680" s="67"/>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4.25" customHeight="1">
      <c r="A681" s="66"/>
      <c r="B681" s="67"/>
      <c r="C681" s="67"/>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4.25" customHeight="1">
      <c r="A682" s="66"/>
      <c r="B682" s="67"/>
      <c r="C682" s="67"/>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4.25" customHeight="1">
      <c r="A683" s="66"/>
      <c r="B683" s="67"/>
      <c r="C683" s="67"/>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4.25" customHeight="1">
      <c r="A684" s="66"/>
      <c r="B684" s="67"/>
      <c r="C684" s="67"/>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4.25" customHeight="1">
      <c r="A685" s="66"/>
      <c r="B685" s="67"/>
      <c r="C685" s="67"/>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4.25" customHeight="1">
      <c r="A686" s="66"/>
      <c r="B686" s="67"/>
      <c r="C686" s="67"/>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4.25" customHeight="1">
      <c r="A687" s="66"/>
      <c r="B687" s="67"/>
      <c r="C687" s="67"/>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4.25" customHeight="1">
      <c r="A688" s="66"/>
      <c r="B688" s="67"/>
      <c r="C688" s="67"/>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4.25" customHeight="1">
      <c r="A689" s="66"/>
      <c r="B689" s="67"/>
      <c r="C689" s="67"/>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4.25" customHeight="1">
      <c r="A690" s="66"/>
      <c r="B690" s="67"/>
      <c r="C690" s="67"/>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4.25" customHeight="1">
      <c r="A691" s="66"/>
      <c r="B691" s="67"/>
      <c r="C691" s="67"/>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4.25" customHeight="1">
      <c r="A692" s="66"/>
      <c r="B692" s="67"/>
      <c r="C692" s="67"/>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4.25" customHeight="1">
      <c r="A693" s="66"/>
      <c r="B693" s="67"/>
      <c r="C693" s="67"/>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4.25" customHeight="1">
      <c r="A694" s="66"/>
      <c r="B694" s="67"/>
      <c r="C694" s="67"/>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4.25" customHeight="1">
      <c r="A695" s="66"/>
      <c r="B695" s="67"/>
      <c r="C695" s="67"/>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4.25" customHeight="1">
      <c r="A696" s="66"/>
      <c r="B696" s="67"/>
      <c r="C696" s="67"/>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4.25" customHeight="1">
      <c r="A697" s="66"/>
      <c r="B697" s="67"/>
      <c r="C697" s="67"/>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4.25" customHeight="1">
      <c r="A698" s="66"/>
      <c r="B698" s="67"/>
      <c r="C698" s="67"/>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4.25" customHeight="1">
      <c r="A699" s="66"/>
      <c r="B699" s="67"/>
      <c r="C699" s="67"/>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4.25" customHeight="1">
      <c r="A700" s="66"/>
      <c r="B700" s="67"/>
      <c r="C700" s="67"/>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4.25" customHeight="1">
      <c r="A701" s="66"/>
      <c r="B701" s="67"/>
      <c r="C701" s="67"/>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4.25" customHeight="1">
      <c r="A702" s="66"/>
      <c r="B702" s="67"/>
      <c r="C702" s="67"/>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4.25" customHeight="1">
      <c r="A703" s="66"/>
      <c r="B703" s="67"/>
      <c r="C703" s="67"/>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4.25" customHeight="1">
      <c r="A704" s="66"/>
      <c r="B704" s="67"/>
      <c r="C704" s="67"/>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4.25" customHeight="1">
      <c r="A705" s="66"/>
      <c r="B705" s="67"/>
      <c r="C705" s="67"/>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4.25" customHeight="1">
      <c r="A706" s="66"/>
      <c r="B706" s="67"/>
      <c r="C706" s="67"/>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4.25" customHeight="1">
      <c r="A707" s="66"/>
      <c r="B707" s="67"/>
      <c r="C707" s="67"/>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4.25" customHeight="1">
      <c r="A708" s="66"/>
      <c r="B708" s="67"/>
      <c r="C708" s="67"/>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4.25" customHeight="1">
      <c r="A709" s="66"/>
      <c r="B709" s="67"/>
      <c r="C709" s="67"/>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4.25" customHeight="1">
      <c r="A710" s="66"/>
      <c r="B710" s="67"/>
      <c r="C710" s="67"/>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4.25" customHeight="1">
      <c r="A711" s="66"/>
      <c r="B711" s="67"/>
      <c r="C711" s="67"/>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4.25" customHeight="1">
      <c r="A712" s="66"/>
      <c r="B712" s="67"/>
      <c r="C712" s="67"/>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4.25" customHeight="1">
      <c r="A713" s="66"/>
      <c r="B713" s="67"/>
      <c r="C713" s="67"/>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4.25" customHeight="1">
      <c r="A714" s="66"/>
      <c r="B714" s="67"/>
      <c r="C714" s="67"/>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4.25" customHeight="1">
      <c r="A715" s="66"/>
      <c r="B715" s="67"/>
      <c r="C715" s="67"/>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4.25" customHeight="1">
      <c r="A716" s="66"/>
      <c r="B716" s="67"/>
      <c r="C716" s="67"/>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4.25" customHeight="1">
      <c r="A717" s="66"/>
      <c r="B717" s="67"/>
      <c r="C717" s="67"/>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4.25" customHeight="1">
      <c r="A718" s="66"/>
      <c r="B718" s="67"/>
      <c r="C718" s="67"/>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4.25" customHeight="1">
      <c r="A719" s="66"/>
      <c r="B719" s="67"/>
      <c r="C719" s="67"/>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4.25" customHeight="1">
      <c r="A720" s="66"/>
      <c r="B720" s="67"/>
      <c r="C720" s="67"/>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4.25" customHeight="1">
      <c r="A721" s="66"/>
      <c r="B721" s="67"/>
      <c r="C721" s="67"/>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4.25" customHeight="1">
      <c r="A722" s="66"/>
      <c r="B722" s="67"/>
      <c r="C722" s="67"/>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4.25" customHeight="1">
      <c r="A723" s="66"/>
      <c r="B723" s="67"/>
      <c r="C723" s="67"/>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4.25" customHeight="1">
      <c r="A724" s="66"/>
      <c r="B724" s="67"/>
      <c r="C724" s="67"/>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4.25" customHeight="1">
      <c r="A725" s="66"/>
      <c r="B725" s="67"/>
      <c r="C725" s="67"/>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4.25" customHeight="1">
      <c r="A726" s="66"/>
      <c r="B726" s="67"/>
      <c r="C726" s="67"/>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4.25" customHeight="1">
      <c r="A727" s="66"/>
      <c r="B727" s="67"/>
      <c r="C727" s="67"/>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4.25" customHeight="1">
      <c r="A728" s="66"/>
      <c r="B728" s="67"/>
      <c r="C728" s="67"/>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4.25" customHeight="1">
      <c r="A729" s="66"/>
      <c r="B729" s="67"/>
      <c r="C729" s="67"/>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4.25" customHeight="1">
      <c r="A730" s="66"/>
      <c r="B730" s="67"/>
      <c r="C730" s="67"/>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4.25" customHeight="1">
      <c r="A731" s="66"/>
      <c r="B731" s="67"/>
      <c r="C731" s="67"/>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4.25" customHeight="1">
      <c r="A732" s="66"/>
      <c r="B732" s="67"/>
      <c r="C732" s="67"/>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4.25" customHeight="1">
      <c r="A733" s="66"/>
      <c r="B733" s="67"/>
      <c r="C733" s="67"/>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4.25" customHeight="1">
      <c r="A734" s="66"/>
      <c r="B734" s="67"/>
      <c r="C734" s="67"/>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4.25" customHeight="1">
      <c r="A735" s="66"/>
      <c r="B735" s="67"/>
      <c r="C735" s="67"/>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4.25" customHeight="1">
      <c r="A736" s="66"/>
      <c r="B736" s="67"/>
      <c r="C736" s="67"/>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4.25" customHeight="1">
      <c r="A737" s="66"/>
      <c r="B737" s="67"/>
      <c r="C737" s="67"/>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4.25" customHeight="1">
      <c r="A738" s="66"/>
      <c r="B738" s="67"/>
      <c r="C738" s="67"/>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4.25" customHeight="1">
      <c r="A739" s="66"/>
      <c r="B739" s="67"/>
      <c r="C739" s="67"/>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4.25" customHeight="1">
      <c r="A740" s="66"/>
      <c r="B740" s="67"/>
      <c r="C740" s="67"/>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4.25" customHeight="1">
      <c r="A741" s="66"/>
      <c r="B741" s="67"/>
      <c r="C741" s="67"/>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4.25" customHeight="1">
      <c r="A742" s="66"/>
      <c r="B742" s="67"/>
      <c r="C742" s="67"/>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4.25" customHeight="1">
      <c r="A743" s="66"/>
      <c r="B743" s="67"/>
      <c r="C743" s="67"/>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4.25" customHeight="1">
      <c r="A744" s="66"/>
      <c r="B744" s="67"/>
      <c r="C744" s="67"/>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4.25" customHeight="1">
      <c r="A745" s="66"/>
      <c r="B745" s="67"/>
      <c r="C745" s="67"/>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4.25" customHeight="1">
      <c r="A746" s="66"/>
      <c r="B746" s="67"/>
      <c r="C746" s="67"/>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4.25" customHeight="1">
      <c r="A747" s="66"/>
      <c r="B747" s="67"/>
      <c r="C747" s="67"/>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4.25" customHeight="1">
      <c r="A748" s="66"/>
      <c r="B748" s="67"/>
      <c r="C748" s="67"/>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4.25" customHeight="1">
      <c r="A749" s="66"/>
      <c r="B749" s="67"/>
      <c r="C749" s="67"/>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4.25" customHeight="1">
      <c r="A750" s="66"/>
      <c r="B750" s="67"/>
      <c r="C750" s="67"/>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4.25" customHeight="1">
      <c r="A751" s="66"/>
      <c r="B751" s="67"/>
      <c r="C751" s="67"/>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4.25" customHeight="1">
      <c r="A752" s="66"/>
      <c r="B752" s="67"/>
      <c r="C752" s="67"/>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4.25" customHeight="1">
      <c r="A753" s="66"/>
      <c r="B753" s="67"/>
      <c r="C753" s="67"/>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4.25" customHeight="1">
      <c r="A754" s="66"/>
      <c r="B754" s="67"/>
      <c r="C754" s="67"/>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4.25" customHeight="1">
      <c r="A755" s="66"/>
      <c r="B755" s="67"/>
      <c r="C755" s="67"/>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4.25" customHeight="1">
      <c r="A756" s="66"/>
      <c r="B756" s="67"/>
      <c r="C756" s="67"/>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4.25" customHeight="1">
      <c r="A757" s="66"/>
      <c r="B757" s="67"/>
      <c r="C757" s="67"/>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4.25" customHeight="1">
      <c r="A758" s="66"/>
      <c r="B758" s="67"/>
      <c r="C758" s="67"/>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4.25" customHeight="1">
      <c r="A759" s="66"/>
      <c r="B759" s="67"/>
      <c r="C759" s="67"/>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4.25" customHeight="1">
      <c r="A760" s="66"/>
      <c r="B760" s="67"/>
      <c r="C760" s="67"/>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4.25" customHeight="1">
      <c r="A761" s="66"/>
      <c r="B761" s="67"/>
      <c r="C761" s="67"/>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4.25" customHeight="1">
      <c r="A762" s="66"/>
      <c r="B762" s="67"/>
      <c r="C762" s="67"/>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4.25" customHeight="1">
      <c r="A763" s="66"/>
      <c r="B763" s="67"/>
      <c r="C763" s="67"/>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4.25" customHeight="1">
      <c r="A764" s="66"/>
      <c r="B764" s="67"/>
      <c r="C764" s="67"/>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4.25" customHeight="1">
      <c r="A765" s="66"/>
      <c r="B765" s="67"/>
      <c r="C765" s="67"/>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4.25" customHeight="1">
      <c r="A766" s="66"/>
      <c r="B766" s="67"/>
      <c r="C766" s="67"/>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4.25" customHeight="1">
      <c r="A767" s="66"/>
      <c r="B767" s="67"/>
      <c r="C767" s="67"/>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4.25" customHeight="1">
      <c r="A768" s="66"/>
      <c r="B768" s="67"/>
      <c r="C768" s="67"/>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4.25" customHeight="1">
      <c r="A769" s="66"/>
      <c r="B769" s="67"/>
      <c r="C769" s="67"/>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4.25" customHeight="1">
      <c r="A770" s="66"/>
      <c r="B770" s="67"/>
      <c r="C770" s="67"/>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4.25" customHeight="1">
      <c r="A771" s="66"/>
      <c r="B771" s="67"/>
      <c r="C771" s="67"/>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4.25" customHeight="1">
      <c r="A772" s="66"/>
      <c r="B772" s="67"/>
      <c r="C772" s="67"/>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4.25" customHeight="1">
      <c r="A773" s="66"/>
      <c r="B773" s="67"/>
      <c r="C773" s="67"/>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4.25" customHeight="1">
      <c r="A774" s="66"/>
      <c r="B774" s="67"/>
      <c r="C774" s="67"/>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4.25" customHeight="1">
      <c r="A775" s="66"/>
      <c r="B775" s="67"/>
      <c r="C775" s="67"/>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4.25" customHeight="1">
      <c r="A776" s="66"/>
      <c r="B776" s="67"/>
      <c r="C776" s="67"/>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4.25" customHeight="1">
      <c r="A777" s="66"/>
      <c r="B777" s="67"/>
      <c r="C777" s="67"/>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4.25" customHeight="1">
      <c r="A778" s="66"/>
      <c r="B778" s="67"/>
      <c r="C778" s="67"/>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4.25" customHeight="1">
      <c r="A779" s="66"/>
      <c r="B779" s="67"/>
      <c r="C779" s="67"/>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4.25" customHeight="1">
      <c r="A780" s="66"/>
      <c r="B780" s="67"/>
      <c r="C780" s="67"/>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4.25" customHeight="1">
      <c r="A781" s="66"/>
      <c r="B781" s="67"/>
      <c r="C781" s="67"/>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4.25" customHeight="1">
      <c r="A782" s="66"/>
      <c r="B782" s="67"/>
      <c r="C782" s="67"/>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4.25" customHeight="1">
      <c r="A783" s="66"/>
      <c r="B783" s="67"/>
      <c r="C783" s="67"/>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4.25" customHeight="1">
      <c r="A784" s="66"/>
      <c r="B784" s="67"/>
      <c r="C784" s="67"/>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4.25" customHeight="1">
      <c r="A785" s="66"/>
      <c r="B785" s="67"/>
      <c r="C785" s="67"/>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4.25" customHeight="1">
      <c r="A786" s="66"/>
      <c r="B786" s="67"/>
      <c r="C786" s="67"/>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4.25" customHeight="1">
      <c r="A787" s="66"/>
      <c r="B787" s="67"/>
      <c r="C787" s="67"/>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4.25" customHeight="1">
      <c r="A788" s="66"/>
      <c r="B788" s="67"/>
      <c r="C788" s="67"/>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4.25" customHeight="1">
      <c r="A789" s="66"/>
      <c r="B789" s="67"/>
      <c r="C789" s="67"/>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4.25" customHeight="1">
      <c r="A790" s="66"/>
      <c r="B790" s="67"/>
      <c r="C790" s="67"/>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4.25" customHeight="1">
      <c r="A791" s="66"/>
      <c r="B791" s="67"/>
      <c r="C791" s="67"/>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4.25" customHeight="1">
      <c r="A792" s="66"/>
      <c r="B792" s="67"/>
      <c r="C792" s="67"/>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4.25" customHeight="1">
      <c r="A793" s="66"/>
      <c r="B793" s="67"/>
      <c r="C793" s="67"/>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4.25" customHeight="1">
      <c r="A794" s="66"/>
      <c r="B794" s="67"/>
      <c r="C794" s="67"/>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4.25" customHeight="1">
      <c r="A795" s="66"/>
      <c r="B795" s="67"/>
      <c r="C795" s="67"/>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4.25" customHeight="1">
      <c r="A796" s="66"/>
      <c r="B796" s="67"/>
      <c r="C796" s="67"/>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4.25" customHeight="1">
      <c r="A797" s="66"/>
      <c r="B797" s="67"/>
      <c r="C797" s="67"/>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4.25" customHeight="1">
      <c r="A798" s="66"/>
      <c r="B798" s="67"/>
      <c r="C798" s="67"/>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4.25" customHeight="1">
      <c r="A799" s="66"/>
      <c r="B799" s="67"/>
      <c r="C799" s="67"/>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4.25" customHeight="1">
      <c r="A800" s="66"/>
      <c r="B800" s="67"/>
      <c r="C800" s="67"/>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4.25" customHeight="1">
      <c r="A801" s="66"/>
      <c r="B801" s="67"/>
      <c r="C801" s="67"/>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4.25" customHeight="1">
      <c r="A802" s="66"/>
      <c r="B802" s="67"/>
      <c r="C802" s="67"/>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4.25" customHeight="1">
      <c r="A803" s="66"/>
      <c r="B803" s="67"/>
      <c r="C803" s="67"/>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4.25" customHeight="1">
      <c r="A804" s="66"/>
      <c r="B804" s="67"/>
      <c r="C804" s="67"/>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4.25" customHeight="1">
      <c r="A805" s="66"/>
      <c r="B805" s="67"/>
      <c r="C805" s="67"/>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4.25" customHeight="1">
      <c r="A806" s="66"/>
      <c r="B806" s="67"/>
      <c r="C806" s="67"/>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4.25" customHeight="1">
      <c r="A807" s="66"/>
      <c r="B807" s="67"/>
      <c r="C807" s="67"/>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4.25" customHeight="1">
      <c r="A808" s="66"/>
      <c r="B808" s="67"/>
      <c r="C808" s="67"/>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4.25" customHeight="1">
      <c r="A809" s="66"/>
      <c r="B809" s="67"/>
      <c r="C809" s="67"/>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4.25" customHeight="1">
      <c r="A810" s="66"/>
      <c r="B810" s="67"/>
      <c r="C810" s="67"/>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4.25" customHeight="1">
      <c r="A811" s="66"/>
      <c r="B811" s="67"/>
      <c r="C811" s="67"/>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4.25" customHeight="1">
      <c r="A812" s="66"/>
      <c r="B812" s="67"/>
      <c r="C812" s="67"/>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4.25" customHeight="1">
      <c r="A813" s="66"/>
      <c r="B813" s="67"/>
      <c r="C813" s="67"/>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4.25" customHeight="1">
      <c r="A814" s="66"/>
      <c r="B814" s="67"/>
      <c r="C814" s="67"/>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4.25" customHeight="1">
      <c r="A815" s="66"/>
      <c r="B815" s="67"/>
      <c r="C815" s="67"/>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4.25" customHeight="1">
      <c r="A816" s="66"/>
      <c r="B816" s="67"/>
      <c r="C816" s="67"/>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4.25" customHeight="1">
      <c r="A817" s="66"/>
      <c r="B817" s="67"/>
      <c r="C817" s="67"/>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4.25" customHeight="1">
      <c r="A818" s="66"/>
      <c r="B818" s="67"/>
      <c r="C818" s="67"/>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4.25" customHeight="1">
      <c r="A819" s="66"/>
      <c r="B819" s="67"/>
      <c r="C819" s="67"/>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4.25" customHeight="1">
      <c r="A820" s="66"/>
      <c r="B820" s="67"/>
      <c r="C820" s="67"/>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4.25" customHeight="1">
      <c r="A821" s="66"/>
      <c r="B821" s="67"/>
      <c r="C821" s="67"/>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4.25" customHeight="1">
      <c r="A822" s="66"/>
      <c r="B822" s="67"/>
      <c r="C822" s="67"/>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4.25" customHeight="1">
      <c r="A823" s="66"/>
      <c r="B823" s="67"/>
      <c r="C823" s="67"/>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4.25" customHeight="1">
      <c r="A824" s="66"/>
      <c r="B824" s="67"/>
      <c r="C824" s="67"/>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4.25" customHeight="1">
      <c r="A825" s="66"/>
      <c r="B825" s="67"/>
      <c r="C825" s="67"/>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4.25" customHeight="1">
      <c r="A826" s="66"/>
      <c r="B826" s="67"/>
      <c r="C826" s="67"/>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4.25" customHeight="1">
      <c r="A827" s="66"/>
      <c r="B827" s="67"/>
      <c r="C827" s="67"/>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4.25" customHeight="1">
      <c r="A828" s="66"/>
      <c r="B828" s="67"/>
      <c r="C828" s="67"/>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4.25" customHeight="1">
      <c r="A829" s="66"/>
      <c r="B829" s="67"/>
      <c r="C829" s="67"/>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4.25" customHeight="1">
      <c r="A830" s="66"/>
      <c r="B830" s="67"/>
      <c r="C830" s="67"/>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4.25" customHeight="1">
      <c r="A831" s="66"/>
      <c r="B831" s="67"/>
      <c r="C831" s="67"/>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4.25" customHeight="1">
      <c r="A832" s="66"/>
      <c r="B832" s="67"/>
      <c r="C832" s="67"/>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4.25" customHeight="1">
      <c r="A833" s="66"/>
      <c r="B833" s="67"/>
      <c r="C833" s="67"/>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4.25" customHeight="1">
      <c r="A834" s="66"/>
      <c r="B834" s="67"/>
      <c r="C834" s="67"/>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4.25" customHeight="1">
      <c r="A835" s="66"/>
      <c r="B835" s="67"/>
      <c r="C835" s="67"/>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4.25" customHeight="1">
      <c r="A836" s="66"/>
      <c r="B836" s="67"/>
      <c r="C836" s="67"/>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4.25" customHeight="1">
      <c r="A837" s="66"/>
      <c r="B837" s="67"/>
      <c r="C837" s="67"/>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4.25" customHeight="1">
      <c r="A838" s="66"/>
      <c r="B838" s="67"/>
      <c r="C838" s="67"/>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4.25" customHeight="1">
      <c r="A839" s="66"/>
      <c r="B839" s="67"/>
      <c r="C839" s="67"/>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4.25" customHeight="1">
      <c r="A840" s="66"/>
      <c r="B840" s="67"/>
      <c r="C840" s="67"/>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4.25" customHeight="1">
      <c r="A841" s="66"/>
      <c r="B841" s="67"/>
      <c r="C841" s="67"/>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4.25" customHeight="1">
      <c r="A842" s="66"/>
      <c r="B842" s="67"/>
      <c r="C842" s="67"/>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4.25" customHeight="1">
      <c r="A843" s="66"/>
      <c r="B843" s="67"/>
      <c r="C843" s="67"/>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4.25" customHeight="1">
      <c r="A844" s="66"/>
      <c r="B844" s="67"/>
      <c r="C844" s="67"/>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4.25" customHeight="1">
      <c r="A845" s="66"/>
      <c r="B845" s="67"/>
      <c r="C845" s="67"/>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4.25" customHeight="1">
      <c r="A846" s="66"/>
      <c r="B846" s="67"/>
      <c r="C846" s="67"/>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4.25" customHeight="1">
      <c r="A847" s="66"/>
      <c r="B847" s="67"/>
      <c r="C847" s="67"/>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4.25" customHeight="1">
      <c r="A848" s="66"/>
      <c r="B848" s="67"/>
      <c r="C848" s="67"/>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4.25" customHeight="1">
      <c r="A849" s="66"/>
      <c r="B849" s="67"/>
      <c r="C849" s="67"/>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4.25" customHeight="1">
      <c r="A850" s="66"/>
      <c r="B850" s="67"/>
      <c r="C850" s="67"/>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4.25" customHeight="1">
      <c r="A851" s="66"/>
      <c r="B851" s="67"/>
      <c r="C851" s="67"/>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4.25" customHeight="1">
      <c r="A852" s="66"/>
      <c r="B852" s="67"/>
      <c r="C852" s="67"/>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4.25" customHeight="1">
      <c r="A853" s="66"/>
      <c r="B853" s="67"/>
      <c r="C853" s="67"/>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4.25" customHeight="1">
      <c r="A854" s="66"/>
      <c r="B854" s="67"/>
      <c r="C854" s="67"/>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4.25" customHeight="1">
      <c r="A855" s="66"/>
      <c r="B855" s="67"/>
      <c r="C855" s="67"/>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4.25" customHeight="1">
      <c r="A856" s="66"/>
      <c r="B856" s="67"/>
      <c r="C856" s="67"/>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4.25" customHeight="1">
      <c r="A857" s="66"/>
      <c r="B857" s="67"/>
      <c r="C857" s="67"/>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4.25" customHeight="1">
      <c r="A858" s="66"/>
      <c r="B858" s="67"/>
      <c r="C858" s="67"/>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4.25" customHeight="1">
      <c r="A859" s="66"/>
      <c r="B859" s="67"/>
      <c r="C859" s="67"/>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4.25" customHeight="1">
      <c r="A860" s="66"/>
      <c r="B860" s="67"/>
      <c r="C860" s="67"/>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4.25" customHeight="1">
      <c r="A861" s="66"/>
      <c r="B861" s="67"/>
      <c r="C861" s="67"/>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4.25" customHeight="1">
      <c r="A862" s="66"/>
      <c r="B862" s="67"/>
      <c r="C862" s="67"/>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4.25" customHeight="1">
      <c r="A863" s="66"/>
      <c r="B863" s="67"/>
      <c r="C863" s="67"/>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4.25" customHeight="1">
      <c r="A864" s="66"/>
      <c r="B864" s="67"/>
      <c r="C864" s="67"/>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4.25" customHeight="1">
      <c r="A865" s="66"/>
      <c r="B865" s="67"/>
      <c r="C865" s="67"/>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4.25" customHeight="1">
      <c r="A866" s="66"/>
      <c r="B866" s="67"/>
      <c r="C866" s="67"/>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4.25" customHeight="1">
      <c r="A867" s="66"/>
      <c r="B867" s="67"/>
      <c r="C867" s="67"/>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4.25" customHeight="1">
      <c r="A868" s="66"/>
      <c r="B868" s="67"/>
      <c r="C868" s="67"/>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4.25" customHeight="1">
      <c r="A869" s="66"/>
      <c r="B869" s="67"/>
      <c r="C869" s="67"/>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4.25" customHeight="1">
      <c r="A870" s="66"/>
      <c r="B870" s="67"/>
      <c r="C870" s="67"/>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4.25" customHeight="1">
      <c r="A871" s="66"/>
      <c r="B871" s="67"/>
      <c r="C871" s="67"/>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4.25" customHeight="1">
      <c r="A872" s="66"/>
      <c r="B872" s="67"/>
      <c r="C872" s="67"/>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4.25" customHeight="1">
      <c r="A873" s="66"/>
      <c r="B873" s="67"/>
      <c r="C873" s="67"/>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4.25" customHeight="1">
      <c r="A874" s="66"/>
      <c r="B874" s="67"/>
      <c r="C874" s="67"/>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4.25" customHeight="1">
      <c r="A875" s="66"/>
      <c r="B875" s="67"/>
      <c r="C875" s="67"/>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4.25" customHeight="1">
      <c r="A876" s="66"/>
      <c r="B876" s="67"/>
      <c r="C876" s="67"/>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4.25" customHeight="1">
      <c r="A877" s="66"/>
      <c r="B877" s="67"/>
      <c r="C877" s="67"/>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4.25" customHeight="1">
      <c r="A878" s="66"/>
      <c r="B878" s="67"/>
      <c r="C878" s="67"/>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4.25" customHeight="1">
      <c r="A879" s="66"/>
      <c r="B879" s="67"/>
      <c r="C879" s="67"/>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4.25" customHeight="1">
      <c r="A880" s="66"/>
      <c r="B880" s="67"/>
      <c r="C880" s="67"/>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4.25" customHeight="1">
      <c r="A881" s="66"/>
      <c r="B881" s="67"/>
      <c r="C881" s="67"/>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4.25" customHeight="1">
      <c r="A882" s="66"/>
      <c r="B882" s="67"/>
      <c r="C882" s="67"/>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4.25" customHeight="1">
      <c r="A883" s="66"/>
      <c r="B883" s="67"/>
      <c r="C883" s="67"/>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4.25" customHeight="1">
      <c r="A884" s="66"/>
      <c r="B884" s="67"/>
      <c r="C884" s="67"/>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4.25" customHeight="1">
      <c r="A885" s="66"/>
      <c r="B885" s="67"/>
      <c r="C885" s="67"/>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4.25" customHeight="1">
      <c r="A886" s="66"/>
      <c r="B886" s="67"/>
      <c r="C886" s="67"/>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4.25" customHeight="1">
      <c r="A887" s="66"/>
      <c r="B887" s="67"/>
      <c r="C887" s="67"/>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4.25" customHeight="1">
      <c r="A888" s="66"/>
      <c r="B888" s="67"/>
      <c r="C888" s="67"/>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4.25" customHeight="1">
      <c r="A889" s="66"/>
      <c r="B889" s="67"/>
      <c r="C889" s="67"/>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4.25" customHeight="1">
      <c r="A890" s="66"/>
      <c r="B890" s="67"/>
      <c r="C890" s="67"/>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4.25" customHeight="1">
      <c r="A891" s="66"/>
      <c r="B891" s="67"/>
      <c r="C891" s="67"/>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4.25" customHeight="1">
      <c r="A892" s="66"/>
      <c r="B892" s="67"/>
      <c r="C892" s="67"/>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4.25" customHeight="1">
      <c r="A893" s="66"/>
      <c r="B893" s="67"/>
      <c r="C893" s="67"/>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4.25" customHeight="1">
      <c r="A894" s="66"/>
      <c r="B894" s="67"/>
      <c r="C894" s="67"/>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4.25" customHeight="1">
      <c r="A895" s="66"/>
      <c r="B895" s="67"/>
      <c r="C895" s="67"/>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4.25" customHeight="1">
      <c r="A896" s="66"/>
      <c r="B896" s="67"/>
      <c r="C896" s="67"/>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4.25" customHeight="1">
      <c r="A897" s="66"/>
      <c r="B897" s="67"/>
      <c r="C897" s="67"/>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4.25" customHeight="1">
      <c r="A898" s="66"/>
      <c r="B898" s="67"/>
      <c r="C898" s="67"/>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4.25" customHeight="1">
      <c r="A899" s="66"/>
      <c r="B899" s="67"/>
      <c r="C899" s="67"/>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4.25" customHeight="1">
      <c r="A900" s="66"/>
      <c r="B900" s="67"/>
      <c r="C900" s="67"/>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4.25" customHeight="1">
      <c r="A901" s="66"/>
      <c r="B901" s="67"/>
      <c r="C901" s="67"/>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4.25" customHeight="1">
      <c r="A902" s="66"/>
      <c r="B902" s="67"/>
      <c r="C902" s="67"/>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4.25" customHeight="1">
      <c r="A903" s="66"/>
      <c r="B903" s="67"/>
      <c r="C903" s="67"/>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4.25" customHeight="1">
      <c r="A904" s="66"/>
      <c r="B904" s="67"/>
      <c r="C904" s="67"/>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4.25" customHeight="1">
      <c r="A905" s="66"/>
      <c r="B905" s="67"/>
      <c r="C905" s="67"/>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4.25" customHeight="1">
      <c r="A906" s="66"/>
      <c r="B906" s="67"/>
      <c r="C906" s="67"/>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4.25" customHeight="1">
      <c r="A907" s="66"/>
      <c r="B907" s="67"/>
      <c r="C907" s="67"/>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4.25" customHeight="1">
      <c r="A908" s="66"/>
      <c r="B908" s="67"/>
      <c r="C908" s="67"/>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4.25" customHeight="1">
      <c r="A909" s="66"/>
      <c r="B909" s="67"/>
      <c r="C909" s="67"/>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4.25" customHeight="1">
      <c r="A910" s="66"/>
      <c r="B910" s="67"/>
      <c r="C910" s="67"/>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4.25" customHeight="1">
      <c r="A911" s="66"/>
      <c r="B911" s="67"/>
      <c r="C911" s="67"/>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4.25" customHeight="1">
      <c r="A912" s="66"/>
      <c r="B912" s="67"/>
      <c r="C912" s="67"/>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4.25" customHeight="1">
      <c r="A913" s="66"/>
      <c r="B913" s="67"/>
      <c r="C913" s="67"/>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4.25" customHeight="1">
      <c r="A914" s="66"/>
      <c r="B914" s="67"/>
      <c r="C914" s="67"/>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4.25" customHeight="1">
      <c r="A915" s="66"/>
      <c r="B915" s="67"/>
      <c r="C915" s="67"/>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4.25" customHeight="1">
      <c r="A916" s="66"/>
      <c r="B916" s="67"/>
      <c r="C916" s="67"/>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4.25" customHeight="1">
      <c r="A917" s="66"/>
      <c r="B917" s="67"/>
      <c r="C917" s="67"/>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4.25" customHeight="1">
      <c r="A918" s="66"/>
      <c r="B918" s="67"/>
      <c r="C918" s="67"/>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4.25" customHeight="1">
      <c r="A919" s="66"/>
      <c r="B919" s="67"/>
      <c r="C919" s="67"/>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4.25" customHeight="1">
      <c r="A920" s="66"/>
      <c r="B920" s="67"/>
      <c r="C920" s="67"/>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4.25" customHeight="1">
      <c r="A921" s="66"/>
      <c r="B921" s="67"/>
      <c r="C921" s="67"/>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4.25" customHeight="1">
      <c r="A922" s="66"/>
      <c r="B922" s="67"/>
      <c r="C922" s="67"/>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4.25" customHeight="1">
      <c r="A923" s="66"/>
      <c r="B923" s="67"/>
      <c r="C923" s="67"/>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4.25" customHeight="1">
      <c r="A924" s="66"/>
      <c r="B924" s="67"/>
      <c r="C924" s="67"/>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4.25" customHeight="1">
      <c r="A925" s="66"/>
      <c r="B925" s="67"/>
      <c r="C925" s="67"/>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4.25" customHeight="1">
      <c r="A926" s="66"/>
      <c r="B926" s="67"/>
      <c r="C926" s="67"/>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4.25" customHeight="1">
      <c r="A927" s="66"/>
      <c r="B927" s="67"/>
      <c r="C927" s="67"/>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4.25" customHeight="1">
      <c r="A928" s="66"/>
      <c r="B928" s="67"/>
      <c r="C928" s="67"/>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4.25" customHeight="1">
      <c r="A929" s="66"/>
      <c r="B929" s="67"/>
      <c r="C929" s="67"/>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4.25" customHeight="1">
      <c r="A930" s="66"/>
      <c r="B930" s="67"/>
      <c r="C930" s="67"/>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4.25" customHeight="1">
      <c r="A931" s="66"/>
      <c r="B931" s="67"/>
      <c r="C931" s="67"/>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4.25" customHeight="1">
      <c r="A932" s="66"/>
      <c r="B932" s="67"/>
      <c r="C932" s="67"/>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4.25" customHeight="1">
      <c r="A933" s="66"/>
      <c r="B933" s="67"/>
      <c r="C933" s="67"/>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4.25" customHeight="1">
      <c r="A934" s="66"/>
      <c r="B934" s="67"/>
      <c r="C934" s="67"/>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4.25" customHeight="1">
      <c r="A935" s="66"/>
      <c r="B935" s="67"/>
      <c r="C935" s="67"/>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4.25" customHeight="1">
      <c r="A936" s="66"/>
      <c r="B936" s="67"/>
      <c r="C936" s="67"/>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4.25" customHeight="1">
      <c r="A937" s="66"/>
      <c r="B937" s="67"/>
      <c r="C937" s="67"/>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4.25" customHeight="1">
      <c r="A938" s="66"/>
      <c r="B938" s="67"/>
      <c r="C938" s="67"/>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4.25" customHeight="1">
      <c r="A939" s="66"/>
      <c r="B939" s="67"/>
      <c r="C939" s="67"/>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4.25" customHeight="1">
      <c r="A940" s="66"/>
      <c r="B940" s="67"/>
      <c r="C940" s="67"/>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4.25" customHeight="1">
      <c r="A941" s="66"/>
      <c r="B941" s="67"/>
      <c r="C941" s="67"/>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4.25" customHeight="1">
      <c r="A942" s="66"/>
      <c r="B942" s="67"/>
      <c r="C942" s="67"/>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4.25" customHeight="1">
      <c r="A943" s="66"/>
      <c r="B943" s="67"/>
      <c r="C943" s="67"/>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4.25" customHeight="1">
      <c r="A944" s="66"/>
      <c r="B944" s="67"/>
      <c r="C944" s="67"/>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4.25" customHeight="1">
      <c r="A945" s="66"/>
      <c r="B945" s="67"/>
      <c r="C945" s="67"/>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4.25" customHeight="1">
      <c r="A946" s="66"/>
      <c r="B946" s="67"/>
      <c r="C946" s="67"/>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4.25" customHeight="1">
      <c r="A947" s="66"/>
      <c r="B947" s="67"/>
      <c r="C947" s="67"/>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4.25" customHeight="1">
      <c r="A948" s="66"/>
      <c r="B948" s="67"/>
      <c r="C948" s="67"/>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4.25" customHeight="1">
      <c r="A949" s="66"/>
      <c r="B949" s="67"/>
      <c r="C949" s="67"/>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4.25" customHeight="1">
      <c r="A950" s="66"/>
      <c r="B950" s="67"/>
      <c r="C950" s="67"/>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4.25" customHeight="1">
      <c r="A951" s="66"/>
      <c r="B951" s="67"/>
      <c r="C951" s="67"/>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4.25" customHeight="1">
      <c r="A952" s="66"/>
      <c r="B952" s="67"/>
      <c r="C952" s="67"/>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4.25" customHeight="1">
      <c r="A953" s="66"/>
      <c r="B953" s="67"/>
      <c r="C953" s="67"/>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4.25" customHeight="1">
      <c r="A954" s="66"/>
      <c r="B954" s="67"/>
      <c r="C954" s="67"/>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4.25" customHeight="1">
      <c r="A955" s="66"/>
      <c r="B955" s="67"/>
      <c r="C955" s="67"/>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4.25" customHeight="1">
      <c r="A956" s="66"/>
      <c r="B956" s="67"/>
      <c r="C956" s="67"/>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4.25" customHeight="1">
      <c r="A957" s="66"/>
      <c r="B957" s="67"/>
      <c r="C957" s="67"/>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4.25" customHeight="1">
      <c r="A958" s="66"/>
      <c r="B958" s="67"/>
      <c r="C958" s="67"/>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4.25" customHeight="1">
      <c r="A959" s="66"/>
      <c r="B959" s="67"/>
      <c r="C959" s="67"/>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4.25" customHeight="1">
      <c r="A960" s="66"/>
      <c r="B960" s="67"/>
      <c r="C960" s="67"/>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4.25" customHeight="1">
      <c r="A961" s="66"/>
      <c r="B961" s="67"/>
      <c r="C961" s="67"/>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4.25" customHeight="1">
      <c r="A962" s="66"/>
      <c r="B962" s="67"/>
      <c r="C962" s="67"/>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4.25" customHeight="1">
      <c r="A963" s="66"/>
      <c r="B963" s="67"/>
      <c r="C963" s="67"/>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4.25" customHeight="1">
      <c r="A964" s="66"/>
      <c r="B964" s="67"/>
      <c r="C964" s="67"/>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4.25" customHeight="1">
      <c r="A965" s="66"/>
      <c r="B965" s="67"/>
      <c r="C965" s="67"/>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4.25" customHeight="1">
      <c r="A966" s="66"/>
      <c r="B966" s="67"/>
      <c r="C966" s="67"/>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4.25" customHeight="1">
      <c r="A967" s="66"/>
      <c r="B967" s="67"/>
      <c r="C967" s="67"/>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4.25" customHeight="1">
      <c r="A968" s="66"/>
      <c r="B968" s="67"/>
      <c r="C968" s="67"/>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4.25" customHeight="1">
      <c r="A969" s="66"/>
      <c r="B969" s="67"/>
      <c r="C969" s="67"/>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4.25" customHeight="1">
      <c r="A970" s="66"/>
      <c r="B970" s="67"/>
      <c r="C970" s="67"/>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4.25" customHeight="1">
      <c r="A971" s="66"/>
      <c r="B971" s="67"/>
      <c r="C971" s="67"/>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4.25" customHeight="1">
      <c r="A972" s="66"/>
      <c r="B972" s="67"/>
      <c r="C972" s="67"/>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4.25" customHeight="1">
      <c r="A973" s="66"/>
      <c r="B973" s="67"/>
      <c r="C973" s="67"/>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4.25" customHeight="1">
      <c r="A974" s="66"/>
      <c r="B974" s="67"/>
      <c r="C974" s="67"/>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4.25" customHeight="1">
      <c r="A975" s="66"/>
      <c r="B975" s="67"/>
      <c r="C975" s="67"/>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4.25" customHeight="1">
      <c r="A976" s="66"/>
      <c r="B976" s="67"/>
      <c r="C976" s="67"/>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4.25" customHeight="1">
      <c r="A977" s="66"/>
      <c r="B977" s="67"/>
      <c r="C977" s="67"/>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4.25" customHeight="1">
      <c r="A978" s="66"/>
      <c r="B978" s="67"/>
      <c r="C978" s="67"/>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4.25" customHeight="1">
      <c r="A979" s="66"/>
      <c r="B979" s="67"/>
      <c r="C979" s="67"/>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4.25" customHeight="1">
      <c r="A980" s="66"/>
      <c r="B980" s="67"/>
      <c r="C980" s="67"/>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4.25" customHeight="1">
      <c r="A981" s="66"/>
      <c r="B981" s="67"/>
      <c r="C981" s="67"/>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4.25" customHeight="1">
      <c r="A982" s="66"/>
      <c r="B982" s="67"/>
      <c r="C982" s="67"/>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4.25" customHeight="1">
      <c r="A983" s="66"/>
      <c r="B983" s="67"/>
      <c r="C983" s="67"/>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4.25" customHeight="1">
      <c r="A984" s="66"/>
      <c r="B984" s="67"/>
      <c r="C984" s="67"/>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4.25" customHeight="1">
      <c r="A985" s="66"/>
      <c r="B985" s="67"/>
      <c r="C985" s="67"/>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4.25" customHeight="1">
      <c r="A986" s="66"/>
      <c r="B986" s="67"/>
      <c r="C986" s="67"/>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4.25" customHeight="1">
      <c r="A987" s="66"/>
      <c r="B987" s="67"/>
      <c r="C987" s="67"/>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4.25" customHeight="1">
      <c r="A988" s="66"/>
      <c r="B988" s="67"/>
      <c r="C988" s="67"/>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4.25" customHeight="1">
      <c r="A989" s="66"/>
      <c r="B989" s="67"/>
      <c r="C989" s="67"/>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4.25" customHeight="1">
      <c r="A990" s="66"/>
      <c r="B990" s="67"/>
      <c r="C990" s="67"/>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4.25" customHeight="1">
      <c r="A991" s="66"/>
      <c r="B991" s="67"/>
      <c r="C991" s="67"/>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4.25" customHeight="1">
      <c r="A992" s="66"/>
      <c r="B992" s="67"/>
      <c r="C992" s="67"/>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4.25" customHeight="1">
      <c r="A993" s="66"/>
      <c r="B993" s="67"/>
      <c r="C993" s="67"/>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4.25" customHeight="1">
      <c r="A994" s="66"/>
      <c r="B994" s="67"/>
      <c r="C994" s="67"/>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4.25" customHeight="1">
      <c r="A995" s="66"/>
      <c r="B995" s="67"/>
      <c r="C995" s="67"/>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4.25" customHeight="1">
      <c r="A996" s="66"/>
      <c r="B996" s="67"/>
      <c r="C996" s="67"/>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4.25" customHeight="1">
      <c r="A997" s="66"/>
      <c r="B997" s="67"/>
      <c r="C997" s="67"/>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4.25" customHeight="1">
      <c r="A998" s="66"/>
      <c r="B998" s="67"/>
      <c r="C998" s="67"/>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4.25" customHeight="1">
      <c r="A999" s="66"/>
      <c r="B999" s="67"/>
      <c r="C999" s="67"/>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4.25" customHeight="1">
      <c r="A1000" s="66"/>
      <c r="B1000" s="67"/>
      <c r="C1000" s="67"/>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6"/>
  <sheetViews>
    <sheetView topLeftCell="A14" zoomScale="70" zoomScaleNormal="70" workbookViewId="0">
      <selection activeCell="E21" sqref="E21"/>
    </sheetView>
  </sheetViews>
  <sheetFormatPr defaultColWidth="14.36328125" defaultRowHeight="15" thickBottom="1"/>
  <cols>
    <col min="1" max="1" width="24" style="3" customWidth="1"/>
    <col min="2" max="2" width="27.6328125" style="3" customWidth="1"/>
    <col min="3" max="3" width="47.453125" style="3" customWidth="1"/>
    <col min="4" max="4" width="16.08984375" style="3" customWidth="1"/>
    <col min="5" max="5" width="13.8164062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6"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21"/>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21"/>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21"/>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21"/>
      <c r="F5" s="21"/>
      <c r="G5" s="4"/>
      <c r="H5" s="23" t="s">
        <v>64</v>
      </c>
      <c r="I5" s="21"/>
      <c r="J5" s="21"/>
      <c r="K5" s="2"/>
      <c r="O5" s="2"/>
      <c r="P5" s="2"/>
      <c r="Q5" s="2"/>
      <c r="R5" s="2"/>
      <c r="S5" s="2"/>
      <c r="T5" s="2"/>
      <c r="U5" s="2"/>
      <c r="V5" s="2"/>
      <c r="W5" s="2"/>
      <c r="X5" s="2"/>
      <c r="Y5" s="2"/>
      <c r="Z5" s="2"/>
      <c r="AA5" s="2"/>
    </row>
    <row r="6" spans="1:27" ht="26.5" thickBot="1">
      <c r="A6" s="1" t="s">
        <v>180</v>
      </c>
      <c r="B6" s="1" t="s">
        <v>66</v>
      </c>
      <c r="C6" s="22"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89"/>
      <c r="B7" s="89"/>
      <c r="C7" s="90"/>
      <c r="D7" s="89">
        <v>1</v>
      </c>
      <c r="E7" s="89">
        <v>3</v>
      </c>
      <c r="F7" s="89">
        <v>5</v>
      </c>
      <c r="G7" s="89"/>
      <c r="H7" s="6"/>
      <c r="I7" s="6"/>
      <c r="J7" s="6"/>
      <c r="K7" s="2"/>
      <c r="O7" s="2"/>
      <c r="P7" s="2"/>
      <c r="Q7" s="2"/>
      <c r="R7" s="2"/>
      <c r="S7" s="2"/>
      <c r="T7" s="2"/>
      <c r="U7" s="2"/>
      <c r="V7" s="2"/>
      <c r="W7" s="2"/>
      <c r="X7" s="2"/>
      <c r="Y7" s="2"/>
      <c r="Z7" s="2"/>
      <c r="AA7" s="2"/>
    </row>
    <row r="8" spans="1:27" ht="53" thickTop="1" thickBot="1">
      <c r="A8" s="99" t="s">
        <v>181</v>
      </c>
      <c r="B8" s="99" t="s">
        <v>182</v>
      </c>
      <c r="C8" s="100" t="s">
        <v>188</v>
      </c>
      <c r="D8" s="99">
        <v>4</v>
      </c>
      <c r="E8" s="99">
        <v>0</v>
      </c>
      <c r="F8" s="99">
        <v>0</v>
      </c>
      <c r="G8" s="99">
        <f t="shared" ref="G8:G13" si="0">D8*$D$7+E8*$E$7+F8*$F$7</f>
        <v>4</v>
      </c>
      <c r="H8" s="88"/>
      <c r="I8" s="8"/>
      <c r="J8" s="8"/>
      <c r="K8" s="2"/>
      <c r="O8" s="2"/>
      <c r="P8" s="2"/>
      <c r="Q8" s="2"/>
      <c r="R8" s="2"/>
      <c r="S8" s="2"/>
      <c r="T8" s="2"/>
      <c r="U8" s="2"/>
      <c r="V8" s="2"/>
      <c r="W8" s="2"/>
      <c r="X8" s="2"/>
      <c r="Y8" s="2"/>
      <c r="Z8" s="2"/>
      <c r="AA8" s="2"/>
    </row>
    <row r="9" spans="1:27" ht="112" customHeight="1" thickTop="1" thickBot="1">
      <c r="A9" s="99" t="s">
        <v>181</v>
      </c>
      <c r="B9" s="99" t="s">
        <v>186</v>
      </c>
      <c r="C9" s="100" t="s">
        <v>190</v>
      </c>
      <c r="D9" s="99">
        <v>3</v>
      </c>
      <c r="E9" s="99">
        <v>4</v>
      </c>
      <c r="F9" s="99">
        <v>0</v>
      </c>
      <c r="G9" s="99">
        <f t="shared" si="0"/>
        <v>15</v>
      </c>
      <c r="H9" s="88" t="e">
        <f t="array" ref="H9">VLOOKUP(D9,[1]Guidelines!$B$4:$E$19,2,FALSE)</f>
        <v>#N/A</v>
      </c>
      <c r="I9" s="8" t="e">
        <f t="array" ref="I9">VLOOKUP(D9,[1]Guidelines!$B$4:$E$19,3,FALSE)</f>
        <v>#N/A</v>
      </c>
      <c r="J9" s="8" t="e">
        <f t="array" ref="J9">VLOOKUP(D9,[1]Guidelines!$B$4:$E$19,4,FALSE)</f>
        <v>#N/A</v>
      </c>
      <c r="K9" s="2"/>
      <c r="O9" s="2"/>
      <c r="P9" s="2"/>
      <c r="Q9" s="2"/>
      <c r="R9" s="2"/>
      <c r="S9" s="2"/>
      <c r="T9" s="2"/>
      <c r="U9" s="2"/>
      <c r="V9" s="2"/>
      <c r="W9" s="2"/>
      <c r="X9" s="2"/>
      <c r="Y9" s="2"/>
      <c r="Z9" s="2"/>
      <c r="AA9" s="2"/>
    </row>
    <row r="10" spans="1:27" ht="95.5" customHeight="1" thickTop="1" thickBot="1">
      <c r="A10" s="99" t="s">
        <v>181</v>
      </c>
      <c r="B10" s="99" t="s">
        <v>189</v>
      </c>
      <c r="C10" s="100" t="s">
        <v>192</v>
      </c>
      <c r="D10" s="99">
        <v>5</v>
      </c>
      <c r="E10" s="99">
        <v>1</v>
      </c>
      <c r="F10" s="99">
        <v>0</v>
      </c>
      <c r="G10" s="99">
        <f t="shared" si="0"/>
        <v>8</v>
      </c>
      <c r="H10" s="88"/>
      <c r="I10" s="8"/>
      <c r="J10" s="8"/>
      <c r="K10" s="2"/>
      <c r="L10" s="2"/>
      <c r="M10" s="2"/>
      <c r="N10" s="2"/>
      <c r="O10" s="2"/>
      <c r="P10" s="2"/>
      <c r="Q10" s="2"/>
      <c r="R10" s="2"/>
      <c r="S10" s="2"/>
      <c r="T10" s="2"/>
      <c r="U10" s="2"/>
      <c r="V10" s="2"/>
      <c r="W10" s="2"/>
      <c r="X10" s="2"/>
      <c r="Y10" s="2"/>
      <c r="Z10" s="2"/>
      <c r="AA10" s="2"/>
    </row>
    <row r="11" spans="1:27" ht="97" customHeight="1" thickTop="1" thickBot="1">
      <c r="A11" s="99" t="s">
        <v>181</v>
      </c>
      <c r="B11" s="99" t="s">
        <v>187</v>
      </c>
      <c r="C11" s="100" t="s">
        <v>191</v>
      </c>
      <c r="D11" s="99">
        <v>5</v>
      </c>
      <c r="E11" s="99">
        <v>1</v>
      </c>
      <c r="F11" s="99">
        <v>0</v>
      </c>
      <c r="G11" s="99">
        <f t="shared" si="0"/>
        <v>8</v>
      </c>
      <c r="H11" s="88"/>
      <c r="I11" s="8"/>
      <c r="J11" s="8"/>
      <c r="K11" s="2"/>
      <c r="L11" s="2"/>
      <c r="M11" s="2"/>
      <c r="N11" s="2"/>
      <c r="O11" s="2"/>
      <c r="P11" s="2"/>
      <c r="Q11" s="2"/>
      <c r="R11" s="2"/>
      <c r="S11" s="2"/>
      <c r="T11" s="2"/>
      <c r="U11" s="2"/>
      <c r="V11" s="2"/>
      <c r="W11" s="2"/>
      <c r="X11" s="2"/>
      <c r="Y11" s="2"/>
      <c r="Z11" s="2"/>
      <c r="AA11" s="2"/>
    </row>
    <row r="12" spans="1:27" ht="128.65" customHeight="1" thickTop="1" thickBot="1">
      <c r="A12" s="99" t="s">
        <v>183</v>
      </c>
      <c r="B12" s="99" t="s">
        <v>193</v>
      </c>
      <c r="C12" s="100" t="s">
        <v>194</v>
      </c>
      <c r="D12" s="99">
        <v>4</v>
      </c>
      <c r="E12" s="99">
        <v>2</v>
      </c>
      <c r="F12" s="99">
        <v>0</v>
      </c>
      <c r="G12" s="99">
        <f t="shared" si="0"/>
        <v>10</v>
      </c>
      <c r="H12" s="88"/>
      <c r="I12" s="8"/>
      <c r="J12" s="8"/>
      <c r="K12" s="2"/>
      <c r="L12" s="23"/>
      <c r="M12" s="21"/>
      <c r="N12" s="21"/>
      <c r="O12" s="2"/>
      <c r="P12" s="2"/>
      <c r="Q12" s="2"/>
      <c r="R12" s="2"/>
      <c r="S12" s="2"/>
      <c r="T12" s="2"/>
      <c r="U12" s="2"/>
      <c r="V12" s="2"/>
      <c r="W12" s="2"/>
      <c r="X12" s="2"/>
      <c r="Y12" s="2"/>
      <c r="Z12" s="2"/>
      <c r="AA12" s="2"/>
    </row>
    <row r="13" spans="1:27" ht="66" thickTop="1" thickBot="1">
      <c r="A13" s="99" t="s">
        <v>183</v>
      </c>
      <c r="B13" s="99" t="s">
        <v>184</v>
      </c>
      <c r="C13" s="100" t="s">
        <v>195</v>
      </c>
      <c r="D13" s="99">
        <v>4</v>
      </c>
      <c r="E13" s="99">
        <v>0</v>
      </c>
      <c r="F13" s="99">
        <v>0</v>
      </c>
      <c r="G13" s="99">
        <f t="shared" si="0"/>
        <v>4</v>
      </c>
      <c r="H13" s="88"/>
      <c r="I13" s="8"/>
      <c r="J13" s="8"/>
      <c r="K13" s="2"/>
      <c r="L13" s="114" t="s">
        <v>73</v>
      </c>
      <c r="M13" s="115"/>
      <c r="N13" s="115"/>
      <c r="O13" s="2"/>
      <c r="P13" s="2"/>
      <c r="Q13" s="2"/>
      <c r="R13" s="2"/>
      <c r="S13" s="2"/>
      <c r="T13" s="2"/>
      <c r="U13" s="2"/>
      <c r="V13" s="2"/>
      <c r="W13" s="2"/>
      <c r="X13" s="2"/>
      <c r="Y13" s="2"/>
      <c r="Z13" s="2"/>
      <c r="AA13" s="2"/>
    </row>
    <row r="14" spans="1:27" ht="80.25" customHeight="1" thickTop="1" thickBot="1">
      <c r="A14" s="94"/>
      <c r="B14" s="93"/>
      <c r="C14" s="95"/>
      <c r="D14" s="96"/>
      <c r="E14" s="96"/>
      <c r="F14" s="97" t="s">
        <v>185</v>
      </c>
      <c r="G14" s="98">
        <f>SUM(G8:G13)</f>
        <v>49</v>
      </c>
      <c r="H14" s="88"/>
      <c r="I14" s="8"/>
      <c r="J14" s="8"/>
      <c r="K14" s="2"/>
      <c r="L14" s="9" t="s">
        <v>33</v>
      </c>
      <c r="M14" s="2"/>
      <c r="N14" s="9" t="s">
        <v>34</v>
      </c>
      <c r="O14" s="2"/>
      <c r="P14" s="2"/>
      <c r="Q14" s="2"/>
      <c r="R14" s="2"/>
      <c r="S14" s="2"/>
      <c r="T14" s="2"/>
      <c r="U14" s="2"/>
      <c r="V14" s="2"/>
      <c r="W14" s="2"/>
      <c r="X14" s="2"/>
      <c r="Y14" s="2"/>
      <c r="Z14" s="2"/>
      <c r="AA14" s="2"/>
    </row>
    <row r="15" spans="1:27" ht="91.15" customHeight="1" thickTop="1" thickBot="1">
      <c r="A15" s="91"/>
      <c r="B15" s="92"/>
      <c r="C15" s="92"/>
      <c r="D15" s="92"/>
      <c r="E15" s="92"/>
      <c r="F15" s="92"/>
      <c r="G15" s="92"/>
      <c r="H15" s="88"/>
      <c r="I15" s="8"/>
      <c r="J15" s="8"/>
      <c r="K15" s="2"/>
      <c r="L15" s="2" t="s">
        <v>4</v>
      </c>
      <c r="M15" s="2"/>
      <c r="N15" s="2">
        <v>0</v>
      </c>
      <c r="O15" s="2"/>
      <c r="P15" s="2"/>
      <c r="Q15" s="2"/>
      <c r="R15" s="2"/>
      <c r="S15" s="2"/>
      <c r="T15" s="2"/>
      <c r="U15" s="2"/>
      <c r="V15" s="2"/>
      <c r="W15" s="2"/>
      <c r="X15" s="2"/>
      <c r="Y15" s="2"/>
      <c r="Z15" s="2"/>
      <c r="AA15" s="2"/>
    </row>
    <row r="16" spans="1:27" ht="118.9" customHeight="1" thickBot="1">
      <c r="A16" s="2"/>
      <c r="B16" s="2"/>
      <c r="C16" s="2"/>
      <c r="D16" s="2"/>
      <c r="E16" s="2"/>
      <c r="F16" s="2"/>
      <c r="G16" s="2"/>
      <c r="H16" s="88"/>
      <c r="I16" s="8"/>
      <c r="J16" s="8"/>
      <c r="K16" s="2"/>
      <c r="L16" s="2" t="s">
        <v>6</v>
      </c>
      <c r="M16" s="2"/>
      <c r="N16" s="2">
        <v>0</v>
      </c>
      <c r="O16" s="2"/>
      <c r="P16" s="2"/>
      <c r="Q16" s="2"/>
      <c r="R16" s="2"/>
      <c r="S16" s="2"/>
      <c r="T16" s="2"/>
      <c r="U16" s="2"/>
      <c r="V16" s="2"/>
      <c r="W16" s="2"/>
      <c r="X16" s="2"/>
      <c r="Y16" s="2"/>
      <c r="Z16" s="2"/>
      <c r="AA16" s="2"/>
    </row>
    <row r="17" spans="1:27" thickBot="1">
      <c r="A17" s="2"/>
      <c r="B17" s="2"/>
      <c r="C17" s="9" t="s">
        <v>38</v>
      </c>
      <c r="D17" s="13">
        <v>0.14130000000000001</v>
      </c>
      <c r="E17" s="9" t="e">
        <f t="array" ref="E17">VLOOKUP(D1,'[1]Baseline Productivity '!A4:D8,4,FALSE)</f>
        <v>#N/A</v>
      </c>
      <c r="F17" s="2"/>
      <c r="G17" s="2"/>
      <c r="H17" s="88"/>
      <c r="I17" s="8"/>
      <c r="J17" s="8"/>
      <c r="K17" s="2"/>
      <c r="L17" s="2"/>
      <c r="M17" s="2"/>
      <c r="N17" s="2"/>
      <c r="O17" s="2"/>
      <c r="P17" s="2"/>
      <c r="Q17" s="2"/>
      <c r="R17" s="2"/>
      <c r="S17" s="2"/>
      <c r="T17" s="2"/>
      <c r="U17" s="2"/>
      <c r="V17" s="2"/>
      <c r="W17" s="2"/>
      <c r="X17" s="2"/>
      <c r="Y17" s="2"/>
      <c r="Z17" s="2"/>
      <c r="AA17" s="2"/>
    </row>
    <row r="18" spans="1:27" ht="26" customHeight="1" thickBot="1">
      <c r="A18" s="2"/>
      <c r="B18" s="2"/>
      <c r="C18" s="16" t="s">
        <v>0</v>
      </c>
      <c r="D18" s="15">
        <v>49</v>
      </c>
      <c r="E18" s="16" t="s">
        <v>76</v>
      </c>
      <c r="F18" s="2"/>
      <c r="G18" s="2"/>
      <c r="H18" s="88" t="e">
        <f t="array" ref="H18">VLOOKUP(D13,[1]Guidelines!$B$4:$E$19,2,FALSE)</f>
        <v>#N/A</v>
      </c>
      <c r="I18" s="8" t="e">
        <f t="array" ref="I18">VLOOKUP(D13,[1]Guidelines!$B$4:$E$19,3,FALSE)</f>
        <v>#N/A</v>
      </c>
      <c r="J18" s="8" t="e">
        <f t="array" ref="J18">VLOOKUP(D13,[1]Guidelines!$B$4:$E$19,4,FALSE)</f>
        <v>#N/A</v>
      </c>
      <c r="K18" s="2"/>
      <c r="L18" s="2" t="s">
        <v>8</v>
      </c>
      <c r="M18" s="2"/>
      <c r="N18" s="2">
        <v>0</v>
      </c>
      <c r="O18" s="2"/>
      <c r="P18" s="2"/>
      <c r="Q18" s="2"/>
      <c r="R18" s="2"/>
      <c r="S18" s="2"/>
      <c r="T18" s="2"/>
      <c r="U18" s="2"/>
      <c r="V18" s="2"/>
      <c r="W18" s="2"/>
      <c r="X18" s="2"/>
      <c r="Y18" s="2"/>
      <c r="Z18" s="2"/>
      <c r="AA18" s="2"/>
    </row>
    <row r="19" spans="1:27" thickBot="1">
      <c r="A19" s="2"/>
      <c r="B19" s="2"/>
      <c r="C19" s="9" t="s">
        <v>77</v>
      </c>
      <c r="D19" s="17">
        <f>D18/D17</f>
        <v>346.7799009200283</v>
      </c>
      <c r="E19" s="9" t="s">
        <v>78</v>
      </c>
      <c r="F19" s="2"/>
      <c r="G19" s="2"/>
      <c r="H19" s="88" t="e">
        <f t="array" ref="H19">VLOOKUP(#REF!,[1]Guidelines!$B$4:$E$19,2,FALSE)</f>
        <v>#REF!</v>
      </c>
      <c r="I19" s="8" t="e">
        <f t="array" ref="I19">VLOOKUP(#REF!,[1]Guidelines!$B$4:$E$19,3,FALSE)</f>
        <v>#REF!</v>
      </c>
      <c r="J19" s="8" t="e">
        <f t="array" ref="J19">VLOOKUP(#REF!,[1]Guidelines!$B$4:$E$19,4,FALSE)</f>
        <v>#REF!</v>
      </c>
      <c r="K19" s="2"/>
      <c r="L19" s="2" t="s">
        <v>10</v>
      </c>
      <c r="M19" s="2"/>
      <c r="N19" s="2">
        <v>3</v>
      </c>
      <c r="O19" s="2"/>
      <c r="P19" s="2"/>
      <c r="Q19" s="2"/>
      <c r="R19" s="2"/>
      <c r="S19" s="2"/>
      <c r="T19" s="2"/>
      <c r="U19" s="2"/>
      <c r="V19" s="2"/>
      <c r="W19" s="2"/>
      <c r="X19" s="2"/>
      <c r="Y19" s="2"/>
      <c r="Z19" s="2"/>
      <c r="AA19" s="2"/>
    </row>
    <row r="20" spans="1:27" thickBot="1">
      <c r="A20" s="2"/>
      <c r="B20" s="2"/>
      <c r="C20" s="9" t="s">
        <v>79</v>
      </c>
      <c r="D20" s="13">
        <f>0.65+0.01*$N$31</f>
        <v>1.01</v>
      </c>
      <c r="E20" s="2"/>
      <c r="F20" s="2"/>
      <c r="G20" s="2"/>
      <c r="H20" s="88"/>
      <c r="I20" s="8"/>
      <c r="J20" s="8"/>
      <c r="K20" s="2"/>
      <c r="L20" s="2" t="s">
        <v>13</v>
      </c>
      <c r="M20" s="2"/>
      <c r="N20" s="2">
        <v>4</v>
      </c>
      <c r="O20" s="2"/>
      <c r="P20" s="2"/>
      <c r="Q20" s="2"/>
      <c r="R20" s="2"/>
      <c r="S20" s="2"/>
      <c r="T20" s="2"/>
      <c r="U20" s="2"/>
      <c r="V20" s="2"/>
      <c r="W20" s="2"/>
      <c r="X20" s="2"/>
      <c r="Y20" s="2"/>
      <c r="Z20" s="2"/>
      <c r="AA20" s="2"/>
    </row>
    <row r="21" spans="1:27" ht="28.5" customHeight="1" thickBot="1">
      <c r="A21" s="2"/>
      <c r="B21" s="2"/>
      <c r="C21" s="9" t="s">
        <v>80</v>
      </c>
      <c r="D21" s="18">
        <v>0.05</v>
      </c>
      <c r="E21" s="2"/>
      <c r="F21" s="2"/>
      <c r="G21" s="2"/>
      <c r="H21" s="88" t="e">
        <f t="array" ref="H21">VLOOKUP(#REF!,[1]Guidelines!$B$4:$E$19,2,FALSE)</f>
        <v>#REF!</v>
      </c>
      <c r="I21" s="8" t="e">
        <f t="array" ref="I21">VLOOKUP(#REF!,[1]Guidelines!$B$4:$E$19,3,FALSE)</f>
        <v>#REF!</v>
      </c>
      <c r="J21" s="8" t="e">
        <f t="array" ref="J21">VLOOKUP(#REF!,[1]Guidelines!$B$4:$E$19,4,FALSE)</f>
        <v>#REF!</v>
      </c>
      <c r="K21" s="2"/>
      <c r="L21" s="2"/>
      <c r="M21" s="2"/>
      <c r="N21" s="2"/>
      <c r="O21" s="2"/>
      <c r="P21" s="2"/>
      <c r="Q21" s="2"/>
      <c r="R21" s="2"/>
      <c r="S21" s="2"/>
      <c r="T21" s="2"/>
      <c r="U21" s="2"/>
      <c r="V21" s="2"/>
      <c r="W21" s="2"/>
      <c r="X21" s="2"/>
      <c r="Y21" s="2"/>
      <c r="Z21" s="2"/>
      <c r="AA21" s="2"/>
    </row>
    <row r="22" spans="1:27" ht="12.75" customHeight="1" thickBot="1">
      <c r="A22" s="2"/>
      <c r="B22" s="2"/>
      <c r="C22" s="9" t="s">
        <v>81</v>
      </c>
      <c r="D22" s="18">
        <v>0.1</v>
      </c>
      <c r="E22" s="2"/>
      <c r="F22" s="2"/>
      <c r="G22" s="2"/>
      <c r="H22" s="8" t="e">
        <f t="array" ref="H22">VLOOKUP(#REF!,[1]Guidelines!$B$4:$E$19,2,FALSE)</f>
        <v>#REF!</v>
      </c>
      <c r="I22" s="8" t="e">
        <f t="array" ref="I22">VLOOKUP(#REF!,[1]Guidelines!$B$4:$E$19,3,FALSE)</f>
        <v>#REF!</v>
      </c>
      <c r="J22" s="8" t="e">
        <f t="array" ref="J22">VLOOKUP(#REF!,[1]Guidelines!$B$4:$E$19,4,FALSE)</f>
        <v>#REF!</v>
      </c>
      <c r="K22" s="2"/>
      <c r="L22" s="2" t="s">
        <v>15</v>
      </c>
      <c r="M22" s="2"/>
      <c r="N22" s="2">
        <v>3</v>
      </c>
      <c r="O22" s="2"/>
      <c r="P22" s="2"/>
      <c r="Q22" s="2"/>
      <c r="R22" s="2"/>
      <c r="S22" s="2"/>
      <c r="T22" s="2"/>
      <c r="U22" s="2"/>
      <c r="V22" s="2"/>
      <c r="W22" s="2"/>
      <c r="X22" s="2"/>
      <c r="Y22" s="2"/>
      <c r="Z22" s="2"/>
      <c r="AA22" s="2"/>
    </row>
    <row r="23" spans="1:27" ht="12.75" customHeight="1" thickBot="1">
      <c r="A23" s="2"/>
      <c r="B23" s="2"/>
      <c r="C23" s="9" t="s">
        <v>196</v>
      </c>
      <c r="D23" s="19">
        <f>((D19*D20)+(D19*D20*D21))+((D19*D20)+(D19*D20*D21))*D22</f>
        <v>404.53609341825904</v>
      </c>
      <c r="E23" s="9" t="s">
        <v>78</v>
      </c>
      <c r="F23" s="2"/>
      <c r="G23" s="2"/>
      <c r="H23" s="2"/>
      <c r="I23" s="2"/>
      <c r="J23" s="2"/>
      <c r="K23" s="2"/>
      <c r="L23" s="2" t="s">
        <v>17</v>
      </c>
      <c r="M23" s="2"/>
      <c r="N23" s="2">
        <v>2</v>
      </c>
      <c r="O23" s="2"/>
      <c r="P23" s="2"/>
      <c r="Q23" s="2"/>
      <c r="R23" s="2"/>
      <c r="S23" s="2"/>
      <c r="T23" s="2"/>
      <c r="U23" s="2"/>
      <c r="V23" s="2"/>
      <c r="W23" s="2"/>
      <c r="X23" s="2"/>
      <c r="Y23" s="2"/>
      <c r="Z23" s="2"/>
      <c r="AA23" s="2"/>
    </row>
    <row r="24" spans="1:27" ht="12.75" customHeight="1" thickBot="1">
      <c r="A24" s="2"/>
      <c r="B24" s="2"/>
      <c r="C24" s="2"/>
      <c r="D24" s="2"/>
      <c r="E24" s="2"/>
      <c r="F24" s="2"/>
      <c r="G24" s="2"/>
      <c r="H24" s="2"/>
      <c r="I24" s="2"/>
      <c r="J24" s="2"/>
      <c r="K24" s="2"/>
      <c r="L24" s="2" t="s">
        <v>19</v>
      </c>
      <c r="M24" s="2"/>
      <c r="N24" s="2">
        <v>1</v>
      </c>
      <c r="O24" s="2"/>
      <c r="P24" s="2"/>
      <c r="Q24" s="2"/>
      <c r="R24" s="2"/>
      <c r="S24" s="2"/>
      <c r="T24" s="2"/>
      <c r="U24" s="2"/>
      <c r="V24" s="2"/>
      <c r="W24" s="2"/>
      <c r="X24" s="2"/>
      <c r="Y24" s="2"/>
      <c r="Z24" s="2"/>
      <c r="AA24" s="2"/>
    </row>
    <row r="25" spans="1:27" ht="12.75" customHeight="1" thickBot="1">
      <c r="A25" s="2"/>
      <c r="B25" s="2"/>
      <c r="C25" s="2" t="s">
        <v>83</v>
      </c>
      <c r="D25" s="20">
        <f>D23+5%*D23</f>
        <v>424.76289808917198</v>
      </c>
      <c r="E25" s="20">
        <f>D23-5%*D23</f>
        <v>384.3092887473461</v>
      </c>
      <c r="F25" s="2"/>
      <c r="G25" s="2"/>
      <c r="H25" s="2"/>
      <c r="I25" s="2"/>
      <c r="J25" s="2"/>
      <c r="K25" s="2"/>
      <c r="L25" s="2" t="s">
        <v>21</v>
      </c>
      <c r="M25" s="2"/>
      <c r="N25" s="2">
        <v>3</v>
      </c>
      <c r="O25" s="2"/>
      <c r="P25" s="2"/>
      <c r="Q25" s="2"/>
      <c r="R25" s="2"/>
      <c r="S25" s="2"/>
      <c r="T25" s="2"/>
      <c r="U25" s="2"/>
      <c r="V25" s="2"/>
      <c r="W25" s="2"/>
      <c r="X25" s="2"/>
      <c r="Y25" s="2"/>
      <c r="Z25" s="2"/>
      <c r="AA25" s="2"/>
    </row>
    <row r="26" spans="1:27" ht="12.75" customHeight="1" thickBot="1">
      <c r="A26" s="2"/>
      <c r="B26" s="2"/>
      <c r="C26" s="2"/>
      <c r="D26" s="2"/>
      <c r="E26" s="2"/>
      <c r="F26" s="2"/>
      <c r="G26" s="2"/>
      <c r="H26" s="2"/>
      <c r="I26" s="2"/>
      <c r="J26" s="2"/>
      <c r="K26" s="2"/>
      <c r="L26" s="2" t="s">
        <v>23</v>
      </c>
      <c r="M26" s="2"/>
      <c r="N26" s="2">
        <v>4</v>
      </c>
      <c r="O26" s="2"/>
      <c r="P26" s="2"/>
      <c r="Q26" s="2"/>
      <c r="R26" s="2"/>
      <c r="S26" s="2"/>
      <c r="T26" s="2"/>
      <c r="U26" s="2"/>
      <c r="V26" s="2"/>
      <c r="W26" s="2"/>
      <c r="X26" s="2"/>
      <c r="Y26" s="2"/>
      <c r="Z26" s="2"/>
      <c r="AA26" s="2"/>
    </row>
    <row r="27" spans="1:27" ht="12.75" customHeight="1" thickBot="1">
      <c r="A27" s="2"/>
      <c r="B27" s="2"/>
      <c r="C27" s="2"/>
      <c r="D27" s="2"/>
      <c r="E27" s="2"/>
      <c r="F27" s="2"/>
      <c r="G27" s="2"/>
      <c r="H27" s="2"/>
      <c r="I27" s="2"/>
      <c r="J27" s="2"/>
      <c r="K27" s="2"/>
      <c r="L27" s="2" t="s">
        <v>26</v>
      </c>
      <c r="M27" s="2"/>
      <c r="N27" s="2">
        <v>4</v>
      </c>
      <c r="O27" s="2"/>
      <c r="P27" s="2"/>
      <c r="Q27" s="2"/>
      <c r="R27" s="2"/>
      <c r="S27" s="2"/>
      <c r="T27" s="2"/>
      <c r="U27" s="2"/>
      <c r="V27" s="2"/>
      <c r="W27" s="2"/>
      <c r="X27" s="2"/>
      <c r="Y27" s="2"/>
      <c r="Z27" s="2"/>
      <c r="AA27" s="2"/>
    </row>
    <row r="28" spans="1:27" ht="12.75" customHeight="1" thickBot="1">
      <c r="A28" s="2"/>
      <c r="B28" s="2"/>
      <c r="C28" s="2"/>
      <c r="D28" s="2"/>
      <c r="E28" s="2"/>
      <c r="F28" s="2"/>
      <c r="G28" s="2"/>
      <c r="H28" s="2"/>
      <c r="I28" s="2"/>
      <c r="J28" s="2"/>
      <c r="K28" s="2"/>
      <c r="L28" s="2" t="s">
        <v>29</v>
      </c>
      <c r="M28" s="2"/>
      <c r="N28" s="2">
        <v>4</v>
      </c>
      <c r="O28" s="2"/>
      <c r="P28" s="2"/>
      <c r="Q28" s="2"/>
      <c r="R28" s="2"/>
      <c r="S28" s="2"/>
      <c r="T28" s="2"/>
      <c r="U28" s="2"/>
      <c r="V28" s="2"/>
      <c r="W28" s="2"/>
      <c r="X28" s="2"/>
      <c r="Y28" s="2"/>
      <c r="Z28" s="2"/>
      <c r="AA28" s="2"/>
    </row>
    <row r="29" spans="1:27" ht="12.75" customHeight="1" thickBot="1">
      <c r="A29" s="2"/>
      <c r="B29" s="2"/>
      <c r="C29" s="2"/>
      <c r="D29" s="2"/>
      <c r="E29" s="2"/>
      <c r="F29" s="2"/>
      <c r="G29" s="2"/>
      <c r="H29" s="2"/>
      <c r="I29" s="2"/>
      <c r="J29" s="2"/>
      <c r="K29" s="2"/>
      <c r="L29" s="2" t="s">
        <v>32</v>
      </c>
      <c r="M29" s="2"/>
      <c r="N29" s="2">
        <v>4</v>
      </c>
      <c r="O29" s="2"/>
      <c r="P29" s="2"/>
      <c r="Q29" s="2"/>
      <c r="R29" s="2"/>
      <c r="S29" s="2"/>
      <c r="T29" s="2"/>
      <c r="U29" s="2"/>
      <c r="V29" s="2"/>
      <c r="W29" s="2"/>
      <c r="X29" s="2"/>
      <c r="Y29" s="2"/>
      <c r="Z29" s="2"/>
      <c r="AA29" s="2"/>
    </row>
    <row r="30" spans="1:27" ht="12.75" customHeight="1" thickBot="1">
      <c r="A30" s="2"/>
      <c r="B30" s="2"/>
      <c r="C30" s="2"/>
      <c r="D30" s="2"/>
      <c r="E30" s="2"/>
      <c r="F30" s="2"/>
      <c r="G30" s="2"/>
      <c r="H30" s="2"/>
      <c r="I30" s="2"/>
      <c r="J30" s="2"/>
      <c r="K30" s="2"/>
      <c r="L30" s="2" t="s">
        <v>35</v>
      </c>
      <c r="M30" s="2"/>
      <c r="N30" s="2">
        <v>4</v>
      </c>
      <c r="O30" s="2"/>
      <c r="P30" s="2"/>
      <c r="Q30" s="2"/>
      <c r="R30" s="2"/>
      <c r="S30" s="2"/>
      <c r="T30" s="2"/>
      <c r="U30" s="2"/>
      <c r="V30" s="2"/>
      <c r="W30" s="2"/>
      <c r="X30" s="2"/>
      <c r="Y30" s="2"/>
      <c r="Z30" s="2"/>
      <c r="AA30" s="2"/>
    </row>
    <row r="31" spans="1:27" ht="12.75" customHeight="1" thickBot="1">
      <c r="A31" s="2"/>
      <c r="B31" s="2"/>
      <c r="C31" s="2"/>
      <c r="D31" s="2"/>
      <c r="E31" s="2"/>
      <c r="F31" s="2"/>
      <c r="G31" s="2"/>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ustomHeight="1" thickBo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ustomHeight="1" thickBo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H990" s="2"/>
      <c r="I990" s="2"/>
      <c r="J990" s="2"/>
      <c r="K990" s="2"/>
      <c r="L990" s="2"/>
      <c r="M990" s="2"/>
      <c r="N990" s="2"/>
      <c r="O990" s="2"/>
      <c r="P990" s="2"/>
      <c r="Q990" s="2"/>
      <c r="R990" s="2"/>
      <c r="S990" s="2"/>
      <c r="T990" s="2"/>
      <c r="U990" s="2"/>
      <c r="V990" s="2"/>
      <c r="W990" s="2"/>
      <c r="X990" s="2"/>
      <c r="Y990" s="2"/>
      <c r="Z990" s="2"/>
      <c r="AA990" s="2"/>
    </row>
    <row r="991" spans="1:27" ht="12.75" customHeight="1" thickBot="1">
      <c r="H991" s="2"/>
      <c r="I991" s="2"/>
      <c r="J991" s="2"/>
      <c r="K991" s="2"/>
      <c r="L991" s="2"/>
      <c r="M991" s="2"/>
      <c r="N991" s="2"/>
      <c r="O991" s="2"/>
      <c r="P991" s="2"/>
      <c r="Q991" s="2"/>
      <c r="R991" s="2"/>
      <c r="S991" s="2"/>
      <c r="T991" s="2"/>
      <c r="U991" s="2"/>
      <c r="V991" s="2"/>
      <c r="W991" s="2"/>
      <c r="X991" s="2"/>
      <c r="Y991" s="2"/>
      <c r="Z991" s="2"/>
      <c r="AA991" s="2"/>
    </row>
    <row r="992" spans="1:27" ht="12.75" customHeight="1" thickBot="1">
      <c r="H992" s="2"/>
      <c r="I992" s="2"/>
      <c r="J992" s="2"/>
      <c r="K992" s="2"/>
      <c r="L992" s="2"/>
      <c r="M992" s="2"/>
      <c r="N992" s="2"/>
      <c r="O992" s="2"/>
      <c r="P992" s="2"/>
      <c r="Q992" s="2"/>
      <c r="R992" s="2"/>
      <c r="S992" s="2"/>
      <c r="T992" s="2"/>
      <c r="U992" s="2"/>
      <c r="V992" s="2"/>
      <c r="W992" s="2"/>
      <c r="X992" s="2"/>
      <c r="Y992" s="2"/>
      <c r="Z992" s="2"/>
      <c r="AA992" s="2"/>
    </row>
    <row r="993" spans="8:27" ht="12.75" customHeight="1" thickBot="1">
      <c r="H993" s="2"/>
      <c r="I993" s="2"/>
      <c r="J993" s="2"/>
      <c r="K993" s="2"/>
      <c r="L993" s="2"/>
      <c r="M993" s="2"/>
      <c r="N993" s="2"/>
      <c r="O993" s="2"/>
      <c r="P993" s="2"/>
      <c r="Q993" s="2"/>
      <c r="R993" s="2"/>
      <c r="S993" s="2"/>
      <c r="T993" s="2"/>
      <c r="U993" s="2"/>
      <c r="V993" s="2"/>
      <c r="W993" s="2"/>
      <c r="X993" s="2"/>
      <c r="Y993" s="2"/>
      <c r="Z993" s="2"/>
      <c r="AA993" s="2"/>
    </row>
    <row r="994" spans="8:27" ht="12.75" customHeight="1" thickBot="1">
      <c r="H994" s="2"/>
      <c r="I994" s="2"/>
      <c r="J994" s="2"/>
      <c r="K994" s="2"/>
      <c r="L994" s="2"/>
      <c r="M994" s="2"/>
      <c r="N994" s="2"/>
      <c r="O994" s="2"/>
      <c r="P994" s="2"/>
      <c r="Q994" s="2"/>
      <c r="R994" s="2"/>
      <c r="S994" s="2"/>
      <c r="T994" s="2"/>
      <c r="U994" s="2"/>
      <c r="V994" s="2"/>
      <c r="W994" s="2"/>
      <c r="X994" s="2"/>
      <c r="Y994" s="2"/>
      <c r="Z994" s="2"/>
      <c r="AA994" s="2"/>
    </row>
    <row r="995" spans="8:27" ht="12.75" customHeight="1" thickBot="1">
      <c r="H995" s="2"/>
      <c r="I995" s="2"/>
      <c r="J995" s="2"/>
      <c r="K995" s="2"/>
      <c r="L995" s="2"/>
      <c r="M995" s="2"/>
      <c r="N995" s="2"/>
      <c r="O995" s="2"/>
      <c r="P995" s="2"/>
      <c r="Q995" s="2"/>
      <c r="R995" s="2"/>
      <c r="S995" s="2"/>
      <c r="T995" s="2"/>
      <c r="U995" s="2"/>
      <c r="V995" s="2"/>
      <c r="W995" s="2"/>
      <c r="X995" s="2"/>
      <c r="Y995" s="2"/>
      <c r="Z995" s="2"/>
      <c r="AA995" s="2"/>
    </row>
    <row r="996" spans="8:27" ht="12.75" customHeight="1" thickBot="1">
      <c r="H996" s="2"/>
      <c r="I996" s="2"/>
      <c r="J996" s="2"/>
      <c r="K996" s="2"/>
      <c r="L996" s="2"/>
      <c r="M996" s="2"/>
      <c r="N996" s="2"/>
      <c r="O996" s="2"/>
      <c r="P996" s="2"/>
      <c r="Q996" s="2"/>
      <c r="R996" s="2"/>
      <c r="S996" s="2"/>
      <c r="T996" s="2"/>
      <c r="U996" s="2"/>
      <c r="V996" s="2"/>
      <c r="W996" s="2"/>
      <c r="X996" s="2"/>
      <c r="Y996" s="2"/>
      <c r="Z996" s="2"/>
      <c r="AA996" s="2"/>
    </row>
  </sheetData>
  <mergeCells count="1">
    <mergeCell ref="L13:N13"/>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2"/>
  <sheetViews>
    <sheetView topLeftCell="A25" zoomScale="85" zoomScaleNormal="85" workbookViewId="0">
      <selection activeCell="G25" sqref="G25"/>
    </sheetView>
  </sheetViews>
  <sheetFormatPr defaultColWidth="14.36328125" defaultRowHeight="15" thickBottom="1"/>
  <cols>
    <col min="1" max="1" width="24" style="3" customWidth="1"/>
    <col min="2" max="2" width="27.6328125" style="3" customWidth="1"/>
    <col min="3" max="3" width="47.453125" style="3" customWidth="1"/>
    <col min="4" max="4" width="16.08984375" style="3" customWidth="1"/>
    <col min="5" max="5" width="13.8164062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6"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21"/>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21"/>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21"/>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21"/>
      <c r="F5" s="21"/>
      <c r="G5" s="4"/>
      <c r="H5" s="23" t="s">
        <v>64</v>
      </c>
      <c r="I5" s="21"/>
      <c r="J5" s="21"/>
      <c r="K5" s="2"/>
      <c r="O5" s="2"/>
      <c r="P5" s="2"/>
      <c r="Q5" s="2"/>
      <c r="R5" s="2"/>
      <c r="S5" s="2"/>
      <c r="T5" s="2"/>
      <c r="U5" s="2"/>
      <c r="V5" s="2"/>
      <c r="W5" s="2"/>
      <c r="X5" s="2"/>
      <c r="Y5" s="2"/>
      <c r="Z5" s="2"/>
      <c r="AA5" s="2"/>
    </row>
    <row r="6" spans="1:27" ht="26.5" thickBot="1">
      <c r="A6" s="1" t="s">
        <v>180</v>
      </c>
      <c r="B6" s="1" t="s">
        <v>66</v>
      </c>
      <c r="C6" s="22"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89"/>
      <c r="B7" s="89"/>
      <c r="C7" s="90"/>
      <c r="D7" s="89">
        <v>1</v>
      </c>
      <c r="E7" s="89">
        <v>3</v>
      </c>
      <c r="F7" s="89">
        <v>5</v>
      </c>
      <c r="G7" s="89"/>
      <c r="H7" s="6"/>
      <c r="I7" s="6"/>
      <c r="J7" s="6"/>
      <c r="K7" s="2"/>
      <c r="O7" s="2"/>
      <c r="P7" s="2"/>
      <c r="Q7" s="2"/>
      <c r="R7" s="2"/>
      <c r="S7" s="2"/>
      <c r="T7" s="2"/>
      <c r="U7" s="2"/>
      <c r="V7" s="2"/>
      <c r="W7" s="2"/>
      <c r="X7" s="2"/>
      <c r="Y7" s="2"/>
      <c r="Z7" s="2"/>
      <c r="AA7" s="2"/>
    </row>
    <row r="8" spans="1:27" ht="151" thickTop="1" thickBot="1">
      <c r="A8" s="99" t="s">
        <v>50</v>
      </c>
      <c r="B8" s="99" t="s">
        <v>197</v>
      </c>
      <c r="C8" s="99" t="s">
        <v>215</v>
      </c>
      <c r="D8" s="99">
        <v>2</v>
      </c>
      <c r="E8" s="99">
        <v>1</v>
      </c>
      <c r="F8" s="99">
        <v>0</v>
      </c>
      <c r="G8" s="99">
        <f>D8*$D$7+E8*$E$7+F8*$F$7</f>
        <v>5</v>
      </c>
      <c r="H8" s="88"/>
      <c r="I8" s="8"/>
      <c r="J8" s="8"/>
      <c r="K8" s="2"/>
      <c r="O8" s="2"/>
      <c r="P8" s="2"/>
      <c r="Q8" s="2"/>
      <c r="R8" s="2"/>
      <c r="S8" s="2"/>
      <c r="T8" s="2"/>
      <c r="U8" s="2"/>
      <c r="V8" s="2"/>
      <c r="W8" s="2"/>
      <c r="X8" s="2"/>
      <c r="Y8" s="2"/>
      <c r="Z8" s="2"/>
      <c r="AA8" s="2"/>
    </row>
    <row r="9" spans="1:27" ht="112" customHeight="1" thickTop="1" thickBot="1">
      <c r="A9" s="99" t="s">
        <v>50</v>
      </c>
      <c r="B9" s="99" t="s">
        <v>198</v>
      </c>
      <c r="C9" s="99" t="s">
        <v>216</v>
      </c>
      <c r="D9" s="99">
        <v>4</v>
      </c>
      <c r="E9" s="99">
        <v>1</v>
      </c>
      <c r="F9" s="99">
        <v>0</v>
      </c>
      <c r="G9" s="99">
        <f t="shared" ref="G9:G25" si="0">D9*$D$7+E9*$E$7+F9*$F$7</f>
        <v>7</v>
      </c>
      <c r="H9" s="88" t="e">
        <f t="array" ref="H9">VLOOKUP(D9,[1]Guidelines!$B$4:$E$19,2,FALSE)</f>
        <v>#N/A</v>
      </c>
      <c r="I9" s="8" t="e">
        <f t="array" ref="I9">VLOOKUP(D9,[1]Guidelines!$B$4:$E$19,3,FALSE)</f>
        <v>#N/A</v>
      </c>
      <c r="J9" s="8" t="e">
        <f t="array" ref="J9">VLOOKUP(D9,[1]Guidelines!$B$4:$E$19,4,FALSE)</f>
        <v>#N/A</v>
      </c>
      <c r="K9" s="2"/>
      <c r="O9" s="2"/>
      <c r="P9" s="2"/>
      <c r="Q9" s="2"/>
      <c r="R9" s="2"/>
      <c r="S9" s="2"/>
      <c r="T9" s="2"/>
      <c r="U9" s="2"/>
      <c r="V9" s="2"/>
      <c r="W9" s="2"/>
      <c r="X9" s="2"/>
      <c r="Y9" s="2"/>
      <c r="Z9" s="2"/>
      <c r="AA9" s="2"/>
    </row>
    <row r="10" spans="1:27" ht="95.5" customHeight="1" thickTop="1" thickBot="1">
      <c r="A10" s="99" t="s">
        <v>50</v>
      </c>
      <c r="B10" s="99" t="s">
        <v>199</v>
      </c>
      <c r="C10" s="99" t="s">
        <v>217</v>
      </c>
      <c r="D10" s="99">
        <v>2</v>
      </c>
      <c r="E10" s="99">
        <v>3</v>
      </c>
      <c r="F10" s="99">
        <v>0</v>
      </c>
      <c r="G10" s="99">
        <f t="shared" si="0"/>
        <v>11</v>
      </c>
      <c r="H10" s="88"/>
      <c r="I10" s="8"/>
      <c r="J10" s="8"/>
      <c r="K10" s="2"/>
      <c r="L10" s="2"/>
      <c r="M10" s="2"/>
      <c r="N10" s="2"/>
      <c r="O10" s="2"/>
      <c r="P10" s="2"/>
      <c r="Q10" s="2"/>
      <c r="R10" s="2"/>
      <c r="S10" s="2"/>
      <c r="T10" s="2"/>
      <c r="U10" s="2"/>
      <c r="V10" s="2"/>
      <c r="W10" s="2"/>
      <c r="X10" s="2"/>
      <c r="Y10" s="2"/>
      <c r="Z10" s="2"/>
      <c r="AA10" s="2"/>
    </row>
    <row r="11" spans="1:27" ht="97" customHeight="1" thickTop="1" thickBot="1">
      <c r="A11" s="99" t="s">
        <v>50</v>
      </c>
      <c r="B11" s="99" t="s">
        <v>200</v>
      </c>
      <c r="C11" s="99" t="s">
        <v>217</v>
      </c>
      <c r="D11" s="99">
        <v>2</v>
      </c>
      <c r="E11" s="99">
        <v>1</v>
      </c>
      <c r="F11" s="99">
        <v>1</v>
      </c>
      <c r="G11" s="99">
        <f t="shared" si="0"/>
        <v>10</v>
      </c>
      <c r="H11" s="88"/>
      <c r="I11" s="8"/>
      <c r="J11" s="8"/>
      <c r="K11" s="2"/>
      <c r="L11" s="2"/>
      <c r="M11" s="2"/>
      <c r="N11" s="2"/>
      <c r="O11" s="2"/>
      <c r="P11" s="2"/>
      <c r="Q11" s="2"/>
      <c r="R11" s="2"/>
      <c r="S11" s="2"/>
      <c r="T11" s="2"/>
      <c r="U11" s="2"/>
      <c r="V11" s="2"/>
      <c r="W11" s="2"/>
      <c r="X11" s="2"/>
      <c r="Y11" s="2"/>
      <c r="Z11" s="2"/>
      <c r="AA11" s="2"/>
    </row>
    <row r="12" spans="1:27" ht="128.65" customHeight="1" thickTop="1" thickBot="1">
      <c r="A12" s="99" t="s">
        <v>50</v>
      </c>
      <c r="B12" s="99" t="s">
        <v>201</v>
      </c>
      <c r="C12" s="99" t="s">
        <v>231</v>
      </c>
      <c r="D12" s="99">
        <v>2</v>
      </c>
      <c r="E12" s="99">
        <v>2</v>
      </c>
      <c r="F12" s="99">
        <v>0</v>
      </c>
      <c r="G12" s="99">
        <f t="shared" si="0"/>
        <v>8</v>
      </c>
      <c r="H12" s="88"/>
      <c r="I12" s="8"/>
      <c r="J12" s="8"/>
      <c r="K12" s="2"/>
      <c r="L12" s="23" t="s">
        <v>73</v>
      </c>
      <c r="M12" s="21"/>
      <c r="N12" s="21"/>
      <c r="O12" s="2"/>
      <c r="P12" s="2"/>
      <c r="Q12" s="2"/>
      <c r="R12" s="2"/>
      <c r="S12" s="2"/>
      <c r="T12" s="2"/>
      <c r="U12" s="2"/>
      <c r="V12" s="2"/>
      <c r="W12" s="2"/>
      <c r="X12" s="2"/>
      <c r="Y12" s="2"/>
      <c r="Z12" s="2"/>
      <c r="AA12" s="2"/>
    </row>
    <row r="13" spans="1:27" ht="59.5" customHeight="1" thickTop="1" thickBot="1">
      <c r="A13" s="99" t="s">
        <v>51</v>
      </c>
      <c r="B13" s="99" t="s">
        <v>202</v>
      </c>
      <c r="C13" s="99" t="s">
        <v>220</v>
      </c>
      <c r="D13" s="99">
        <v>2</v>
      </c>
      <c r="E13" s="99">
        <v>3</v>
      </c>
      <c r="F13" s="99">
        <v>0</v>
      </c>
      <c r="G13" s="99">
        <f t="shared" si="0"/>
        <v>11</v>
      </c>
      <c r="H13" s="88"/>
      <c r="I13" s="8"/>
      <c r="J13" s="8"/>
      <c r="K13" s="2"/>
      <c r="L13" s="114" t="s">
        <v>73</v>
      </c>
      <c r="M13" s="115"/>
      <c r="N13" s="115"/>
      <c r="O13" s="2"/>
      <c r="P13" s="2"/>
      <c r="Q13" s="2"/>
      <c r="R13" s="2"/>
      <c r="S13" s="2"/>
      <c r="T13" s="2"/>
      <c r="U13" s="2"/>
      <c r="V13" s="2"/>
      <c r="W13" s="2"/>
      <c r="X13" s="2"/>
      <c r="Y13" s="2"/>
      <c r="Z13" s="2"/>
      <c r="AA13" s="2"/>
    </row>
    <row r="14" spans="1:27" ht="86.5" customHeight="1" thickTop="1" thickBot="1">
      <c r="A14" s="99" t="s">
        <v>51</v>
      </c>
      <c r="B14" s="99" t="s">
        <v>203</v>
      </c>
      <c r="C14" s="99" t="s">
        <v>218</v>
      </c>
      <c r="D14" s="99">
        <v>1</v>
      </c>
      <c r="E14" s="99">
        <v>2</v>
      </c>
      <c r="F14" s="99">
        <v>1</v>
      </c>
      <c r="G14" s="99">
        <f t="shared" si="0"/>
        <v>12</v>
      </c>
      <c r="H14" s="88"/>
      <c r="I14" s="8"/>
      <c r="J14" s="8"/>
      <c r="K14" s="2"/>
      <c r="L14" s="9" t="s">
        <v>33</v>
      </c>
      <c r="M14" s="2"/>
      <c r="N14" s="9" t="s">
        <v>34</v>
      </c>
      <c r="O14" s="2"/>
      <c r="P14" s="2"/>
      <c r="Q14" s="2"/>
      <c r="R14" s="2"/>
      <c r="S14" s="2"/>
      <c r="T14" s="2"/>
      <c r="U14" s="2"/>
      <c r="V14" s="2"/>
      <c r="W14" s="2"/>
      <c r="X14" s="2"/>
      <c r="Y14" s="2"/>
      <c r="Z14" s="2"/>
      <c r="AA14" s="2"/>
    </row>
    <row r="15" spans="1:27" ht="91.15" customHeight="1" thickTop="1" thickBot="1">
      <c r="A15" s="99" t="s">
        <v>51</v>
      </c>
      <c r="B15" s="99" t="s">
        <v>204</v>
      </c>
      <c r="C15" s="99" t="s">
        <v>219</v>
      </c>
      <c r="D15" s="99">
        <v>3</v>
      </c>
      <c r="E15" s="99">
        <v>2</v>
      </c>
      <c r="F15" s="99">
        <v>0</v>
      </c>
      <c r="G15" s="99">
        <f t="shared" si="0"/>
        <v>9</v>
      </c>
      <c r="H15" s="88"/>
      <c r="I15" s="8"/>
      <c r="J15" s="8"/>
      <c r="K15" s="2"/>
      <c r="L15" s="2" t="s">
        <v>4</v>
      </c>
      <c r="M15" s="2"/>
      <c r="N15" s="2">
        <v>0</v>
      </c>
      <c r="O15" s="2"/>
      <c r="P15" s="2"/>
      <c r="Q15" s="2"/>
      <c r="R15" s="2"/>
      <c r="S15" s="2"/>
      <c r="T15" s="2"/>
      <c r="U15" s="2"/>
      <c r="V15" s="2"/>
      <c r="W15" s="2"/>
      <c r="X15" s="2"/>
      <c r="Y15" s="2"/>
      <c r="Z15" s="2"/>
      <c r="AA15" s="2"/>
    </row>
    <row r="16" spans="1:27" ht="86.5" customHeight="1" thickTop="1" thickBot="1">
      <c r="A16" s="99" t="s">
        <v>52</v>
      </c>
      <c r="B16" s="99" t="s">
        <v>205</v>
      </c>
      <c r="C16" s="99" t="s">
        <v>221</v>
      </c>
      <c r="D16" s="99"/>
      <c r="E16" s="99"/>
      <c r="F16" s="99"/>
      <c r="G16" s="99">
        <f t="shared" si="0"/>
        <v>0</v>
      </c>
      <c r="H16" s="88"/>
      <c r="I16" s="8"/>
      <c r="J16" s="8"/>
      <c r="K16" s="2"/>
      <c r="L16" s="2" t="s">
        <v>6</v>
      </c>
      <c r="M16" s="2"/>
      <c r="N16" s="2">
        <v>0</v>
      </c>
      <c r="O16" s="2"/>
      <c r="P16" s="2"/>
      <c r="Q16" s="2"/>
      <c r="R16" s="2"/>
      <c r="S16" s="2"/>
      <c r="T16" s="2"/>
      <c r="U16" s="2"/>
      <c r="V16" s="2"/>
      <c r="W16" s="2"/>
      <c r="X16" s="2"/>
      <c r="Y16" s="2"/>
      <c r="Z16" s="2"/>
      <c r="AA16" s="2"/>
    </row>
    <row r="17" spans="1:27" ht="126" thickTop="1" thickBot="1">
      <c r="A17" s="99" t="s">
        <v>53</v>
      </c>
      <c r="B17" s="99" t="s">
        <v>206</v>
      </c>
      <c r="C17" s="99" t="s">
        <v>222</v>
      </c>
      <c r="D17" s="99">
        <v>3</v>
      </c>
      <c r="E17" s="99">
        <v>0</v>
      </c>
      <c r="F17" s="99">
        <v>0</v>
      </c>
      <c r="G17" s="99">
        <f t="shared" si="0"/>
        <v>3</v>
      </c>
      <c r="H17" s="88"/>
      <c r="I17" s="8"/>
      <c r="J17" s="8"/>
      <c r="K17" s="2"/>
      <c r="L17" s="2"/>
      <c r="M17" s="2"/>
      <c r="N17" s="2"/>
      <c r="O17" s="2"/>
      <c r="P17" s="2"/>
      <c r="Q17" s="2"/>
      <c r="R17" s="2"/>
      <c r="S17" s="2"/>
      <c r="T17" s="2"/>
      <c r="U17" s="2"/>
      <c r="V17" s="2"/>
      <c r="W17" s="2"/>
      <c r="X17" s="2"/>
      <c r="Y17" s="2"/>
      <c r="Z17" s="2"/>
      <c r="AA17" s="2"/>
    </row>
    <row r="18" spans="1:27" ht="26" customHeight="1" thickTop="1" thickBot="1">
      <c r="A18" s="99" t="s">
        <v>53</v>
      </c>
      <c r="B18" s="99" t="s">
        <v>207</v>
      </c>
      <c r="C18" s="99" t="s">
        <v>223</v>
      </c>
      <c r="D18" s="99">
        <v>1</v>
      </c>
      <c r="E18" s="99">
        <v>1</v>
      </c>
      <c r="F18" s="99">
        <v>0</v>
      </c>
      <c r="G18" s="99">
        <f t="shared" si="0"/>
        <v>4</v>
      </c>
      <c r="H18" s="88" t="e">
        <f t="array" ref="H18">VLOOKUP(D21,[1]Guidelines!$B$4:$E$19,2,FALSE)</f>
        <v>#N/A</v>
      </c>
      <c r="I18" s="8" t="e">
        <f t="array" ref="I18">VLOOKUP(D21,[1]Guidelines!$B$4:$E$19,3,FALSE)</f>
        <v>#N/A</v>
      </c>
      <c r="J18" s="8" t="e">
        <f t="array" ref="J18">VLOOKUP(D21,[1]Guidelines!$B$4:$E$19,4,FALSE)</f>
        <v>#N/A</v>
      </c>
      <c r="K18" s="2"/>
      <c r="L18" s="2" t="s">
        <v>8</v>
      </c>
      <c r="M18" s="2"/>
      <c r="N18" s="2">
        <v>0</v>
      </c>
      <c r="O18" s="2"/>
      <c r="P18" s="2"/>
      <c r="Q18" s="2"/>
      <c r="R18" s="2"/>
      <c r="S18" s="2"/>
      <c r="T18" s="2"/>
      <c r="U18" s="2"/>
      <c r="V18" s="2"/>
      <c r="W18" s="2"/>
      <c r="X18" s="2"/>
      <c r="Y18" s="2"/>
      <c r="Z18" s="2"/>
      <c r="AA18" s="2"/>
    </row>
    <row r="19" spans="1:27" ht="138.5" thickTop="1" thickBot="1">
      <c r="A19" s="99" t="s">
        <v>53</v>
      </c>
      <c r="B19" s="99" t="s">
        <v>209</v>
      </c>
      <c r="C19" s="99" t="s">
        <v>224</v>
      </c>
      <c r="D19" s="99">
        <v>2</v>
      </c>
      <c r="E19" s="99">
        <v>1</v>
      </c>
      <c r="F19" s="99">
        <v>0</v>
      </c>
      <c r="G19" s="99">
        <f t="shared" si="0"/>
        <v>5</v>
      </c>
      <c r="H19" s="88" t="e">
        <f t="array" ref="H19">VLOOKUP(#REF!,[1]Guidelines!$B$4:$E$19,2,FALSE)</f>
        <v>#REF!</v>
      </c>
      <c r="I19" s="8" t="e">
        <f t="array" ref="I19">VLOOKUP(#REF!,[1]Guidelines!$B$4:$E$19,3,FALSE)</f>
        <v>#REF!</v>
      </c>
      <c r="J19" s="8" t="e">
        <f t="array" ref="J19">VLOOKUP(#REF!,[1]Guidelines!$B$4:$E$19,4,FALSE)</f>
        <v>#REF!</v>
      </c>
      <c r="K19" s="2"/>
      <c r="L19" s="2" t="s">
        <v>10</v>
      </c>
      <c r="M19" s="2"/>
      <c r="N19" s="2">
        <v>3</v>
      </c>
      <c r="O19" s="2"/>
      <c r="P19" s="2"/>
      <c r="Q19" s="2"/>
      <c r="R19" s="2"/>
      <c r="S19" s="2"/>
      <c r="T19" s="2"/>
      <c r="U19" s="2"/>
      <c r="V19" s="2"/>
      <c r="W19" s="2"/>
      <c r="X19" s="2"/>
      <c r="Y19" s="2"/>
      <c r="Z19" s="2"/>
      <c r="AA19" s="2"/>
    </row>
    <row r="20" spans="1:27" ht="101" thickTop="1" thickBot="1">
      <c r="A20" s="99" t="s">
        <v>53</v>
      </c>
      <c r="B20" s="99" t="s">
        <v>208</v>
      </c>
      <c r="C20" s="99" t="s">
        <v>225</v>
      </c>
      <c r="D20" s="99">
        <v>3</v>
      </c>
      <c r="E20" s="99">
        <v>0</v>
      </c>
      <c r="F20" s="99">
        <v>0</v>
      </c>
      <c r="G20" s="99">
        <f t="shared" si="0"/>
        <v>3</v>
      </c>
      <c r="H20" s="88"/>
      <c r="I20" s="8"/>
      <c r="J20" s="8"/>
      <c r="K20" s="2"/>
      <c r="L20" s="2" t="s">
        <v>13</v>
      </c>
      <c r="M20" s="2"/>
      <c r="N20" s="2">
        <v>4</v>
      </c>
      <c r="O20" s="2"/>
      <c r="P20" s="2"/>
      <c r="Q20" s="2"/>
      <c r="R20" s="2"/>
      <c r="S20" s="2"/>
      <c r="T20" s="2"/>
      <c r="U20" s="2"/>
      <c r="V20" s="2"/>
      <c r="W20" s="2"/>
      <c r="X20" s="2"/>
      <c r="Y20" s="2"/>
      <c r="Z20" s="2"/>
      <c r="AA20" s="2"/>
    </row>
    <row r="21" spans="1:27" ht="28.5" customHeight="1" thickTop="1" thickBot="1">
      <c r="A21" s="99" t="s">
        <v>54</v>
      </c>
      <c r="B21" s="99" t="s">
        <v>210</v>
      </c>
      <c r="C21" s="99" t="s">
        <v>226</v>
      </c>
      <c r="D21" s="99"/>
      <c r="E21" s="99"/>
      <c r="F21" s="99"/>
      <c r="G21" s="99">
        <f t="shared" si="0"/>
        <v>0</v>
      </c>
      <c r="H21" s="88" t="e">
        <f t="array" ref="H21">VLOOKUP(#REF!,[1]Guidelines!$B$4:$E$19,2,FALSE)</f>
        <v>#REF!</v>
      </c>
      <c r="I21" s="8" t="e">
        <f t="array" ref="I21">VLOOKUP(#REF!,[1]Guidelines!$B$4:$E$19,3,FALSE)</f>
        <v>#REF!</v>
      </c>
      <c r="J21" s="8" t="e">
        <f t="array" ref="J21">VLOOKUP(#REF!,[1]Guidelines!$B$4:$E$19,4,FALSE)</f>
        <v>#REF!</v>
      </c>
      <c r="K21" s="2"/>
      <c r="L21" s="2"/>
      <c r="M21" s="2"/>
      <c r="N21" s="2"/>
      <c r="O21" s="2"/>
      <c r="P21" s="2"/>
      <c r="Q21" s="2"/>
      <c r="R21" s="2"/>
      <c r="S21" s="2"/>
      <c r="T21" s="2"/>
      <c r="U21" s="2"/>
      <c r="V21" s="2"/>
      <c r="W21" s="2"/>
      <c r="X21" s="2"/>
      <c r="Y21" s="2"/>
      <c r="Z21" s="2"/>
      <c r="AA21" s="2"/>
    </row>
    <row r="22" spans="1:27" ht="101" thickTop="1" thickBot="1">
      <c r="A22" s="99" t="s">
        <v>55</v>
      </c>
      <c r="B22" s="99" t="s">
        <v>211</v>
      </c>
      <c r="C22" s="99" t="s">
        <v>227</v>
      </c>
      <c r="D22" s="99">
        <v>4</v>
      </c>
      <c r="E22" s="99">
        <v>2</v>
      </c>
      <c r="F22" s="99">
        <v>0</v>
      </c>
      <c r="G22" s="99">
        <f t="shared" si="0"/>
        <v>10</v>
      </c>
      <c r="H22" s="88"/>
      <c r="I22" s="8"/>
      <c r="J22" s="8"/>
      <c r="K22" s="2"/>
      <c r="L22" s="2" t="s">
        <v>15</v>
      </c>
      <c r="M22" s="2"/>
      <c r="N22" s="2">
        <v>3</v>
      </c>
      <c r="O22" s="2"/>
      <c r="P22" s="2"/>
      <c r="Q22" s="2"/>
      <c r="R22" s="2"/>
      <c r="S22" s="2"/>
      <c r="T22" s="2"/>
      <c r="U22" s="2"/>
      <c r="V22" s="2"/>
      <c r="W22" s="2"/>
      <c r="X22" s="2"/>
      <c r="Y22" s="2"/>
      <c r="Z22" s="2"/>
      <c r="AA22" s="2"/>
    </row>
    <row r="23" spans="1:27" ht="113.5" thickTop="1" thickBot="1">
      <c r="A23" s="99" t="s">
        <v>55</v>
      </c>
      <c r="B23" s="99" t="s">
        <v>212</v>
      </c>
      <c r="C23" s="99" t="s">
        <v>228</v>
      </c>
      <c r="D23" s="99">
        <v>2</v>
      </c>
      <c r="E23" s="99">
        <v>2</v>
      </c>
      <c r="F23" s="99">
        <v>0</v>
      </c>
      <c r="G23" s="99">
        <f t="shared" si="0"/>
        <v>8</v>
      </c>
      <c r="H23" s="88"/>
      <c r="I23" s="8"/>
      <c r="J23" s="8"/>
      <c r="K23" s="2"/>
      <c r="L23" s="2" t="s">
        <v>17</v>
      </c>
      <c r="M23" s="2"/>
      <c r="N23" s="2">
        <v>2</v>
      </c>
      <c r="O23" s="2"/>
      <c r="P23" s="2"/>
      <c r="Q23" s="2"/>
      <c r="R23" s="2"/>
      <c r="S23" s="2"/>
      <c r="T23" s="2"/>
      <c r="U23" s="2"/>
      <c r="V23" s="2"/>
      <c r="W23" s="2"/>
      <c r="X23" s="2"/>
      <c r="Y23" s="2"/>
      <c r="Z23" s="2"/>
      <c r="AA23" s="2"/>
    </row>
    <row r="24" spans="1:27" ht="163.5" thickTop="1" thickBot="1">
      <c r="A24" s="99" t="s">
        <v>55</v>
      </c>
      <c r="B24" s="99" t="s">
        <v>213</v>
      </c>
      <c r="C24" s="99" t="s">
        <v>229</v>
      </c>
      <c r="D24" s="99">
        <v>2</v>
      </c>
      <c r="E24" s="99">
        <v>3</v>
      </c>
      <c r="F24" s="99">
        <v>1</v>
      </c>
      <c r="G24" s="99">
        <f t="shared" si="0"/>
        <v>16</v>
      </c>
      <c r="H24" s="88"/>
      <c r="I24" s="8"/>
      <c r="J24" s="8"/>
      <c r="K24" s="2"/>
      <c r="L24" s="2" t="s">
        <v>19</v>
      </c>
      <c r="M24" s="2"/>
      <c r="N24" s="2">
        <v>1</v>
      </c>
      <c r="O24" s="2"/>
      <c r="P24" s="2"/>
      <c r="Q24" s="2"/>
      <c r="R24" s="2"/>
      <c r="S24" s="2"/>
      <c r="T24" s="2"/>
      <c r="U24" s="2"/>
      <c r="V24" s="2"/>
      <c r="W24" s="2"/>
      <c r="X24" s="2"/>
      <c r="Y24" s="2"/>
      <c r="Z24" s="2"/>
      <c r="AA24" s="2"/>
    </row>
    <row r="25" spans="1:27" ht="113.5" thickTop="1" thickBot="1">
      <c r="A25" s="99" t="s">
        <v>55</v>
      </c>
      <c r="B25" s="99" t="s">
        <v>214</v>
      </c>
      <c r="C25" s="99" t="s">
        <v>230</v>
      </c>
      <c r="D25" s="99">
        <v>2</v>
      </c>
      <c r="E25" s="99">
        <v>2</v>
      </c>
      <c r="F25" s="99">
        <v>0</v>
      </c>
      <c r="G25" s="99">
        <f t="shared" si="0"/>
        <v>8</v>
      </c>
      <c r="H25" s="88"/>
      <c r="I25" s="8"/>
      <c r="J25" s="8"/>
      <c r="K25" s="2"/>
      <c r="L25" s="2" t="s">
        <v>21</v>
      </c>
      <c r="M25" s="2"/>
      <c r="N25" s="2">
        <v>3</v>
      </c>
      <c r="O25" s="2"/>
      <c r="P25" s="2"/>
      <c r="Q25" s="2"/>
      <c r="R25" s="2"/>
      <c r="S25" s="2"/>
      <c r="T25" s="2"/>
      <c r="U25" s="2"/>
      <c r="V25" s="2"/>
      <c r="W25" s="2"/>
      <c r="X25" s="2"/>
      <c r="Y25" s="2"/>
      <c r="Z25" s="2"/>
      <c r="AA25" s="2"/>
    </row>
    <row r="26" spans="1:27" ht="15.5" thickTop="1" thickBot="1">
      <c r="A26" s="99"/>
      <c r="B26" s="99"/>
      <c r="C26" s="100"/>
      <c r="D26" s="99"/>
      <c r="E26" s="99"/>
      <c r="F26" s="99"/>
      <c r="G26" s="99"/>
      <c r="H26" s="88"/>
      <c r="I26" s="8"/>
      <c r="J26" s="8"/>
      <c r="K26" s="2"/>
      <c r="L26" s="2" t="s">
        <v>23</v>
      </c>
      <c r="M26" s="2"/>
      <c r="N26" s="2">
        <v>4</v>
      </c>
      <c r="O26" s="2"/>
      <c r="P26" s="2"/>
      <c r="Q26" s="2"/>
      <c r="R26" s="2"/>
      <c r="S26" s="2"/>
      <c r="T26" s="2"/>
      <c r="U26" s="2"/>
      <c r="V26" s="2"/>
      <c r="W26" s="2"/>
      <c r="X26" s="2"/>
      <c r="Y26" s="2"/>
      <c r="Z26" s="2"/>
      <c r="AA26" s="2"/>
    </row>
    <row r="27" spans="1:27" ht="12.75" customHeight="1" thickTop="1" thickBot="1">
      <c r="A27" s="99"/>
      <c r="B27" s="99"/>
      <c r="C27" s="100"/>
      <c r="D27" s="96"/>
      <c r="E27" s="96"/>
      <c r="F27" s="97" t="s">
        <v>185</v>
      </c>
      <c r="G27" s="98">
        <f>SUM(G8:G25)</f>
        <v>130</v>
      </c>
      <c r="H27" s="8" t="e">
        <f t="array" ref="H27">VLOOKUP(#REF!,[1]Guidelines!$B$4:$E$19,2,FALSE)</f>
        <v>#REF!</v>
      </c>
      <c r="I27" s="8" t="e">
        <f t="array" ref="I27">VLOOKUP(#REF!,[1]Guidelines!$B$4:$E$19,3,FALSE)</f>
        <v>#REF!</v>
      </c>
      <c r="J27" s="8" t="e">
        <f t="array" ref="J27">VLOOKUP(#REF!,[1]Guidelines!$B$4:$E$19,4,FALSE)</f>
        <v>#REF!</v>
      </c>
      <c r="K27" s="2"/>
      <c r="L27" s="2" t="s">
        <v>26</v>
      </c>
      <c r="M27" s="2"/>
      <c r="N27" s="2">
        <v>4</v>
      </c>
      <c r="O27" s="2"/>
      <c r="P27" s="2"/>
      <c r="Q27" s="2"/>
      <c r="R27" s="2"/>
      <c r="S27" s="2"/>
      <c r="T27" s="2"/>
      <c r="U27" s="2"/>
      <c r="V27" s="2"/>
      <c r="W27" s="2"/>
      <c r="X27" s="2"/>
      <c r="Y27" s="2"/>
      <c r="Z27" s="2"/>
      <c r="AA27" s="2"/>
    </row>
    <row r="28" spans="1:27" ht="12.75" customHeight="1" thickTop="1" thickBot="1">
      <c r="A28" s="91"/>
      <c r="B28" s="92"/>
      <c r="C28" s="92"/>
      <c r="D28" s="92"/>
      <c r="E28" s="92"/>
      <c r="F28" s="92"/>
      <c r="G28" s="92"/>
      <c r="H28" s="2"/>
      <c r="I28" s="2"/>
      <c r="J28" s="2"/>
      <c r="K28" s="2"/>
      <c r="L28" s="2" t="s">
        <v>29</v>
      </c>
      <c r="M28" s="2"/>
      <c r="N28" s="2">
        <v>4</v>
      </c>
      <c r="O28" s="2"/>
      <c r="P28" s="2"/>
      <c r="Q28" s="2"/>
      <c r="R28" s="2"/>
      <c r="S28" s="2"/>
      <c r="T28" s="2"/>
      <c r="U28" s="2"/>
      <c r="V28" s="2"/>
      <c r="W28" s="2"/>
      <c r="X28" s="2"/>
      <c r="Y28" s="2"/>
      <c r="Z28" s="2"/>
      <c r="AA28" s="2"/>
    </row>
    <row r="29" spans="1:27" ht="12.75" customHeight="1" thickBot="1">
      <c r="A29" s="2"/>
      <c r="B29" s="2"/>
      <c r="C29" s="2"/>
      <c r="D29" s="2"/>
      <c r="E29" s="2"/>
      <c r="F29" s="2"/>
      <c r="G29" s="2"/>
      <c r="H29" s="2"/>
      <c r="I29" s="2"/>
      <c r="J29" s="2"/>
      <c r="K29" s="2"/>
      <c r="L29" s="2" t="s">
        <v>32</v>
      </c>
      <c r="M29" s="2"/>
      <c r="N29" s="2">
        <v>4</v>
      </c>
      <c r="O29" s="2"/>
      <c r="P29" s="2"/>
      <c r="Q29" s="2"/>
      <c r="R29" s="2"/>
      <c r="S29" s="2"/>
      <c r="T29" s="2"/>
      <c r="U29" s="2"/>
      <c r="V29" s="2"/>
      <c r="W29" s="2"/>
      <c r="X29" s="2"/>
      <c r="Y29" s="2"/>
      <c r="Z29" s="2"/>
      <c r="AA29" s="2"/>
    </row>
    <row r="30" spans="1:27" ht="12.75" customHeight="1" thickBot="1">
      <c r="A30" s="2"/>
      <c r="B30" s="2"/>
      <c r="C30" s="9" t="s">
        <v>38</v>
      </c>
      <c r="D30" s="13">
        <v>0.14130000000000001</v>
      </c>
      <c r="E30" s="9" t="e">
        <f t="array" ref="E30">VLOOKUP(D1,'[1]Baseline Productivity '!A4:D8,4,FALSE)</f>
        <v>#N/A</v>
      </c>
      <c r="F30" s="2"/>
      <c r="G30" s="2"/>
      <c r="H30" s="2"/>
      <c r="I30" s="2"/>
      <c r="J30" s="2"/>
      <c r="K30" s="2"/>
      <c r="L30" s="2" t="s">
        <v>35</v>
      </c>
      <c r="M30" s="2"/>
      <c r="N30" s="2">
        <v>4</v>
      </c>
      <c r="O30" s="2"/>
      <c r="P30" s="2"/>
      <c r="Q30" s="2"/>
      <c r="R30" s="2"/>
      <c r="S30" s="2"/>
      <c r="T30" s="2"/>
      <c r="U30" s="2"/>
      <c r="V30" s="2"/>
      <c r="W30" s="2"/>
      <c r="X30" s="2"/>
      <c r="Y30" s="2"/>
      <c r="Z30" s="2"/>
      <c r="AA30" s="2"/>
    </row>
    <row r="31" spans="1:27" ht="12.75" customHeight="1" thickBot="1">
      <c r="A31" s="2"/>
      <c r="B31" s="2"/>
      <c r="C31" s="16" t="s">
        <v>0</v>
      </c>
      <c r="D31" s="15">
        <v>130</v>
      </c>
      <c r="E31" s="16" t="s">
        <v>76</v>
      </c>
      <c r="F31" s="2"/>
      <c r="G31" s="2"/>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
      <c r="B32" s="2"/>
      <c r="C32" s="9" t="s">
        <v>77</v>
      </c>
      <c r="D32" s="17">
        <f>D31/D30</f>
        <v>920.02830856334037</v>
      </c>
      <c r="E32" s="9" t="s">
        <v>78</v>
      </c>
      <c r="F32" s="2"/>
      <c r="G32" s="2"/>
      <c r="H32" s="2"/>
      <c r="I32" s="2"/>
      <c r="J32" s="2"/>
      <c r="K32" s="2"/>
      <c r="L32" s="2"/>
      <c r="M32" s="2"/>
      <c r="N32" s="2"/>
      <c r="O32" s="2"/>
      <c r="P32" s="2"/>
      <c r="Q32" s="2"/>
      <c r="R32" s="2"/>
      <c r="S32" s="2"/>
      <c r="T32" s="2"/>
      <c r="U32" s="2"/>
      <c r="V32" s="2"/>
      <c r="W32" s="2"/>
      <c r="X32" s="2"/>
      <c r="Y32" s="2"/>
      <c r="Z32" s="2"/>
      <c r="AA32" s="2"/>
    </row>
    <row r="33" spans="1:27" ht="12.75" customHeight="1" thickBot="1">
      <c r="A33" s="2"/>
      <c r="B33" s="2"/>
      <c r="C33" s="9" t="s">
        <v>79</v>
      </c>
      <c r="D33" s="13">
        <f>0.65+0.01*$N$31</f>
        <v>1.01</v>
      </c>
      <c r="E33" s="2"/>
      <c r="F33" s="2"/>
      <c r="G33" s="2"/>
      <c r="H33" s="2"/>
      <c r="I33" s="2"/>
      <c r="J33" s="2"/>
      <c r="K33" s="2"/>
      <c r="L33" s="2"/>
      <c r="M33" s="2"/>
      <c r="N33" s="2"/>
      <c r="O33" s="2"/>
      <c r="P33" s="2"/>
      <c r="Q33" s="2"/>
      <c r="R33" s="2"/>
      <c r="S33" s="2"/>
      <c r="T33" s="2"/>
      <c r="U33" s="2"/>
      <c r="V33" s="2"/>
      <c r="W33" s="2"/>
      <c r="X33" s="2"/>
      <c r="Y33" s="2"/>
      <c r="Z33" s="2"/>
      <c r="AA33" s="2"/>
    </row>
    <row r="34" spans="1:27" ht="12.75" customHeight="1" thickBot="1">
      <c r="A34" s="2"/>
      <c r="B34" s="2"/>
      <c r="C34" s="9" t="s">
        <v>80</v>
      </c>
      <c r="D34" s="18">
        <v>0.05</v>
      </c>
      <c r="E34" s="2"/>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9" t="s">
        <v>81</v>
      </c>
      <c r="D35" s="18">
        <v>0.1</v>
      </c>
      <c r="E35" s="2"/>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9" t="s">
        <v>196</v>
      </c>
      <c r="D36" s="19">
        <f>((D32*D33)+(D32*D33*D34))+((D32*D33)+(D32*D33*D34))*D35</f>
        <v>1073.2590233545648</v>
      </c>
      <c r="E36" s="9" t="s">
        <v>78</v>
      </c>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2" t="s">
        <v>83</v>
      </c>
      <c r="D38" s="20">
        <f>D36+5%*D36</f>
        <v>1126.9219745222931</v>
      </c>
      <c r="E38" s="20">
        <f>D36-5%*D36</f>
        <v>1019.5960721868365</v>
      </c>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ustomHeight="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ustomHeight="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ustomHeight="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ustomHeight="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ustomHeight="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ustomHeight="1"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2.75" customHeight="1" thickBo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2.75" customHeight="1" thickBo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2.75" customHeight="1" thickBo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2.75" customHeight="1" thickBo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2.75" customHeight="1" thickBot="1">
      <c r="A1001" s="2"/>
      <c r="H1001" s="2"/>
      <c r="I1001" s="2"/>
      <c r="J1001" s="2"/>
      <c r="K1001" s="2"/>
      <c r="L1001" s="2"/>
      <c r="M1001" s="2"/>
      <c r="N1001" s="2"/>
      <c r="O1001" s="2"/>
      <c r="P1001" s="2"/>
      <c r="Q1001" s="2"/>
      <c r="R1001" s="2"/>
      <c r="S1001" s="2"/>
      <c r="T1001" s="2"/>
      <c r="U1001" s="2"/>
      <c r="V1001" s="2"/>
      <c r="W1001" s="2"/>
      <c r="X1001" s="2"/>
      <c r="Y1001" s="2"/>
      <c r="Z1001" s="2"/>
      <c r="AA1001" s="2"/>
    </row>
    <row r="1002" spans="1:27" thickBot="1">
      <c r="A1002" s="2"/>
    </row>
  </sheetData>
  <mergeCells count="1">
    <mergeCell ref="L13:N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2"/>
  <sheetViews>
    <sheetView zoomScale="80" zoomScaleNormal="80" workbookViewId="0">
      <selection activeCell="D10" sqref="D10"/>
    </sheetView>
  </sheetViews>
  <sheetFormatPr defaultColWidth="14.36328125" defaultRowHeight="15" thickBottom="1"/>
  <cols>
    <col min="1" max="1" width="24" style="24" customWidth="1"/>
    <col min="2" max="2" width="27.6328125" style="24" customWidth="1"/>
    <col min="3" max="3" width="47.453125" style="3" customWidth="1"/>
    <col min="4" max="4" width="16.08984375" style="3" customWidth="1"/>
    <col min="5" max="5" width="13.8164062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6" style="3" customWidth="1"/>
    <col min="13" max="13" width="5.453125" style="3" customWidth="1"/>
    <col min="14" max="14" width="10.08984375" style="3" customWidth="1"/>
    <col min="15" max="27" width="8.7265625" style="3" customWidth="1"/>
    <col min="28" max="16384" width="14.36328125" style="3"/>
  </cols>
  <sheetData>
    <row r="1" spans="1:27" thickBot="1">
      <c r="A1" s="1"/>
      <c r="B1" s="1" t="s">
        <v>59</v>
      </c>
      <c r="C1" s="21"/>
      <c r="D1" s="2" t="s">
        <v>60</v>
      </c>
      <c r="E1" s="2"/>
      <c r="F1" s="2"/>
      <c r="G1" s="2"/>
      <c r="H1" s="2"/>
      <c r="I1" s="2"/>
      <c r="J1" s="2"/>
      <c r="K1" s="2"/>
      <c r="L1" s="2"/>
      <c r="M1" s="2"/>
      <c r="N1" s="2"/>
      <c r="O1" s="2"/>
      <c r="P1" s="2"/>
      <c r="Q1" s="2"/>
      <c r="R1" s="2"/>
      <c r="S1" s="2"/>
      <c r="T1" s="2"/>
      <c r="U1" s="2"/>
      <c r="V1" s="2"/>
      <c r="W1" s="2"/>
      <c r="X1" s="2"/>
      <c r="Y1" s="2"/>
      <c r="Z1" s="2"/>
      <c r="AA1" s="2"/>
    </row>
    <row r="2" spans="1:27" thickBot="1">
      <c r="A2" s="1"/>
      <c r="B2" s="1" t="s">
        <v>61</v>
      </c>
      <c r="C2" s="21"/>
      <c r="D2" s="2"/>
      <c r="E2" s="2"/>
      <c r="F2" s="2"/>
      <c r="G2" s="2"/>
      <c r="H2" s="2"/>
      <c r="I2" s="2"/>
      <c r="J2" s="2"/>
      <c r="K2" s="2"/>
      <c r="L2" s="2"/>
      <c r="M2" s="2"/>
      <c r="N2" s="2"/>
      <c r="O2" s="2"/>
      <c r="P2" s="2"/>
      <c r="Q2" s="2"/>
      <c r="R2" s="2"/>
      <c r="S2" s="2"/>
      <c r="T2" s="2"/>
      <c r="U2" s="2"/>
      <c r="V2" s="2"/>
      <c r="W2" s="2"/>
      <c r="X2" s="2"/>
      <c r="Y2" s="2"/>
      <c r="Z2" s="2"/>
      <c r="AA2" s="2"/>
    </row>
    <row r="3" spans="1:27" thickBot="1">
      <c r="A3" s="1"/>
      <c r="B3" s="1" t="s">
        <v>62</v>
      </c>
      <c r="C3" s="21"/>
      <c r="D3" s="2"/>
      <c r="E3" s="2"/>
      <c r="F3" s="2"/>
      <c r="G3" s="2"/>
      <c r="H3" s="2"/>
      <c r="I3" s="2"/>
      <c r="J3" s="2"/>
      <c r="K3" s="2"/>
      <c r="L3" s="2"/>
      <c r="M3" s="2"/>
      <c r="N3" s="2"/>
      <c r="O3" s="2"/>
      <c r="P3" s="2"/>
      <c r="Q3" s="2"/>
      <c r="R3" s="2"/>
      <c r="S3" s="2"/>
      <c r="T3" s="2"/>
      <c r="U3" s="2"/>
      <c r="V3" s="2"/>
      <c r="W3" s="2"/>
      <c r="X3" s="2"/>
      <c r="Y3" s="2"/>
      <c r="Z3" s="2"/>
      <c r="AA3" s="2"/>
    </row>
    <row r="4" spans="1:27" thickBot="1">
      <c r="A4" s="7"/>
      <c r="B4" s="7"/>
      <c r="C4" s="2"/>
      <c r="D4" s="2"/>
      <c r="E4" s="2"/>
      <c r="F4" s="2"/>
      <c r="G4" s="2"/>
      <c r="H4" s="2"/>
      <c r="I4" s="2"/>
      <c r="J4" s="2"/>
      <c r="K4" s="2"/>
      <c r="L4" s="2"/>
      <c r="M4" s="2"/>
      <c r="N4" s="2"/>
      <c r="O4" s="2"/>
      <c r="P4" s="2"/>
      <c r="Q4" s="2"/>
      <c r="R4" s="2"/>
      <c r="S4" s="2"/>
      <c r="T4" s="2"/>
      <c r="U4" s="2"/>
      <c r="V4" s="2"/>
      <c r="W4" s="2"/>
      <c r="X4" s="2"/>
      <c r="Y4" s="2"/>
      <c r="Z4" s="2"/>
      <c r="AA4" s="2"/>
    </row>
    <row r="5" spans="1:27" thickBot="1">
      <c r="A5" s="7"/>
      <c r="B5" s="7"/>
      <c r="C5" s="2"/>
      <c r="D5" s="22" t="s">
        <v>63</v>
      </c>
      <c r="E5" s="21"/>
      <c r="F5" s="21"/>
      <c r="G5" s="4"/>
      <c r="H5" s="23" t="s">
        <v>64</v>
      </c>
      <c r="I5" s="21"/>
      <c r="J5" s="21"/>
      <c r="K5" s="2"/>
      <c r="O5" s="2"/>
      <c r="P5" s="2"/>
      <c r="Q5" s="2"/>
      <c r="R5" s="2"/>
      <c r="S5" s="2"/>
      <c r="T5" s="2"/>
      <c r="U5" s="2"/>
      <c r="V5" s="2"/>
      <c r="W5" s="2"/>
      <c r="X5" s="2"/>
      <c r="Y5" s="2"/>
      <c r="Z5" s="2"/>
      <c r="AA5" s="2"/>
    </row>
    <row r="6" spans="1:27" ht="26.5" thickBot="1">
      <c r="A6" s="1" t="s">
        <v>180</v>
      </c>
      <c r="B6" s="1" t="s">
        <v>66</v>
      </c>
      <c r="C6" s="22"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thickBot="1">
      <c r="A7" s="89"/>
      <c r="B7" s="89"/>
      <c r="C7" s="90"/>
      <c r="D7" s="89">
        <v>1</v>
      </c>
      <c r="E7" s="89">
        <v>3</v>
      </c>
      <c r="F7" s="89">
        <v>5</v>
      </c>
      <c r="G7" s="89"/>
      <c r="H7" s="6"/>
      <c r="I7" s="6"/>
      <c r="J7" s="6"/>
      <c r="K7" s="2"/>
      <c r="O7" s="2"/>
      <c r="P7" s="2"/>
      <c r="Q7" s="2"/>
      <c r="R7" s="2"/>
      <c r="S7" s="2"/>
      <c r="T7" s="2"/>
      <c r="U7" s="2"/>
      <c r="V7" s="2"/>
      <c r="W7" s="2"/>
      <c r="X7" s="2"/>
      <c r="Y7" s="2"/>
      <c r="Z7" s="2"/>
      <c r="AA7" s="2"/>
    </row>
    <row r="8" spans="1:27" ht="88" thickTop="1" thickBot="1">
      <c r="A8" s="99" t="s">
        <v>56</v>
      </c>
      <c r="B8" s="99" t="s">
        <v>359</v>
      </c>
      <c r="C8" s="105" t="s">
        <v>242</v>
      </c>
      <c r="D8" s="99"/>
      <c r="E8" s="99"/>
      <c r="F8" s="99"/>
      <c r="G8" s="99"/>
      <c r="H8" s="88"/>
      <c r="I8" s="8"/>
      <c r="J8" s="8"/>
      <c r="K8" s="2"/>
      <c r="O8" s="2"/>
      <c r="P8" s="2"/>
      <c r="Q8" s="2"/>
      <c r="R8" s="2"/>
      <c r="S8" s="2"/>
      <c r="T8" s="2"/>
      <c r="U8" s="2"/>
      <c r="V8" s="2"/>
      <c r="W8" s="2"/>
      <c r="X8" s="2"/>
      <c r="Y8" s="2"/>
      <c r="Z8" s="2"/>
      <c r="AA8" s="2"/>
    </row>
    <row r="9" spans="1:27" ht="131.5" thickTop="1" thickBot="1">
      <c r="A9" s="99" t="s">
        <v>56</v>
      </c>
      <c r="B9" s="99" t="s">
        <v>232</v>
      </c>
      <c r="C9" s="105" t="s">
        <v>243</v>
      </c>
      <c r="D9" s="99"/>
      <c r="E9" s="99"/>
      <c r="F9" s="99"/>
      <c r="G9" s="99"/>
      <c r="H9" s="88" t="e">
        <f t="array" ref="H9">VLOOKUP(D9,[1]Guidelines!$B$4:$E$19,2,FALSE)</f>
        <v>#N/A</v>
      </c>
      <c r="I9" s="8" t="e">
        <f t="array" ref="I9">VLOOKUP(D9,[1]Guidelines!$B$4:$E$19,3,FALSE)</f>
        <v>#N/A</v>
      </c>
      <c r="J9" s="8" t="e">
        <f t="array" ref="J9">VLOOKUP(D9,[1]Guidelines!$B$4:$E$19,4,FALSE)</f>
        <v>#N/A</v>
      </c>
      <c r="K9" s="2"/>
      <c r="O9" s="114"/>
      <c r="P9" s="115"/>
      <c r="Q9" s="115"/>
      <c r="R9" s="2"/>
      <c r="S9" s="2"/>
      <c r="T9" s="2"/>
      <c r="U9" s="2"/>
      <c r="V9" s="2"/>
      <c r="W9" s="2"/>
      <c r="X9" s="2"/>
      <c r="Y9" s="2"/>
      <c r="Z9" s="2"/>
      <c r="AA9" s="2"/>
    </row>
    <row r="10" spans="1:27" ht="15.5" thickTop="1" thickBot="1">
      <c r="A10" s="99"/>
      <c r="B10" s="99"/>
      <c r="C10" s="105"/>
      <c r="D10" s="99"/>
      <c r="E10" s="99"/>
      <c r="F10" s="99"/>
      <c r="G10" s="99"/>
      <c r="H10" s="88"/>
      <c r="I10" s="8"/>
      <c r="J10" s="8"/>
      <c r="K10" s="2"/>
      <c r="L10" s="2"/>
      <c r="M10" s="2"/>
      <c r="N10" s="2"/>
      <c r="O10" s="9"/>
      <c r="P10" s="2"/>
      <c r="Q10" s="9"/>
      <c r="R10" s="2"/>
      <c r="S10" s="2"/>
      <c r="T10" s="2"/>
      <c r="U10" s="2"/>
      <c r="V10" s="2"/>
      <c r="W10" s="2"/>
      <c r="X10" s="2"/>
      <c r="Y10" s="2"/>
      <c r="Z10" s="2"/>
      <c r="AA10" s="2"/>
    </row>
    <row r="11" spans="1:27" ht="15.5" thickTop="1" thickBot="1">
      <c r="D11" s="99"/>
      <c r="E11" s="99"/>
      <c r="F11" s="99"/>
      <c r="G11" s="99"/>
      <c r="H11" s="88"/>
      <c r="I11" s="8"/>
      <c r="J11" s="8"/>
      <c r="K11" s="2"/>
      <c r="L11" s="2"/>
      <c r="M11" s="2"/>
      <c r="N11" s="2"/>
      <c r="O11" s="2"/>
      <c r="P11" s="2"/>
      <c r="Q11" s="2"/>
      <c r="R11" s="2"/>
      <c r="S11" s="2"/>
      <c r="T11" s="2"/>
      <c r="U11" s="2"/>
      <c r="V11" s="2"/>
      <c r="W11" s="2"/>
      <c r="X11" s="2"/>
      <c r="Y11" s="2"/>
      <c r="Z11" s="2"/>
      <c r="AA11" s="2"/>
    </row>
    <row r="12" spans="1:27" ht="117" thickTop="1" thickBot="1">
      <c r="A12" s="99" t="s">
        <v>56</v>
      </c>
      <c r="B12" s="99" t="s">
        <v>233</v>
      </c>
      <c r="C12" s="105" t="s">
        <v>244</v>
      </c>
      <c r="D12" s="99"/>
      <c r="E12" s="99"/>
      <c r="F12" s="99"/>
      <c r="G12" s="99"/>
      <c r="H12" s="88"/>
      <c r="I12" s="8"/>
      <c r="J12" s="8"/>
      <c r="K12" s="2"/>
      <c r="L12" s="23"/>
      <c r="M12" s="21"/>
      <c r="N12" s="21"/>
      <c r="O12" s="2"/>
      <c r="P12" s="2"/>
      <c r="Q12" s="2"/>
      <c r="R12" s="2"/>
      <c r="S12" s="2"/>
      <c r="T12" s="2"/>
      <c r="U12" s="2"/>
      <c r="V12" s="2"/>
      <c r="W12" s="2"/>
      <c r="X12" s="2"/>
      <c r="Y12" s="2"/>
      <c r="Z12" s="2"/>
      <c r="AA12" s="2"/>
    </row>
    <row r="13" spans="1:27" ht="131.5" thickTop="1" thickBot="1">
      <c r="A13" s="99" t="s">
        <v>56</v>
      </c>
      <c r="B13" s="99" t="s">
        <v>234</v>
      </c>
      <c r="C13" s="105" t="s">
        <v>245</v>
      </c>
      <c r="D13" s="99"/>
      <c r="E13" s="99"/>
      <c r="F13" s="99"/>
      <c r="G13" s="99"/>
      <c r="H13" s="88"/>
      <c r="I13" s="8"/>
      <c r="J13" s="8"/>
      <c r="K13" s="2"/>
      <c r="L13" s="114" t="s">
        <v>73</v>
      </c>
      <c r="M13" s="115"/>
      <c r="N13" s="115"/>
      <c r="O13" s="2"/>
      <c r="P13" s="2"/>
      <c r="Q13" s="2"/>
      <c r="R13" s="2"/>
      <c r="S13" s="2"/>
      <c r="T13" s="2"/>
      <c r="U13" s="2"/>
      <c r="V13" s="2"/>
      <c r="W13" s="2"/>
      <c r="X13" s="2"/>
      <c r="Y13" s="2"/>
      <c r="Z13" s="2"/>
      <c r="AA13" s="2"/>
    </row>
    <row r="14" spans="1:27" ht="175" thickTop="1" thickBot="1">
      <c r="A14" s="99" t="s">
        <v>56</v>
      </c>
      <c r="B14" s="99" t="s">
        <v>235</v>
      </c>
      <c r="C14" s="105" t="s">
        <v>246</v>
      </c>
      <c r="D14" s="99"/>
      <c r="E14" s="99"/>
      <c r="F14" s="99"/>
      <c r="G14" s="99"/>
      <c r="H14" s="88"/>
      <c r="I14" s="8"/>
      <c r="J14" s="8"/>
      <c r="K14" s="2"/>
      <c r="L14" s="9" t="s">
        <v>33</v>
      </c>
      <c r="M14" s="2"/>
      <c r="N14" s="9" t="s">
        <v>34</v>
      </c>
      <c r="O14" s="2"/>
      <c r="P14" s="2"/>
      <c r="Q14" s="2"/>
      <c r="R14" s="2"/>
      <c r="S14" s="2"/>
      <c r="T14" s="2"/>
      <c r="U14" s="2"/>
      <c r="V14" s="2"/>
      <c r="W14" s="2"/>
      <c r="X14" s="2"/>
      <c r="Y14" s="2"/>
      <c r="Z14" s="2"/>
      <c r="AA14" s="2"/>
    </row>
    <row r="15" spans="1:27" ht="117" thickTop="1" thickBot="1">
      <c r="A15" s="99" t="s">
        <v>57</v>
      </c>
      <c r="B15" s="99" t="s">
        <v>236</v>
      </c>
      <c r="C15" s="105" t="s">
        <v>247</v>
      </c>
      <c r="D15" s="99"/>
      <c r="E15" s="99"/>
      <c r="F15" s="99"/>
      <c r="G15" s="99"/>
      <c r="H15" s="88"/>
      <c r="I15" s="8"/>
      <c r="J15" s="8"/>
      <c r="K15" s="2"/>
      <c r="L15" s="2" t="s">
        <v>4</v>
      </c>
      <c r="M15" s="2"/>
      <c r="N15" s="2">
        <v>0</v>
      </c>
      <c r="O15" s="2"/>
      <c r="P15" s="2"/>
      <c r="Q15" s="2"/>
      <c r="R15" s="2"/>
      <c r="S15" s="2"/>
      <c r="T15" s="2"/>
      <c r="U15" s="2"/>
      <c r="V15" s="2"/>
      <c r="W15" s="2"/>
      <c r="X15" s="2"/>
      <c r="Y15" s="2"/>
      <c r="Z15" s="2"/>
      <c r="AA15" s="2"/>
    </row>
    <row r="16" spans="1:27" ht="131.5" thickTop="1" thickBot="1">
      <c r="A16" s="99" t="s">
        <v>57</v>
      </c>
      <c r="B16" s="99" t="s">
        <v>237</v>
      </c>
      <c r="C16" s="105" t="s">
        <v>248</v>
      </c>
      <c r="D16" s="99"/>
      <c r="E16" s="99"/>
      <c r="F16" s="99"/>
      <c r="G16" s="99"/>
      <c r="H16" s="88"/>
      <c r="I16" s="8"/>
      <c r="J16" s="8"/>
      <c r="K16" s="2"/>
      <c r="L16" s="2" t="s">
        <v>6</v>
      </c>
      <c r="M16" s="2"/>
      <c r="N16" s="2">
        <v>0</v>
      </c>
      <c r="O16" s="2"/>
      <c r="P16" s="2"/>
      <c r="Q16" s="2"/>
      <c r="R16" s="2"/>
      <c r="S16" s="2"/>
      <c r="T16" s="2"/>
      <c r="U16" s="2"/>
      <c r="V16" s="2"/>
      <c r="W16" s="2"/>
      <c r="X16" s="2"/>
      <c r="Y16" s="2"/>
      <c r="Z16" s="2"/>
      <c r="AA16" s="2"/>
    </row>
    <row r="17" spans="1:27" ht="146" thickTop="1" thickBot="1">
      <c r="A17" s="99" t="s">
        <v>57</v>
      </c>
      <c r="B17" s="99" t="s">
        <v>238</v>
      </c>
      <c r="C17" s="105" t="s">
        <v>249</v>
      </c>
      <c r="D17" s="99"/>
      <c r="E17" s="99"/>
      <c r="F17" s="99"/>
      <c r="G17" s="99"/>
      <c r="H17" s="88"/>
      <c r="I17" s="8"/>
      <c r="J17" s="8"/>
      <c r="K17" s="2"/>
      <c r="L17" s="2"/>
      <c r="M17" s="2"/>
      <c r="N17" s="2"/>
      <c r="O17" s="2"/>
      <c r="P17" s="2"/>
      <c r="Q17" s="2"/>
      <c r="R17" s="2"/>
      <c r="S17" s="2"/>
      <c r="T17" s="2"/>
      <c r="U17" s="2"/>
      <c r="V17" s="2"/>
      <c r="W17" s="2"/>
      <c r="X17" s="2"/>
      <c r="Y17" s="2"/>
      <c r="Z17" s="2"/>
      <c r="AA17" s="2"/>
    </row>
    <row r="18" spans="1:27" ht="189.5" thickTop="1" thickBot="1">
      <c r="A18" s="99" t="s">
        <v>57</v>
      </c>
      <c r="B18" s="99" t="s">
        <v>239</v>
      </c>
      <c r="C18" s="105" t="s">
        <v>250</v>
      </c>
      <c r="D18" s="99"/>
      <c r="E18" s="99"/>
      <c r="F18" s="99"/>
      <c r="G18" s="99"/>
      <c r="H18" s="88" t="e">
        <f t="array" ref="H18">VLOOKUP(D21,[1]Guidelines!$B$4:$E$19,2,FALSE)</f>
        <v>#N/A</v>
      </c>
      <c r="I18" s="8" t="e">
        <f t="array" ref="I18">VLOOKUP(D21,[1]Guidelines!$B$4:$E$19,3,FALSE)</f>
        <v>#N/A</v>
      </c>
      <c r="J18" s="8" t="e">
        <f t="array" ref="J18">VLOOKUP(D21,[1]Guidelines!$B$4:$E$19,4,FALSE)</f>
        <v>#N/A</v>
      </c>
      <c r="K18" s="2"/>
      <c r="L18" s="2" t="s">
        <v>8</v>
      </c>
      <c r="M18" s="2"/>
      <c r="N18" s="2">
        <v>0</v>
      </c>
      <c r="O18" s="2"/>
      <c r="P18" s="2"/>
      <c r="Q18" s="2"/>
      <c r="R18" s="2"/>
      <c r="S18" s="2"/>
      <c r="T18" s="2"/>
      <c r="U18" s="2"/>
      <c r="V18" s="2"/>
      <c r="W18" s="2"/>
      <c r="X18" s="2"/>
      <c r="Y18" s="2"/>
      <c r="Z18" s="2"/>
      <c r="AA18" s="2"/>
    </row>
    <row r="19" spans="1:27" ht="160.5" thickTop="1" thickBot="1">
      <c r="A19" s="99" t="s">
        <v>57</v>
      </c>
      <c r="B19" s="99" t="s">
        <v>240</v>
      </c>
      <c r="C19" s="105" t="s">
        <v>251</v>
      </c>
      <c r="D19" s="99"/>
      <c r="E19" s="99"/>
      <c r="F19" s="99"/>
      <c r="G19" s="99"/>
      <c r="H19" s="88" t="e">
        <f t="array" ref="H19">VLOOKUP(#REF!,[1]Guidelines!$B$4:$E$19,2,FALSE)</f>
        <v>#REF!</v>
      </c>
      <c r="I19" s="8" t="e">
        <f t="array" ref="I19">VLOOKUP(#REF!,[1]Guidelines!$B$4:$E$19,3,FALSE)</f>
        <v>#REF!</v>
      </c>
      <c r="J19" s="8" t="e">
        <f t="array" ref="J19">VLOOKUP(#REF!,[1]Guidelines!$B$4:$E$19,4,FALSE)</f>
        <v>#REF!</v>
      </c>
      <c r="K19" s="2"/>
      <c r="L19" s="2" t="s">
        <v>10</v>
      </c>
      <c r="M19" s="2"/>
      <c r="N19" s="2">
        <v>3</v>
      </c>
      <c r="O19" s="2"/>
      <c r="P19" s="2"/>
      <c r="Q19" s="2"/>
      <c r="R19" s="2"/>
      <c r="S19" s="2"/>
      <c r="T19" s="2"/>
      <c r="U19" s="2"/>
      <c r="V19" s="2"/>
      <c r="W19" s="2"/>
      <c r="X19" s="2"/>
      <c r="Y19" s="2"/>
      <c r="Z19" s="2"/>
      <c r="AA19" s="2"/>
    </row>
    <row r="20" spans="1:27" ht="160.5" thickTop="1" thickBot="1">
      <c r="A20" s="99" t="s">
        <v>58</v>
      </c>
      <c r="B20" s="99" t="s">
        <v>241</v>
      </c>
      <c r="C20" s="105" t="s">
        <v>252</v>
      </c>
      <c r="D20" s="99"/>
      <c r="E20" s="99"/>
      <c r="F20" s="99"/>
      <c r="G20" s="99"/>
      <c r="H20" s="88"/>
      <c r="I20" s="8"/>
      <c r="J20" s="8"/>
      <c r="K20" s="2"/>
      <c r="L20" s="2" t="s">
        <v>13</v>
      </c>
      <c r="M20" s="2"/>
      <c r="N20" s="2">
        <v>4</v>
      </c>
      <c r="O20" s="2"/>
      <c r="P20" s="2"/>
      <c r="Q20" s="2"/>
      <c r="R20" s="2"/>
      <c r="S20" s="2"/>
      <c r="T20" s="2"/>
      <c r="U20" s="2"/>
      <c r="V20" s="2"/>
      <c r="W20" s="2"/>
      <c r="X20" s="2"/>
      <c r="Y20" s="2"/>
      <c r="Z20" s="2"/>
      <c r="AA20" s="2"/>
    </row>
    <row r="21" spans="1:27" ht="15.5" thickTop="1" thickBot="1">
      <c r="A21" s="99"/>
      <c r="B21" s="99"/>
      <c r="C21" s="99"/>
      <c r="D21" s="99"/>
      <c r="E21" s="99"/>
      <c r="F21" s="99"/>
      <c r="G21" s="99"/>
      <c r="H21" s="88" t="e">
        <f t="array" ref="H21">VLOOKUP(#REF!,[1]Guidelines!$B$4:$E$19,2,FALSE)</f>
        <v>#REF!</v>
      </c>
      <c r="I21" s="8" t="e">
        <f t="array" ref="I21">VLOOKUP(#REF!,[1]Guidelines!$B$4:$E$19,3,FALSE)</f>
        <v>#REF!</v>
      </c>
      <c r="J21" s="8" t="e">
        <f t="array" ref="J21">VLOOKUP(#REF!,[1]Guidelines!$B$4:$E$19,4,FALSE)</f>
        <v>#REF!</v>
      </c>
      <c r="K21" s="2"/>
      <c r="L21" s="2"/>
      <c r="M21" s="2"/>
      <c r="N21" s="2"/>
      <c r="O21" s="2"/>
      <c r="P21" s="2"/>
      <c r="Q21" s="2"/>
      <c r="R21" s="2"/>
      <c r="S21" s="2"/>
      <c r="T21" s="2"/>
      <c r="U21" s="2"/>
      <c r="V21" s="2"/>
      <c r="W21" s="2"/>
      <c r="X21" s="2"/>
      <c r="Y21" s="2"/>
      <c r="Z21" s="2"/>
      <c r="AA21" s="2"/>
    </row>
    <row r="22" spans="1:27" ht="15.5" thickTop="1" thickBot="1">
      <c r="A22" s="99"/>
      <c r="B22" s="99"/>
      <c r="C22" s="99"/>
      <c r="D22" s="99"/>
      <c r="E22" s="99"/>
      <c r="F22" s="99"/>
      <c r="G22" s="99"/>
      <c r="H22" s="88"/>
      <c r="I22" s="8"/>
      <c r="J22" s="8"/>
      <c r="K22" s="2"/>
      <c r="L22" s="2" t="s">
        <v>15</v>
      </c>
      <c r="M22" s="2"/>
      <c r="N22" s="2">
        <v>3</v>
      </c>
      <c r="O22" s="2"/>
      <c r="P22" s="2"/>
      <c r="Q22" s="2"/>
      <c r="R22" s="2"/>
      <c r="S22" s="2"/>
      <c r="T22" s="2"/>
      <c r="U22" s="2"/>
      <c r="V22" s="2"/>
      <c r="W22" s="2"/>
      <c r="X22" s="2"/>
      <c r="Y22" s="2"/>
      <c r="Z22" s="2"/>
      <c r="AA22" s="2"/>
    </row>
    <row r="23" spans="1:27" ht="15.5" thickTop="1" thickBot="1">
      <c r="A23" s="99"/>
      <c r="B23" s="99"/>
      <c r="C23" s="99"/>
      <c r="D23" s="99"/>
      <c r="E23" s="99"/>
      <c r="F23" s="99"/>
      <c r="G23" s="99"/>
      <c r="H23" s="88"/>
      <c r="I23" s="8"/>
      <c r="J23" s="8"/>
      <c r="K23" s="2"/>
      <c r="L23" s="2" t="s">
        <v>17</v>
      </c>
      <c r="M23" s="2"/>
      <c r="N23" s="2">
        <v>2</v>
      </c>
      <c r="O23" s="2"/>
      <c r="P23" s="2"/>
      <c r="Q23" s="2"/>
      <c r="R23" s="2"/>
      <c r="S23" s="2"/>
      <c r="T23" s="2"/>
      <c r="U23" s="2"/>
      <c r="V23" s="2"/>
      <c r="W23" s="2"/>
      <c r="X23" s="2"/>
      <c r="Y23" s="2"/>
      <c r="Z23" s="2"/>
      <c r="AA23" s="2"/>
    </row>
    <row r="24" spans="1:27" ht="15.5" thickTop="1" thickBot="1">
      <c r="A24" s="99"/>
      <c r="B24" s="99"/>
      <c r="C24" s="99"/>
      <c r="D24" s="99"/>
      <c r="E24" s="99"/>
      <c r="F24" s="99"/>
      <c r="G24" s="99"/>
      <c r="H24" s="88"/>
      <c r="I24" s="8"/>
      <c r="J24" s="8"/>
      <c r="K24" s="2"/>
      <c r="L24" s="2" t="s">
        <v>19</v>
      </c>
      <c r="M24" s="2"/>
      <c r="N24" s="2">
        <v>1</v>
      </c>
      <c r="O24" s="2"/>
      <c r="P24" s="2"/>
      <c r="Q24" s="2"/>
      <c r="R24" s="2"/>
      <c r="S24" s="2"/>
      <c r="T24" s="2"/>
      <c r="U24" s="2"/>
      <c r="V24" s="2"/>
      <c r="W24" s="2"/>
      <c r="X24" s="2"/>
      <c r="Y24" s="2"/>
      <c r="Z24" s="2"/>
      <c r="AA24" s="2"/>
    </row>
    <row r="25" spans="1:27" ht="15.5" thickTop="1" thickBot="1">
      <c r="A25" s="99"/>
      <c r="B25" s="99"/>
      <c r="C25" s="99"/>
      <c r="D25" s="99"/>
      <c r="E25" s="99"/>
      <c r="F25" s="99"/>
      <c r="G25" s="99"/>
      <c r="H25" s="88"/>
      <c r="I25" s="8"/>
      <c r="J25" s="8"/>
      <c r="K25" s="2"/>
      <c r="L25" s="2" t="s">
        <v>21</v>
      </c>
      <c r="M25" s="2"/>
      <c r="N25" s="2">
        <v>3</v>
      </c>
      <c r="O25" s="2"/>
      <c r="P25" s="2"/>
      <c r="Q25" s="2"/>
      <c r="R25" s="2"/>
      <c r="S25" s="2"/>
      <c r="T25" s="2"/>
      <c r="U25" s="2"/>
      <c r="V25" s="2"/>
      <c r="W25" s="2"/>
      <c r="X25" s="2"/>
      <c r="Y25" s="2"/>
      <c r="Z25" s="2"/>
      <c r="AA25" s="2"/>
    </row>
    <row r="26" spans="1:27" ht="15.5" thickTop="1" thickBot="1">
      <c r="A26" s="99"/>
      <c r="B26" s="99"/>
      <c r="C26" s="100"/>
      <c r="D26" s="99"/>
      <c r="E26" s="99"/>
      <c r="F26" s="99"/>
      <c r="G26" s="99"/>
      <c r="H26" s="88"/>
      <c r="I26" s="8"/>
      <c r="J26" s="8"/>
      <c r="K26" s="2"/>
      <c r="L26" s="2" t="s">
        <v>23</v>
      </c>
      <c r="M26" s="2"/>
      <c r="N26" s="2">
        <v>4</v>
      </c>
      <c r="O26" s="2"/>
      <c r="P26" s="2"/>
      <c r="Q26" s="2"/>
      <c r="R26" s="2"/>
      <c r="S26" s="2"/>
      <c r="T26" s="2"/>
      <c r="U26" s="2"/>
      <c r="V26" s="2"/>
      <c r="W26" s="2"/>
      <c r="X26" s="2"/>
      <c r="Y26" s="2"/>
      <c r="Z26" s="2"/>
      <c r="AA26" s="2"/>
    </row>
    <row r="27" spans="1:27" ht="15.5" thickTop="1" thickBot="1">
      <c r="A27" s="99"/>
      <c r="B27" s="99"/>
      <c r="C27" s="100"/>
      <c r="D27" s="96"/>
      <c r="E27" s="96"/>
      <c r="F27" s="97" t="s">
        <v>185</v>
      </c>
      <c r="G27" s="98">
        <v>20</v>
      </c>
      <c r="H27" s="8" t="e">
        <f t="array" ref="H27">VLOOKUP(#REF!,[1]Guidelines!$B$4:$E$19,2,FALSE)</f>
        <v>#REF!</v>
      </c>
      <c r="I27" s="8" t="e">
        <f t="array" ref="I27">VLOOKUP(#REF!,[1]Guidelines!$B$4:$E$19,3,FALSE)</f>
        <v>#REF!</v>
      </c>
      <c r="J27" s="8" t="e">
        <f t="array" ref="J27">VLOOKUP(#REF!,[1]Guidelines!$B$4:$E$19,4,FALSE)</f>
        <v>#REF!</v>
      </c>
      <c r="K27" s="2"/>
      <c r="L27" s="2" t="s">
        <v>26</v>
      </c>
      <c r="M27" s="2"/>
      <c r="N27" s="2">
        <v>4</v>
      </c>
      <c r="O27" s="9"/>
      <c r="P27" s="9"/>
      <c r="Q27" s="9"/>
      <c r="R27" s="2"/>
      <c r="S27" s="2"/>
      <c r="T27" s="2"/>
      <c r="U27" s="2"/>
      <c r="V27" s="2"/>
      <c r="W27" s="2"/>
      <c r="X27" s="2"/>
      <c r="Y27" s="2"/>
      <c r="Z27" s="2"/>
      <c r="AA27" s="2"/>
    </row>
    <row r="28" spans="1:27" ht="15.5" thickTop="1" thickBot="1">
      <c r="A28" s="101"/>
      <c r="B28" s="102"/>
      <c r="C28" s="92"/>
      <c r="D28" s="92"/>
      <c r="E28" s="92"/>
      <c r="F28" s="92"/>
      <c r="G28" s="92"/>
      <c r="H28" s="2"/>
      <c r="I28" s="2"/>
      <c r="J28" s="2"/>
      <c r="K28" s="2"/>
      <c r="L28" s="2" t="s">
        <v>29</v>
      </c>
      <c r="M28" s="2"/>
      <c r="N28" s="2">
        <v>4</v>
      </c>
      <c r="O28" s="2"/>
      <c r="P28" s="2"/>
      <c r="Q28" s="2"/>
      <c r="R28" s="2"/>
      <c r="S28" s="2"/>
      <c r="T28" s="2"/>
      <c r="U28" s="2"/>
      <c r="V28" s="2"/>
      <c r="W28" s="2"/>
      <c r="X28" s="2"/>
      <c r="Y28" s="2"/>
      <c r="Z28" s="2"/>
      <c r="AA28" s="2"/>
    </row>
    <row r="29" spans="1:27" thickBot="1">
      <c r="A29" s="7"/>
      <c r="B29" s="7"/>
      <c r="C29" s="2"/>
      <c r="D29" s="2"/>
      <c r="E29" s="2"/>
      <c r="F29" s="2"/>
      <c r="G29" s="2"/>
      <c r="H29" s="2"/>
      <c r="I29" s="2"/>
      <c r="J29" s="2"/>
      <c r="K29" s="2"/>
      <c r="L29" s="2" t="s">
        <v>32</v>
      </c>
      <c r="M29" s="2"/>
      <c r="N29" s="2">
        <v>4</v>
      </c>
      <c r="O29" s="2"/>
      <c r="P29" s="2"/>
      <c r="Q29" s="2"/>
      <c r="R29" s="2"/>
      <c r="S29" s="2"/>
      <c r="T29" s="2"/>
      <c r="U29" s="2"/>
      <c r="V29" s="2"/>
      <c r="W29" s="2"/>
      <c r="X29" s="2"/>
      <c r="Y29" s="2"/>
      <c r="Z29" s="2"/>
      <c r="AA29" s="2"/>
    </row>
    <row r="30" spans="1:27" thickBot="1">
      <c r="A30" s="7"/>
      <c r="B30" s="7"/>
      <c r="C30" s="9" t="s">
        <v>38</v>
      </c>
      <c r="D30" s="13">
        <v>0.14130000000000001</v>
      </c>
      <c r="E30" s="9" t="e">
        <f t="array" ref="E30">VLOOKUP(D1,'[1]Baseline Productivity '!A4:D8,4,FALSE)</f>
        <v>#N/A</v>
      </c>
      <c r="F30" s="2"/>
      <c r="G30" s="2"/>
      <c r="H30" s="2"/>
      <c r="I30" s="2"/>
      <c r="J30" s="2"/>
      <c r="K30" s="2"/>
      <c r="L30" s="2" t="s">
        <v>35</v>
      </c>
      <c r="M30" s="2"/>
      <c r="N30" s="2">
        <v>4</v>
      </c>
      <c r="O30" s="2"/>
      <c r="P30" s="2"/>
      <c r="Q30" s="2"/>
      <c r="R30" s="2"/>
      <c r="S30" s="2"/>
      <c r="T30" s="2"/>
      <c r="U30" s="2"/>
      <c r="V30" s="2"/>
      <c r="W30" s="2"/>
      <c r="X30" s="2"/>
      <c r="Y30" s="2"/>
      <c r="Z30" s="2"/>
      <c r="AA30" s="2"/>
    </row>
    <row r="31" spans="1:27" thickBot="1">
      <c r="A31" s="7"/>
      <c r="B31" s="7"/>
      <c r="C31" s="16" t="s">
        <v>0</v>
      </c>
      <c r="D31" s="15">
        <v>20</v>
      </c>
      <c r="E31" s="16" t="s">
        <v>76</v>
      </c>
      <c r="F31" s="2"/>
      <c r="G31" s="2"/>
      <c r="H31" s="2"/>
      <c r="I31" s="2"/>
      <c r="J31" s="2"/>
      <c r="K31" s="2"/>
      <c r="L31" s="9" t="s">
        <v>75</v>
      </c>
      <c r="M31" s="9"/>
      <c r="N31" s="9">
        <f>SUM(N15:N30)</f>
        <v>36</v>
      </c>
      <c r="O31" s="2"/>
      <c r="P31" s="2"/>
      <c r="Q31" s="2"/>
      <c r="R31" s="2"/>
      <c r="S31" s="2"/>
      <c r="T31" s="2"/>
      <c r="U31" s="2"/>
      <c r="V31" s="2"/>
      <c r="W31" s="2"/>
      <c r="X31" s="2"/>
      <c r="Y31" s="2"/>
      <c r="Z31" s="2"/>
      <c r="AA31" s="2"/>
    </row>
    <row r="32" spans="1:27" thickBot="1">
      <c r="A32" s="7"/>
      <c r="B32" s="7"/>
      <c r="C32" s="9" t="s">
        <v>77</v>
      </c>
      <c r="D32" s="17">
        <f>D31/D30</f>
        <v>141.54281670205236</v>
      </c>
      <c r="E32" s="9" t="s">
        <v>78</v>
      </c>
      <c r="F32" s="2"/>
      <c r="G32" s="2"/>
      <c r="H32" s="2"/>
      <c r="I32" s="2"/>
      <c r="J32" s="2"/>
      <c r="K32" s="2"/>
      <c r="L32" s="2"/>
      <c r="M32" s="2"/>
      <c r="N32" s="2"/>
      <c r="O32" s="2"/>
      <c r="P32" s="2"/>
      <c r="Q32" s="2"/>
      <c r="R32" s="2"/>
      <c r="S32" s="2"/>
      <c r="T32" s="2"/>
      <c r="U32" s="2"/>
      <c r="V32" s="2"/>
      <c r="W32" s="2"/>
      <c r="X32" s="2"/>
      <c r="Y32" s="2"/>
      <c r="Z32" s="2"/>
      <c r="AA32" s="2"/>
    </row>
    <row r="33" spans="1:27" thickBot="1">
      <c r="A33" s="7"/>
      <c r="B33" s="7"/>
      <c r="C33" s="9" t="s">
        <v>79</v>
      </c>
      <c r="D33" s="13">
        <f>0.65+0.01*$N$31</f>
        <v>1.01</v>
      </c>
      <c r="E33" s="2"/>
      <c r="F33" s="2"/>
      <c r="G33" s="2"/>
      <c r="H33" s="2"/>
      <c r="I33" s="2"/>
      <c r="J33" s="2"/>
      <c r="K33" s="2"/>
      <c r="L33" s="2"/>
      <c r="M33" s="2"/>
      <c r="N33" s="2"/>
      <c r="O33" s="2"/>
      <c r="P33" s="2"/>
      <c r="Q33" s="2"/>
      <c r="R33" s="2"/>
      <c r="S33" s="2"/>
      <c r="T33" s="2"/>
      <c r="U33" s="2"/>
      <c r="V33" s="2"/>
      <c r="W33" s="2"/>
      <c r="X33" s="2"/>
      <c r="Y33" s="2"/>
      <c r="Z33" s="2"/>
      <c r="AA33" s="2"/>
    </row>
    <row r="34" spans="1:27" thickBot="1">
      <c r="A34" s="7"/>
      <c r="B34" s="7"/>
      <c r="C34" s="9" t="s">
        <v>80</v>
      </c>
      <c r="D34" s="18">
        <v>0.05</v>
      </c>
      <c r="E34" s="2"/>
      <c r="F34" s="2"/>
      <c r="G34" s="2"/>
      <c r="H34" s="2"/>
      <c r="I34" s="2"/>
      <c r="J34" s="2"/>
      <c r="K34" s="2"/>
      <c r="L34" s="2"/>
      <c r="M34" s="2"/>
      <c r="N34" s="2"/>
      <c r="O34" s="2"/>
      <c r="P34" s="2"/>
      <c r="Q34" s="2"/>
      <c r="R34" s="2"/>
      <c r="S34" s="2"/>
      <c r="T34" s="2"/>
      <c r="U34" s="2"/>
      <c r="V34" s="2"/>
      <c r="W34" s="2"/>
      <c r="X34" s="2"/>
      <c r="Y34" s="2"/>
      <c r="Z34" s="2"/>
      <c r="AA34" s="2"/>
    </row>
    <row r="35" spans="1:27" thickBot="1">
      <c r="A35" s="7"/>
      <c r="B35" s="7"/>
      <c r="C35" s="9" t="s">
        <v>81</v>
      </c>
      <c r="D35" s="18">
        <v>0.1</v>
      </c>
      <c r="E35" s="2"/>
      <c r="F35" s="2"/>
      <c r="G35" s="2"/>
      <c r="H35" s="2"/>
      <c r="I35" s="2"/>
      <c r="J35" s="2"/>
      <c r="K35" s="2"/>
      <c r="L35" s="2"/>
      <c r="M35" s="2"/>
      <c r="N35" s="2"/>
      <c r="O35" s="2"/>
      <c r="P35" s="2"/>
      <c r="Q35" s="2"/>
      <c r="R35" s="2"/>
      <c r="S35" s="2"/>
      <c r="T35" s="2"/>
      <c r="U35" s="2"/>
      <c r="V35" s="2"/>
      <c r="W35" s="2"/>
      <c r="X35" s="2"/>
      <c r="Y35" s="2"/>
      <c r="Z35" s="2"/>
      <c r="AA35" s="2"/>
    </row>
    <row r="36" spans="1:27" thickBot="1">
      <c r="A36" s="7"/>
      <c r="B36" s="7"/>
      <c r="C36" s="9" t="s">
        <v>196</v>
      </c>
      <c r="D36" s="19">
        <f>((D32*D33)+(D32*D33*D34))+((D32*D33)+(D32*D33*D34))*D35</f>
        <v>165.1167728237792</v>
      </c>
      <c r="E36" s="9" t="s">
        <v>78</v>
      </c>
      <c r="F36" s="2"/>
      <c r="G36" s="2"/>
      <c r="H36" s="2"/>
      <c r="I36" s="2"/>
      <c r="J36" s="2"/>
      <c r="K36" s="2"/>
      <c r="L36" s="2"/>
      <c r="M36" s="2"/>
      <c r="N36" s="2"/>
      <c r="O36" s="2"/>
      <c r="P36" s="2"/>
      <c r="Q36" s="2"/>
      <c r="R36" s="2"/>
      <c r="S36" s="2"/>
      <c r="T36" s="2"/>
      <c r="U36" s="2"/>
      <c r="V36" s="2"/>
      <c r="W36" s="2"/>
      <c r="X36" s="2"/>
      <c r="Y36" s="2"/>
      <c r="Z36" s="2"/>
      <c r="AA36" s="2"/>
    </row>
    <row r="37" spans="1:27" thickBot="1">
      <c r="A37" s="7"/>
      <c r="B37" s="7"/>
      <c r="C37" s="2"/>
      <c r="D37" s="2"/>
      <c r="E37" s="2"/>
      <c r="F37" s="2"/>
      <c r="G37" s="2"/>
      <c r="H37" s="2"/>
      <c r="I37" s="2"/>
      <c r="J37" s="2"/>
      <c r="K37" s="2"/>
      <c r="L37" s="2"/>
      <c r="M37" s="2"/>
      <c r="N37" s="2"/>
      <c r="O37" s="2"/>
      <c r="P37" s="2"/>
      <c r="Q37" s="2"/>
      <c r="R37" s="2"/>
      <c r="S37" s="2"/>
      <c r="T37" s="2"/>
      <c r="U37" s="2"/>
      <c r="V37" s="2"/>
      <c r="W37" s="2"/>
      <c r="X37" s="2"/>
      <c r="Y37" s="2"/>
      <c r="Z37" s="2"/>
      <c r="AA37" s="2"/>
    </row>
    <row r="38" spans="1:27" thickBot="1">
      <c r="A38" s="7"/>
      <c r="B38" s="7"/>
      <c r="C38" s="2" t="s">
        <v>83</v>
      </c>
      <c r="D38" s="20">
        <f>D36+5%*D36</f>
        <v>173.37261146496817</v>
      </c>
      <c r="E38" s="20">
        <f>D36-5%*D36</f>
        <v>156.86093418259023</v>
      </c>
      <c r="F38" s="2"/>
      <c r="G38" s="2"/>
      <c r="H38" s="2"/>
      <c r="I38" s="2"/>
      <c r="J38" s="2"/>
      <c r="K38" s="2"/>
      <c r="L38" s="2"/>
      <c r="M38" s="2"/>
      <c r="N38" s="2"/>
      <c r="O38" s="2"/>
      <c r="P38" s="2"/>
      <c r="Q38" s="2"/>
      <c r="R38" s="2"/>
      <c r="S38" s="2"/>
      <c r="T38" s="2"/>
      <c r="U38" s="2"/>
      <c r="V38" s="2"/>
      <c r="W38" s="2"/>
      <c r="X38" s="2"/>
      <c r="Y38" s="2"/>
      <c r="Z38" s="2"/>
      <c r="AA38" s="2"/>
    </row>
    <row r="39" spans="1:27" thickBot="1">
      <c r="A39" s="7"/>
      <c r="B39" s="7"/>
      <c r="C39" s="2"/>
      <c r="D39" s="2"/>
      <c r="E39" s="2"/>
      <c r="F39" s="2"/>
      <c r="G39" s="2"/>
      <c r="H39" s="2"/>
      <c r="I39" s="2"/>
      <c r="J39" s="2"/>
      <c r="K39" s="2"/>
      <c r="L39" s="2"/>
      <c r="M39" s="2"/>
      <c r="N39" s="2"/>
      <c r="O39" s="2"/>
      <c r="P39" s="2"/>
      <c r="Q39" s="2"/>
      <c r="R39" s="2"/>
      <c r="S39" s="2"/>
      <c r="T39" s="2"/>
      <c r="U39" s="2"/>
      <c r="V39" s="2"/>
      <c r="W39" s="2"/>
      <c r="X39" s="2"/>
      <c r="Y39" s="2"/>
      <c r="Z39" s="2"/>
      <c r="AA39" s="2"/>
    </row>
    <row r="40" spans="1:27" thickBot="1">
      <c r="A40" s="7"/>
      <c r="B40" s="7"/>
      <c r="C40" s="2"/>
      <c r="D40" s="2"/>
      <c r="E40" s="2"/>
      <c r="F40" s="2"/>
      <c r="G40" s="2"/>
      <c r="H40" s="2"/>
      <c r="I40" s="2"/>
      <c r="J40" s="2"/>
      <c r="K40" s="2"/>
      <c r="L40" s="2"/>
      <c r="M40" s="2"/>
      <c r="N40" s="2"/>
      <c r="O40" s="2"/>
      <c r="P40" s="2"/>
      <c r="Q40" s="2"/>
      <c r="R40" s="2"/>
      <c r="S40" s="2"/>
      <c r="T40" s="2"/>
      <c r="U40" s="2"/>
      <c r="V40" s="2"/>
      <c r="W40" s="2"/>
      <c r="X40" s="2"/>
      <c r="Y40" s="2"/>
      <c r="Z40" s="2"/>
      <c r="AA40" s="2"/>
    </row>
    <row r="41" spans="1:27" thickBot="1">
      <c r="A41" s="7"/>
      <c r="B41" s="7"/>
      <c r="C41" s="2"/>
      <c r="D41" s="2"/>
      <c r="E41" s="2"/>
      <c r="F41" s="2"/>
      <c r="G41" s="2"/>
      <c r="H41" s="2"/>
      <c r="I41" s="2"/>
      <c r="J41" s="2"/>
      <c r="K41" s="2"/>
      <c r="L41" s="2"/>
      <c r="M41" s="2"/>
      <c r="N41" s="2"/>
      <c r="O41" s="2"/>
      <c r="P41" s="2"/>
      <c r="Q41" s="2"/>
      <c r="R41" s="2"/>
      <c r="S41" s="2"/>
      <c r="T41" s="2"/>
      <c r="U41" s="2"/>
      <c r="V41" s="2"/>
      <c r="W41" s="2"/>
      <c r="X41" s="2"/>
      <c r="Y41" s="2"/>
      <c r="Z41" s="2"/>
      <c r="AA41" s="2"/>
    </row>
    <row r="42" spans="1:27" thickBot="1">
      <c r="A42" s="7"/>
      <c r="B42" s="7"/>
      <c r="C42" s="2"/>
      <c r="D42" s="2"/>
      <c r="E42" s="2"/>
      <c r="F42" s="2"/>
      <c r="G42" s="2"/>
      <c r="H42" s="2"/>
      <c r="I42" s="2"/>
      <c r="J42" s="2"/>
      <c r="K42" s="2"/>
      <c r="L42" s="2"/>
      <c r="M42" s="2"/>
      <c r="N42" s="2"/>
      <c r="O42" s="2"/>
      <c r="P42" s="2"/>
      <c r="Q42" s="2"/>
      <c r="R42" s="2"/>
      <c r="S42" s="2"/>
      <c r="T42" s="2"/>
      <c r="U42" s="2"/>
      <c r="V42" s="2"/>
      <c r="W42" s="2"/>
      <c r="X42" s="2"/>
      <c r="Y42" s="2"/>
      <c r="Z42" s="2"/>
      <c r="AA42" s="2"/>
    </row>
    <row r="43" spans="1:27" thickBot="1">
      <c r="A43" s="7"/>
      <c r="B43" s="7"/>
      <c r="C43" s="2"/>
      <c r="D43" s="2"/>
      <c r="E43" s="2"/>
      <c r="F43" s="2"/>
      <c r="G43" s="2"/>
      <c r="H43" s="2"/>
      <c r="I43" s="2"/>
      <c r="J43" s="2"/>
      <c r="K43" s="2"/>
      <c r="L43" s="2"/>
      <c r="M43" s="2"/>
      <c r="N43" s="2"/>
      <c r="O43" s="2"/>
      <c r="P43" s="2"/>
      <c r="Q43" s="2"/>
      <c r="R43" s="2"/>
      <c r="S43" s="2"/>
      <c r="T43" s="2"/>
      <c r="U43" s="2"/>
      <c r="V43" s="2"/>
      <c r="W43" s="2"/>
      <c r="X43" s="2"/>
      <c r="Y43" s="2"/>
      <c r="Z43" s="2"/>
      <c r="AA43" s="2"/>
    </row>
    <row r="44" spans="1:27" thickBot="1">
      <c r="A44" s="7"/>
      <c r="B44" s="7"/>
      <c r="C44" s="2"/>
      <c r="D44" s="2"/>
      <c r="E44" s="2"/>
      <c r="F44" s="2"/>
      <c r="G44" s="2"/>
      <c r="H44" s="2"/>
      <c r="I44" s="2"/>
      <c r="J44" s="2"/>
      <c r="K44" s="2"/>
      <c r="L44" s="2"/>
      <c r="M44" s="2"/>
      <c r="N44" s="2"/>
      <c r="O44" s="2"/>
      <c r="P44" s="2"/>
      <c r="Q44" s="2"/>
      <c r="R44" s="2"/>
      <c r="S44" s="2"/>
      <c r="T44" s="2"/>
      <c r="U44" s="2"/>
      <c r="V44" s="2"/>
      <c r="W44" s="2"/>
      <c r="X44" s="2"/>
      <c r="Y44" s="2"/>
      <c r="Z44" s="2"/>
      <c r="AA44" s="2"/>
    </row>
    <row r="45" spans="1:27" thickBot="1">
      <c r="A45" s="7"/>
      <c r="B45" s="7"/>
      <c r="C45" s="2"/>
      <c r="D45" s="2"/>
      <c r="E45" s="2"/>
      <c r="F45" s="2"/>
      <c r="G45" s="2"/>
      <c r="H45" s="2"/>
      <c r="I45" s="2"/>
      <c r="J45" s="2"/>
      <c r="K45" s="2"/>
      <c r="L45" s="2"/>
      <c r="M45" s="2"/>
      <c r="N45" s="2"/>
      <c r="O45" s="2"/>
      <c r="P45" s="2"/>
      <c r="Q45" s="2"/>
      <c r="R45" s="2"/>
      <c r="S45" s="2"/>
      <c r="T45" s="2"/>
      <c r="U45" s="2"/>
      <c r="V45" s="2"/>
      <c r="W45" s="2"/>
      <c r="X45" s="2"/>
      <c r="Y45" s="2"/>
      <c r="Z45" s="2"/>
      <c r="AA45" s="2"/>
    </row>
    <row r="46" spans="1:27" thickBot="1">
      <c r="A46" s="7"/>
      <c r="B46" s="7"/>
      <c r="C46" s="2"/>
      <c r="D46" s="2"/>
      <c r="E46" s="2"/>
      <c r="F46" s="2"/>
      <c r="G46" s="2"/>
      <c r="H46" s="2"/>
      <c r="I46" s="2"/>
      <c r="J46" s="2"/>
      <c r="K46" s="2"/>
      <c r="L46" s="2"/>
      <c r="M46" s="2"/>
      <c r="N46" s="2"/>
      <c r="O46" s="2"/>
      <c r="P46" s="2"/>
      <c r="Q46" s="2"/>
      <c r="R46" s="2"/>
      <c r="S46" s="2"/>
      <c r="T46" s="2"/>
      <c r="U46" s="2"/>
      <c r="V46" s="2"/>
      <c r="W46" s="2"/>
      <c r="X46" s="2"/>
      <c r="Y46" s="2"/>
      <c r="Z46" s="2"/>
      <c r="AA46" s="2"/>
    </row>
    <row r="47" spans="1:27" thickBot="1">
      <c r="A47" s="7"/>
      <c r="B47" s="7"/>
      <c r="C47" s="2"/>
      <c r="D47" s="2"/>
      <c r="E47" s="2"/>
      <c r="F47" s="2"/>
      <c r="G47" s="2"/>
      <c r="H47" s="2"/>
      <c r="I47" s="2"/>
      <c r="J47" s="2"/>
      <c r="K47" s="2"/>
      <c r="L47" s="2"/>
      <c r="M47" s="2"/>
      <c r="N47" s="2"/>
      <c r="O47" s="2"/>
      <c r="P47" s="2"/>
      <c r="Q47" s="2"/>
      <c r="R47" s="2"/>
      <c r="S47" s="2"/>
      <c r="T47" s="2"/>
      <c r="U47" s="2"/>
      <c r="V47" s="2"/>
      <c r="W47" s="2"/>
      <c r="X47" s="2"/>
      <c r="Y47" s="2"/>
      <c r="Z47" s="2"/>
      <c r="AA47" s="2"/>
    </row>
    <row r="48" spans="1:27" thickBot="1">
      <c r="A48" s="7"/>
      <c r="B48" s="7"/>
      <c r="C48" s="2"/>
      <c r="D48" s="2"/>
      <c r="E48" s="2"/>
      <c r="F48" s="2"/>
      <c r="G48" s="2"/>
      <c r="H48" s="2"/>
      <c r="I48" s="2"/>
      <c r="J48" s="2"/>
      <c r="K48" s="2"/>
      <c r="L48" s="2"/>
      <c r="M48" s="2"/>
      <c r="N48" s="2"/>
      <c r="O48" s="2"/>
      <c r="P48" s="2"/>
      <c r="Q48" s="2"/>
      <c r="R48" s="2"/>
      <c r="S48" s="2"/>
      <c r="T48" s="2"/>
      <c r="U48" s="2"/>
      <c r="V48" s="2"/>
      <c r="W48" s="2"/>
      <c r="X48" s="2"/>
      <c r="Y48" s="2"/>
      <c r="Z48" s="2"/>
      <c r="AA48" s="2"/>
    </row>
    <row r="49" spans="1:27" thickBot="1">
      <c r="A49" s="7"/>
      <c r="B49" s="7"/>
      <c r="C49" s="2"/>
      <c r="D49" s="2"/>
      <c r="E49" s="2"/>
      <c r="F49" s="2"/>
      <c r="G49" s="2"/>
      <c r="H49" s="2"/>
      <c r="I49" s="2"/>
      <c r="J49" s="2"/>
      <c r="K49" s="2"/>
      <c r="L49" s="2"/>
      <c r="M49" s="2"/>
      <c r="N49" s="2"/>
      <c r="O49" s="2"/>
      <c r="P49" s="2"/>
      <c r="Q49" s="2"/>
      <c r="R49" s="2"/>
      <c r="S49" s="2"/>
      <c r="T49" s="2"/>
      <c r="U49" s="2"/>
      <c r="V49" s="2"/>
      <c r="W49" s="2"/>
      <c r="X49" s="2"/>
      <c r="Y49" s="2"/>
      <c r="Z49" s="2"/>
      <c r="AA49" s="2"/>
    </row>
    <row r="50" spans="1:27" thickBot="1">
      <c r="A50" s="7"/>
      <c r="B50" s="7"/>
      <c r="C50" s="2"/>
      <c r="D50" s="2"/>
      <c r="E50" s="2"/>
      <c r="F50" s="2"/>
      <c r="G50" s="2"/>
      <c r="H50" s="2"/>
      <c r="I50" s="2"/>
      <c r="J50" s="2"/>
      <c r="K50" s="2"/>
      <c r="L50" s="2"/>
      <c r="M50" s="2"/>
      <c r="N50" s="2"/>
      <c r="O50" s="2"/>
      <c r="P50" s="2"/>
      <c r="Q50" s="2"/>
      <c r="R50" s="2"/>
      <c r="S50" s="2"/>
      <c r="T50" s="2"/>
      <c r="U50" s="2"/>
      <c r="V50" s="2"/>
      <c r="W50" s="2"/>
      <c r="X50" s="2"/>
      <c r="Y50" s="2"/>
      <c r="Z50" s="2"/>
      <c r="AA50" s="2"/>
    </row>
    <row r="51" spans="1:27" thickBot="1">
      <c r="A51" s="7"/>
      <c r="B51" s="7"/>
      <c r="C51" s="2"/>
      <c r="D51" s="2"/>
      <c r="E51" s="2"/>
      <c r="F51" s="2"/>
      <c r="G51" s="2"/>
      <c r="H51" s="2"/>
      <c r="I51" s="2"/>
      <c r="J51" s="2"/>
      <c r="K51" s="2"/>
      <c r="L51" s="2"/>
      <c r="M51" s="2"/>
      <c r="N51" s="2"/>
      <c r="O51" s="2"/>
      <c r="P51" s="2"/>
      <c r="Q51" s="2"/>
      <c r="R51" s="2"/>
      <c r="S51" s="2"/>
      <c r="T51" s="2"/>
      <c r="U51" s="2"/>
      <c r="V51" s="2"/>
      <c r="W51" s="2"/>
      <c r="X51" s="2"/>
      <c r="Y51" s="2"/>
      <c r="Z51" s="2"/>
      <c r="AA51" s="2"/>
    </row>
    <row r="52" spans="1:27" thickBot="1">
      <c r="A52" s="7"/>
      <c r="B52" s="7"/>
      <c r="C52" s="2"/>
      <c r="D52" s="2"/>
      <c r="E52" s="2"/>
      <c r="F52" s="2"/>
      <c r="G52" s="2"/>
      <c r="H52" s="2"/>
      <c r="I52" s="2"/>
      <c r="J52" s="2"/>
      <c r="K52" s="2"/>
      <c r="L52" s="2"/>
      <c r="M52" s="2"/>
      <c r="N52" s="2"/>
      <c r="O52" s="2"/>
      <c r="P52" s="2"/>
      <c r="Q52" s="2"/>
      <c r="R52" s="2"/>
      <c r="S52" s="2"/>
      <c r="T52" s="2"/>
      <c r="U52" s="2"/>
      <c r="V52" s="2"/>
      <c r="W52" s="2"/>
      <c r="X52" s="2"/>
      <c r="Y52" s="2"/>
      <c r="Z52" s="2"/>
      <c r="AA52" s="2"/>
    </row>
    <row r="53" spans="1:27" thickBot="1">
      <c r="A53" s="7"/>
      <c r="B53" s="7"/>
      <c r="C53" s="2"/>
      <c r="D53" s="2"/>
      <c r="E53" s="2"/>
      <c r="F53" s="2"/>
      <c r="G53" s="2"/>
      <c r="H53" s="2"/>
      <c r="I53" s="2"/>
      <c r="J53" s="2"/>
      <c r="K53" s="2"/>
      <c r="L53" s="2"/>
      <c r="M53" s="2"/>
      <c r="N53" s="2"/>
      <c r="O53" s="2"/>
      <c r="P53" s="2"/>
      <c r="Q53" s="2"/>
      <c r="R53" s="2"/>
      <c r="S53" s="2"/>
      <c r="T53" s="2"/>
      <c r="U53" s="2"/>
      <c r="V53" s="2"/>
      <c r="W53" s="2"/>
      <c r="X53" s="2"/>
      <c r="Y53" s="2"/>
      <c r="Z53" s="2"/>
      <c r="AA53" s="2"/>
    </row>
    <row r="54" spans="1:27" thickBot="1">
      <c r="A54" s="7"/>
      <c r="B54" s="7"/>
      <c r="C54" s="2"/>
      <c r="D54" s="2"/>
      <c r="E54" s="2"/>
      <c r="F54" s="2"/>
      <c r="G54" s="2"/>
      <c r="H54" s="2"/>
      <c r="I54" s="2"/>
      <c r="J54" s="2"/>
      <c r="K54" s="2"/>
      <c r="L54" s="2"/>
      <c r="M54" s="2"/>
      <c r="N54" s="2"/>
      <c r="O54" s="2"/>
      <c r="P54" s="2"/>
      <c r="Q54" s="2"/>
      <c r="R54" s="2"/>
      <c r="S54" s="2"/>
      <c r="T54" s="2"/>
      <c r="U54" s="2"/>
      <c r="V54" s="2"/>
      <c r="W54" s="2"/>
      <c r="X54" s="2"/>
      <c r="Y54" s="2"/>
      <c r="Z54" s="2"/>
      <c r="AA54" s="2"/>
    </row>
    <row r="55" spans="1:27" thickBot="1">
      <c r="A55" s="7"/>
      <c r="B55" s="7"/>
      <c r="C55" s="2"/>
      <c r="D55" s="2"/>
      <c r="E55" s="2"/>
      <c r="F55" s="2"/>
      <c r="G55" s="2"/>
      <c r="H55" s="2"/>
      <c r="I55" s="2"/>
      <c r="J55" s="2"/>
      <c r="K55" s="2"/>
      <c r="L55" s="2"/>
      <c r="M55" s="2"/>
      <c r="N55" s="2"/>
      <c r="O55" s="2"/>
      <c r="P55" s="2"/>
      <c r="Q55" s="2"/>
      <c r="R55" s="2"/>
      <c r="S55" s="2"/>
      <c r="T55" s="2"/>
      <c r="U55" s="2"/>
      <c r="V55" s="2"/>
      <c r="W55" s="2"/>
      <c r="X55" s="2"/>
      <c r="Y55" s="2"/>
      <c r="Z55" s="2"/>
      <c r="AA55" s="2"/>
    </row>
    <row r="56" spans="1:27" thickBot="1">
      <c r="A56" s="7"/>
      <c r="B56" s="7"/>
      <c r="C56" s="2"/>
      <c r="D56" s="2"/>
      <c r="E56" s="2"/>
      <c r="F56" s="2"/>
      <c r="G56" s="2"/>
      <c r="H56" s="2"/>
      <c r="I56" s="2"/>
      <c r="J56" s="2"/>
      <c r="K56" s="2"/>
      <c r="L56" s="2"/>
      <c r="M56" s="2"/>
      <c r="N56" s="2"/>
      <c r="O56" s="2"/>
      <c r="P56" s="2"/>
      <c r="Q56" s="2"/>
      <c r="R56" s="2"/>
      <c r="S56" s="2"/>
      <c r="T56" s="2"/>
      <c r="U56" s="2"/>
      <c r="V56" s="2"/>
      <c r="W56" s="2"/>
      <c r="X56" s="2"/>
      <c r="Y56" s="2"/>
      <c r="Z56" s="2"/>
      <c r="AA56" s="2"/>
    </row>
    <row r="57" spans="1:27" thickBot="1">
      <c r="A57" s="7"/>
      <c r="B57" s="7"/>
      <c r="C57" s="2"/>
      <c r="D57" s="2"/>
      <c r="E57" s="2"/>
      <c r="F57" s="2"/>
      <c r="G57" s="2"/>
      <c r="H57" s="2"/>
      <c r="I57" s="2"/>
      <c r="J57" s="2"/>
      <c r="K57" s="2"/>
      <c r="L57" s="2"/>
      <c r="M57" s="2"/>
      <c r="N57" s="2"/>
      <c r="O57" s="2"/>
      <c r="P57" s="2"/>
      <c r="Q57" s="2"/>
      <c r="R57" s="2"/>
      <c r="S57" s="2"/>
      <c r="T57" s="2"/>
      <c r="U57" s="2"/>
      <c r="V57" s="2"/>
      <c r="W57" s="2"/>
      <c r="X57" s="2"/>
      <c r="Y57" s="2"/>
      <c r="Z57" s="2"/>
      <c r="AA57" s="2"/>
    </row>
    <row r="58" spans="1:27" thickBot="1">
      <c r="A58" s="7"/>
      <c r="B58" s="7"/>
      <c r="C58" s="2"/>
      <c r="D58" s="2"/>
      <c r="E58" s="2"/>
      <c r="F58" s="2"/>
      <c r="G58" s="2"/>
      <c r="H58" s="2"/>
      <c r="I58" s="2"/>
      <c r="J58" s="2"/>
      <c r="K58" s="2"/>
      <c r="L58" s="2"/>
      <c r="M58" s="2"/>
      <c r="N58" s="2"/>
      <c r="O58" s="2"/>
      <c r="P58" s="2"/>
      <c r="Q58" s="2"/>
      <c r="R58" s="2"/>
      <c r="S58" s="2"/>
      <c r="T58" s="2"/>
      <c r="U58" s="2"/>
      <c r="V58" s="2"/>
      <c r="W58" s="2"/>
      <c r="X58" s="2"/>
      <c r="Y58" s="2"/>
      <c r="Z58" s="2"/>
      <c r="AA58" s="2"/>
    </row>
    <row r="59" spans="1:27" thickBot="1">
      <c r="A59" s="7"/>
      <c r="B59" s="7"/>
      <c r="C59" s="2"/>
      <c r="D59" s="2"/>
      <c r="E59" s="2"/>
      <c r="F59" s="2"/>
      <c r="G59" s="2"/>
      <c r="H59" s="2"/>
      <c r="I59" s="2"/>
      <c r="J59" s="2"/>
      <c r="K59" s="2"/>
      <c r="L59" s="2"/>
      <c r="M59" s="2"/>
      <c r="N59" s="2"/>
      <c r="O59" s="2"/>
      <c r="P59" s="2"/>
      <c r="Q59" s="2"/>
      <c r="R59" s="2"/>
      <c r="S59" s="2"/>
      <c r="T59" s="2"/>
      <c r="U59" s="2"/>
      <c r="V59" s="2"/>
      <c r="W59" s="2"/>
      <c r="X59" s="2"/>
      <c r="Y59" s="2"/>
      <c r="Z59" s="2"/>
      <c r="AA59" s="2"/>
    </row>
    <row r="60" spans="1:27" thickBot="1">
      <c r="A60" s="7"/>
      <c r="B60" s="7"/>
      <c r="C60" s="2"/>
      <c r="D60" s="2"/>
      <c r="E60" s="2"/>
      <c r="F60" s="2"/>
      <c r="G60" s="2"/>
      <c r="H60" s="2"/>
      <c r="I60" s="2"/>
      <c r="J60" s="2"/>
      <c r="K60" s="2"/>
      <c r="L60" s="2"/>
      <c r="M60" s="2"/>
      <c r="N60" s="2"/>
      <c r="O60" s="2"/>
      <c r="P60" s="2"/>
      <c r="Q60" s="2"/>
      <c r="R60" s="2"/>
      <c r="S60" s="2"/>
      <c r="T60" s="2"/>
      <c r="U60" s="2"/>
      <c r="V60" s="2"/>
      <c r="W60" s="2"/>
      <c r="X60" s="2"/>
      <c r="Y60" s="2"/>
      <c r="Z60" s="2"/>
      <c r="AA60" s="2"/>
    </row>
    <row r="61" spans="1:27" thickBot="1">
      <c r="A61" s="7"/>
      <c r="B61" s="7"/>
      <c r="C61" s="2"/>
      <c r="D61" s="2"/>
      <c r="E61" s="2"/>
      <c r="F61" s="2"/>
      <c r="G61" s="2"/>
      <c r="H61" s="2"/>
      <c r="I61" s="2"/>
      <c r="J61" s="2"/>
      <c r="K61" s="2"/>
      <c r="L61" s="2"/>
      <c r="M61" s="2"/>
      <c r="N61" s="2"/>
      <c r="O61" s="2"/>
      <c r="P61" s="2"/>
      <c r="Q61" s="2"/>
      <c r="R61" s="2"/>
      <c r="S61" s="2"/>
      <c r="T61" s="2"/>
      <c r="U61" s="2"/>
      <c r="V61" s="2"/>
      <c r="W61" s="2"/>
      <c r="X61" s="2"/>
      <c r="Y61" s="2"/>
      <c r="Z61" s="2"/>
      <c r="AA61" s="2"/>
    </row>
    <row r="62" spans="1:27" thickBot="1">
      <c r="A62" s="7"/>
      <c r="B62" s="7"/>
      <c r="C62" s="2"/>
      <c r="D62" s="2"/>
      <c r="E62" s="2"/>
      <c r="F62" s="2"/>
      <c r="G62" s="2"/>
      <c r="H62" s="2"/>
      <c r="I62" s="2"/>
      <c r="J62" s="2"/>
      <c r="K62" s="2"/>
      <c r="L62" s="2"/>
      <c r="M62" s="2"/>
      <c r="N62" s="2"/>
      <c r="O62" s="2"/>
      <c r="P62" s="2"/>
      <c r="Q62" s="2"/>
      <c r="R62" s="2"/>
      <c r="S62" s="2"/>
      <c r="T62" s="2"/>
      <c r="U62" s="2"/>
      <c r="V62" s="2"/>
      <c r="W62" s="2"/>
      <c r="X62" s="2"/>
      <c r="Y62" s="2"/>
      <c r="Z62" s="2"/>
      <c r="AA62" s="2"/>
    </row>
    <row r="63" spans="1:27" thickBot="1">
      <c r="A63" s="7"/>
      <c r="B63" s="7"/>
      <c r="C63" s="2"/>
      <c r="D63" s="2"/>
      <c r="E63" s="2"/>
      <c r="F63" s="2"/>
      <c r="G63" s="2"/>
      <c r="H63" s="2"/>
      <c r="I63" s="2"/>
      <c r="J63" s="2"/>
      <c r="K63" s="2"/>
      <c r="L63" s="2"/>
      <c r="M63" s="2"/>
      <c r="N63" s="2"/>
      <c r="O63" s="2"/>
      <c r="P63" s="2"/>
      <c r="Q63" s="2"/>
      <c r="R63" s="2"/>
      <c r="S63" s="2"/>
      <c r="T63" s="2"/>
      <c r="U63" s="2"/>
      <c r="V63" s="2"/>
      <c r="W63" s="2"/>
      <c r="X63" s="2"/>
      <c r="Y63" s="2"/>
      <c r="Z63" s="2"/>
      <c r="AA63" s="2"/>
    </row>
    <row r="64" spans="1:27" thickBot="1">
      <c r="A64" s="7"/>
      <c r="B64" s="7"/>
      <c r="C64" s="2"/>
      <c r="D64" s="2"/>
      <c r="E64" s="2"/>
      <c r="F64" s="2"/>
      <c r="G64" s="2"/>
      <c r="H64" s="2"/>
      <c r="I64" s="2"/>
      <c r="J64" s="2"/>
      <c r="K64" s="2"/>
      <c r="L64" s="2"/>
      <c r="M64" s="2"/>
      <c r="N64" s="2"/>
      <c r="O64" s="2"/>
      <c r="P64" s="2"/>
      <c r="Q64" s="2"/>
      <c r="R64" s="2"/>
      <c r="S64" s="2"/>
      <c r="T64" s="2"/>
      <c r="U64" s="2"/>
      <c r="V64" s="2"/>
      <c r="W64" s="2"/>
      <c r="X64" s="2"/>
      <c r="Y64" s="2"/>
      <c r="Z64" s="2"/>
      <c r="AA64" s="2"/>
    </row>
    <row r="65" spans="1:27" thickBot="1">
      <c r="A65" s="7"/>
      <c r="B65" s="7"/>
      <c r="C65" s="2"/>
      <c r="D65" s="2"/>
      <c r="E65" s="2"/>
      <c r="F65" s="2"/>
      <c r="G65" s="2"/>
      <c r="H65" s="2"/>
      <c r="I65" s="2"/>
      <c r="J65" s="2"/>
      <c r="K65" s="2"/>
      <c r="L65" s="2"/>
      <c r="M65" s="2"/>
      <c r="N65" s="2"/>
      <c r="O65" s="2"/>
      <c r="P65" s="2"/>
      <c r="Q65" s="2"/>
      <c r="R65" s="2"/>
      <c r="S65" s="2"/>
      <c r="T65" s="2"/>
      <c r="U65" s="2"/>
      <c r="V65" s="2"/>
      <c r="W65" s="2"/>
      <c r="X65" s="2"/>
      <c r="Y65" s="2"/>
      <c r="Z65" s="2"/>
      <c r="AA65" s="2"/>
    </row>
    <row r="66" spans="1:27" thickBot="1">
      <c r="A66" s="7"/>
      <c r="B66" s="7"/>
      <c r="C66" s="2"/>
      <c r="D66" s="2"/>
      <c r="E66" s="2"/>
      <c r="F66" s="2"/>
      <c r="G66" s="2"/>
      <c r="H66" s="2"/>
      <c r="I66" s="2"/>
      <c r="J66" s="2"/>
      <c r="K66" s="2"/>
      <c r="L66" s="2"/>
      <c r="M66" s="2"/>
      <c r="N66" s="2"/>
      <c r="O66" s="2"/>
      <c r="P66" s="2"/>
      <c r="Q66" s="2"/>
      <c r="R66" s="2"/>
      <c r="S66" s="2"/>
      <c r="T66" s="2"/>
      <c r="U66" s="2"/>
      <c r="V66" s="2"/>
      <c r="W66" s="2"/>
      <c r="X66" s="2"/>
      <c r="Y66" s="2"/>
      <c r="Z66" s="2"/>
      <c r="AA66" s="2"/>
    </row>
    <row r="67" spans="1:27" thickBot="1">
      <c r="A67" s="7"/>
      <c r="B67" s="7"/>
      <c r="C67" s="2"/>
      <c r="D67" s="2"/>
      <c r="E67" s="2"/>
      <c r="F67" s="2"/>
      <c r="G67" s="2"/>
      <c r="H67" s="2"/>
      <c r="I67" s="2"/>
      <c r="J67" s="2"/>
      <c r="K67" s="2"/>
      <c r="L67" s="2"/>
      <c r="M67" s="2"/>
      <c r="N67" s="2"/>
      <c r="O67" s="2"/>
      <c r="P67" s="2"/>
      <c r="Q67" s="2"/>
      <c r="R67" s="2"/>
      <c r="S67" s="2"/>
      <c r="T67" s="2"/>
      <c r="U67" s="2"/>
      <c r="V67" s="2"/>
      <c r="W67" s="2"/>
      <c r="X67" s="2"/>
      <c r="Y67" s="2"/>
      <c r="Z67" s="2"/>
      <c r="AA67" s="2"/>
    </row>
    <row r="68" spans="1:27" thickBot="1">
      <c r="A68" s="7"/>
      <c r="B68" s="7"/>
      <c r="C68" s="2"/>
      <c r="D68" s="2"/>
      <c r="E68" s="2"/>
      <c r="F68" s="2"/>
      <c r="G68" s="2"/>
      <c r="H68" s="2"/>
      <c r="I68" s="2"/>
      <c r="J68" s="2"/>
      <c r="K68" s="2"/>
      <c r="L68" s="2"/>
      <c r="M68" s="2"/>
      <c r="N68" s="2"/>
      <c r="O68" s="2"/>
      <c r="P68" s="2"/>
      <c r="Q68" s="2"/>
      <c r="R68" s="2"/>
      <c r="S68" s="2"/>
      <c r="T68" s="2"/>
      <c r="U68" s="2"/>
      <c r="V68" s="2"/>
      <c r="W68" s="2"/>
      <c r="X68" s="2"/>
      <c r="Y68" s="2"/>
      <c r="Z68" s="2"/>
      <c r="AA68" s="2"/>
    </row>
    <row r="69" spans="1:27" thickBot="1">
      <c r="A69" s="7"/>
      <c r="B69" s="7"/>
      <c r="C69" s="2"/>
      <c r="D69" s="2"/>
      <c r="E69" s="2"/>
      <c r="F69" s="2"/>
      <c r="G69" s="2"/>
      <c r="H69" s="2"/>
      <c r="I69" s="2"/>
      <c r="J69" s="2"/>
      <c r="K69" s="2"/>
      <c r="L69" s="2"/>
      <c r="M69" s="2"/>
      <c r="N69" s="2"/>
      <c r="O69" s="2"/>
      <c r="P69" s="2"/>
      <c r="Q69" s="2"/>
      <c r="R69" s="2"/>
      <c r="S69" s="2"/>
      <c r="T69" s="2"/>
      <c r="U69" s="2"/>
      <c r="V69" s="2"/>
      <c r="W69" s="2"/>
      <c r="X69" s="2"/>
      <c r="Y69" s="2"/>
      <c r="Z69" s="2"/>
      <c r="AA69" s="2"/>
    </row>
    <row r="70" spans="1:27" thickBot="1">
      <c r="A70" s="7"/>
      <c r="B70" s="7"/>
      <c r="C70" s="2"/>
      <c r="D70" s="2"/>
      <c r="E70" s="2"/>
      <c r="F70" s="2"/>
      <c r="G70" s="2"/>
      <c r="H70" s="2"/>
      <c r="I70" s="2"/>
      <c r="J70" s="2"/>
      <c r="K70" s="2"/>
      <c r="L70" s="2"/>
      <c r="M70" s="2"/>
      <c r="N70" s="2"/>
      <c r="O70" s="2"/>
      <c r="P70" s="2"/>
      <c r="Q70" s="2"/>
      <c r="R70" s="2"/>
      <c r="S70" s="2"/>
      <c r="T70" s="2"/>
      <c r="U70" s="2"/>
      <c r="V70" s="2"/>
      <c r="W70" s="2"/>
      <c r="X70" s="2"/>
      <c r="Y70" s="2"/>
      <c r="Z70" s="2"/>
      <c r="AA70" s="2"/>
    </row>
    <row r="71" spans="1:27" thickBot="1">
      <c r="A71" s="7"/>
      <c r="B71" s="7"/>
      <c r="C71" s="2"/>
      <c r="D71" s="2"/>
      <c r="E71" s="2"/>
      <c r="F71" s="2"/>
      <c r="G71" s="2"/>
      <c r="H71" s="2"/>
      <c r="I71" s="2"/>
      <c r="J71" s="2"/>
      <c r="K71" s="2"/>
      <c r="L71" s="2"/>
      <c r="M71" s="2"/>
      <c r="N71" s="2"/>
      <c r="O71" s="2"/>
      <c r="P71" s="2"/>
      <c r="Q71" s="2"/>
      <c r="R71" s="2"/>
      <c r="S71" s="2"/>
      <c r="T71" s="2"/>
      <c r="U71" s="2"/>
      <c r="V71" s="2"/>
      <c r="W71" s="2"/>
      <c r="X71" s="2"/>
      <c r="Y71" s="2"/>
      <c r="Z71" s="2"/>
      <c r="AA71" s="2"/>
    </row>
    <row r="72" spans="1:27" thickBot="1">
      <c r="A72" s="7"/>
      <c r="B72" s="7"/>
      <c r="C72" s="2"/>
      <c r="D72" s="2"/>
      <c r="E72" s="2"/>
      <c r="F72" s="2"/>
      <c r="G72" s="2"/>
      <c r="H72" s="2"/>
      <c r="I72" s="2"/>
      <c r="J72" s="2"/>
      <c r="K72" s="2"/>
      <c r="L72" s="2"/>
      <c r="M72" s="2"/>
      <c r="N72" s="2"/>
      <c r="O72" s="2"/>
      <c r="P72" s="2"/>
      <c r="Q72" s="2"/>
      <c r="R72" s="2"/>
      <c r="S72" s="2"/>
      <c r="T72" s="2"/>
      <c r="U72" s="2"/>
      <c r="V72" s="2"/>
      <c r="W72" s="2"/>
      <c r="X72" s="2"/>
      <c r="Y72" s="2"/>
      <c r="Z72" s="2"/>
      <c r="AA72" s="2"/>
    </row>
    <row r="73" spans="1:27" thickBot="1">
      <c r="A73" s="7"/>
      <c r="B73" s="7"/>
      <c r="C73" s="2"/>
      <c r="D73" s="2"/>
      <c r="E73" s="2"/>
      <c r="F73" s="2"/>
      <c r="G73" s="2"/>
      <c r="H73" s="2"/>
      <c r="I73" s="2"/>
      <c r="J73" s="2"/>
      <c r="K73" s="2"/>
      <c r="L73" s="2"/>
      <c r="M73" s="2"/>
      <c r="N73" s="2"/>
      <c r="O73" s="2"/>
      <c r="P73" s="2"/>
      <c r="Q73" s="2"/>
      <c r="R73" s="2"/>
      <c r="S73" s="2"/>
      <c r="T73" s="2"/>
      <c r="U73" s="2"/>
      <c r="V73" s="2"/>
      <c r="W73" s="2"/>
      <c r="X73" s="2"/>
      <c r="Y73" s="2"/>
      <c r="Z73" s="2"/>
      <c r="AA73" s="2"/>
    </row>
    <row r="74" spans="1:27" thickBot="1">
      <c r="A74" s="7"/>
      <c r="B74" s="7"/>
      <c r="C74" s="2"/>
      <c r="D74" s="2"/>
      <c r="E74" s="2"/>
      <c r="F74" s="2"/>
      <c r="G74" s="2"/>
      <c r="H74" s="2"/>
      <c r="I74" s="2"/>
      <c r="J74" s="2"/>
      <c r="K74" s="2"/>
      <c r="L74" s="2"/>
      <c r="M74" s="2"/>
      <c r="N74" s="2"/>
      <c r="O74" s="2"/>
      <c r="P74" s="2"/>
      <c r="Q74" s="2"/>
      <c r="R74" s="2"/>
      <c r="S74" s="2"/>
      <c r="T74" s="2"/>
      <c r="U74" s="2"/>
      <c r="V74" s="2"/>
      <c r="W74" s="2"/>
      <c r="X74" s="2"/>
      <c r="Y74" s="2"/>
      <c r="Z74" s="2"/>
      <c r="AA74" s="2"/>
    </row>
    <row r="75" spans="1:27" thickBot="1">
      <c r="A75" s="7"/>
      <c r="B75" s="7"/>
      <c r="C75" s="2"/>
      <c r="D75" s="2"/>
      <c r="E75" s="2"/>
      <c r="F75" s="2"/>
      <c r="G75" s="2"/>
      <c r="H75" s="2"/>
      <c r="I75" s="2"/>
      <c r="J75" s="2"/>
      <c r="K75" s="2"/>
      <c r="L75" s="2"/>
      <c r="M75" s="2"/>
      <c r="N75" s="2"/>
      <c r="O75" s="2"/>
      <c r="P75" s="2"/>
      <c r="Q75" s="2"/>
      <c r="R75" s="2"/>
      <c r="S75" s="2"/>
      <c r="T75" s="2"/>
      <c r="U75" s="2"/>
      <c r="V75" s="2"/>
      <c r="W75" s="2"/>
      <c r="X75" s="2"/>
      <c r="Y75" s="2"/>
      <c r="Z75" s="2"/>
      <c r="AA75" s="2"/>
    </row>
    <row r="76" spans="1:27" thickBot="1">
      <c r="A76" s="7"/>
      <c r="B76" s="7"/>
      <c r="C76" s="2"/>
      <c r="D76" s="2"/>
      <c r="E76" s="2"/>
      <c r="F76" s="2"/>
      <c r="G76" s="2"/>
      <c r="H76" s="2"/>
      <c r="I76" s="2"/>
      <c r="J76" s="2"/>
      <c r="K76" s="2"/>
      <c r="L76" s="2"/>
      <c r="M76" s="2"/>
      <c r="N76" s="2"/>
      <c r="O76" s="2"/>
      <c r="P76" s="2"/>
      <c r="Q76" s="2"/>
      <c r="R76" s="2"/>
      <c r="S76" s="2"/>
      <c r="T76" s="2"/>
      <c r="U76" s="2"/>
      <c r="V76" s="2"/>
      <c r="W76" s="2"/>
      <c r="X76" s="2"/>
      <c r="Y76" s="2"/>
      <c r="Z76" s="2"/>
      <c r="AA76" s="2"/>
    </row>
    <row r="77" spans="1:27" thickBot="1">
      <c r="A77" s="7"/>
      <c r="B77" s="7"/>
      <c r="C77" s="2"/>
      <c r="D77" s="2"/>
      <c r="E77" s="2"/>
      <c r="F77" s="2"/>
      <c r="G77" s="2"/>
      <c r="H77" s="2"/>
      <c r="I77" s="2"/>
      <c r="J77" s="2"/>
      <c r="K77" s="2"/>
      <c r="L77" s="2"/>
      <c r="M77" s="2"/>
      <c r="N77" s="2"/>
      <c r="O77" s="2"/>
      <c r="P77" s="2"/>
      <c r="Q77" s="2"/>
      <c r="R77" s="2"/>
      <c r="S77" s="2"/>
      <c r="T77" s="2"/>
      <c r="U77" s="2"/>
      <c r="V77" s="2"/>
      <c r="W77" s="2"/>
      <c r="X77" s="2"/>
      <c r="Y77" s="2"/>
      <c r="Z77" s="2"/>
      <c r="AA77" s="2"/>
    </row>
    <row r="78" spans="1:27" thickBot="1">
      <c r="A78" s="7"/>
      <c r="B78" s="7"/>
      <c r="C78" s="2"/>
      <c r="D78" s="2"/>
      <c r="E78" s="2"/>
      <c r="F78" s="2"/>
      <c r="G78" s="2"/>
      <c r="H78" s="2"/>
      <c r="I78" s="2"/>
      <c r="J78" s="2"/>
      <c r="K78" s="2"/>
      <c r="L78" s="2"/>
      <c r="M78" s="2"/>
      <c r="N78" s="2"/>
      <c r="O78" s="2"/>
      <c r="P78" s="2"/>
      <c r="Q78" s="2"/>
      <c r="R78" s="2"/>
      <c r="S78" s="2"/>
      <c r="T78" s="2"/>
      <c r="U78" s="2"/>
      <c r="V78" s="2"/>
      <c r="W78" s="2"/>
      <c r="X78" s="2"/>
      <c r="Y78" s="2"/>
      <c r="Z78" s="2"/>
      <c r="AA78" s="2"/>
    </row>
    <row r="79" spans="1:27" thickBot="1">
      <c r="A79" s="7"/>
      <c r="B79" s="7"/>
      <c r="C79" s="2"/>
      <c r="D79" s="2"/>
      <c r="E79" s="2"/>
      <c r="F79" s="2"/>
      <c r="G79" s="2"/>
      <c r="H79" s="2"/>
      <c r="I79" s="2"/>
      <c r="J79" s="2"/>
      <c r="K79" s="2"/>
      <c r="L79" s="2"/>
      <c r="M79" s="2"/>
      <c r="N79" s="2"/>
      <c r="O79" s="2"/>
      <c r="P79" s="2"/>
      <c r="Q79" s="2"/>
      <c r="R79" s="2"/>
      <c r="S79" s="2"/>
      <c r="T79" s="2"/>
      <c r="U79" s="2"/>
      <c r="V79" s="2"/>
      <c r="W79" s="2"/>
      <c r="X79" s="2"/>
      <c r="Y79" s="2"/>
      <c r="Z79" s="2"/>
      <c r="AA79" s="2"/>
    </row>
    <row r="80" spans="1:27" thickBot="1">
      <c r="A80" s="7"/>
      <c r="B80" s="7"/>
      <c r="C80" s="2"/>
      <c r="D80" s="2"/>
      <c r="E80" s="2"/>
      <c r="F80" s="2"/>
      <c r="G80" s="2"/>
      <c r="H80" s="2"/>
      <c r="I80" s="2"/>
      <c r="J80" s="2"/>
      <c r="K80" s="2"/>
      <c r="L80" s="2"/>
      <c r="M80" s="2"/>
      <c r="N80" s="2"/>
      <c r="O80" s="2"/>
      <c r="P80" s="2"/>
      <c r="Q80" s="2"/>
      <c r="R80" s="2"/>
      <c r="S80" s="2"/>
      <c r="T80" s="2"/>
      <c r="U80" s="2"/>
      <c r="V80" s="2"/>
      <c r="W80" s="2"/>
      <c r="X80" s="2"/>
      <c r="Y80" s="2"/>
      <c r="Z80" s="2"/>
      <c r="AA80" s="2"/>
    </row>
    <row r="81" spans="1:27" thickBot="1">
      <c r="A81" s="7"/>
      <c r="B81" s="7"/>
      <c r="C81" s="2"/>
      <c r="D81" s="2"/>
      <c r="E81" s="2"/>
      <c r="F81" s="2"/>
      <c r="G81" s="2"/>
      <c r="H81" s="2"/>
      <c r="I81" s="2"/>
      <c r="J81" s="2"/>
      <c r="K81" s="2"/>
      <c r="L81" s="2"/>
      <c r="M81" s="2"/>
      <c r="N81" s="2"/>
      <c r="O81" s="2"/>
      <c r="P81" s="2"/>
      <c r="Q81" s="2"/>
      <c r="R81" s="2"/>
      <c r="S81" s="2"/>
      <c r="T81" s="2"/>
      <c r="U81" s="2"/>
      <c r="V81" s="2"/>
      <c r="W81" s="2"/>
      <c r="X81" s="2"/>
      <c r="Y81" s="2"/>
      <c r="Z81" s="2"/>
      <c r="AA81" s="2"/>
    </row>
    <row r="82" spans="1:27" thickBot="1">
      <c r="A82" s="7"/>
      <c r="B82" s="7"/>
      <c r="C82" s="2"/>
      <c r="D82" s="2"/>
      <c r="E82" s="2"/>
      <c r="F82" s="2"/>
      <c r="G82" s="2"/>
      <c r="H82" s="2"/>
      <c r="I82" s="2"/>
      <c r="J82" s="2"/>
      <c r="K82" s="2"/>
      <c r="L82" s="2"/>
      <c r="M82" s="2"/>
      <c r="N82" s="2"/>
      <c r="O82" s="2"/>
      <c r="P82" s="2"/>
      <c r="Q82" s="2"/>
      <c r="R82" s="2"/>
      <c r="S82" s="2"/>
      <c r="T82" s="2"/>
      <c r="U82" s="2"/>
      <c r="V82" s="2"/>
      <c r="W82" s="2"/>
      <c r="X82" s="2"/>
      <c r="Y82" s="2"/>
      <c r="Z82" s="2"/>
      <c r="AA82" s="2"/>
    </row>
    <row r="83" spans="1:27" thickBot="1">
      <c r="A83" s="7"/>
      <c r="B83" s="7"/>
      <c r="C83" s="2"/>
      <c r="D83" s="2"/>
      <c r="E83" s="2"/>
      <c r="F83" s="2"/>
      <c r="G83" s="2"/>
      <c r="H83" s="2"/>
      <c r="I83" s="2"/>
      <c r="J83" s="2"/>
      <c r="K83" s="2"/>
      <c r="L83" s="2"/>
      <c r="M83" s="2"/>
      <c r="N83" s="2"/>
      <c r="O83" s="2"/>
      <c r="P83" s="2"/>
      <c r="Q83" s="2"/>
      <c r="R83" s="2"/>
      <c r="S83" s="2"/>
      <c r="T83" s="2"/>
      <c r="U83" s="2"/>
      <c r="V83" s="2"/>
      <c r="W83" s="2"/>
      <c r="X83" s="2"/>
      <c r="Y83" s="2"/>
      <c r="Z83" s="2"/>
      <c r="AA83" s="2"/>
    </row>
    <row r="84" spans="1:27" thickBot="1">
      <c r="A84" s="7"/>
      <c r="B84" s="7"/>
      <c r="C84" s="2"/>
      <c r="D84" s="2"/>
      <c r="E84" s="2"/>
      <c r="F84" s="2"/>
      <c r="G84" s="2"/>
      <c r="H84" s="2"/>
      <c r="I84" s="2"/>
      <c r="J84" s="2"/>
      <c r="K84" s="2"/>
      <c r="L84" s="2"/>
      <c r="M84" s="2"/>
      <c r="N84" s="2"/>
      <c r="O84" s="2"/>
      <c r="P84" s="2"/>
      <c r="Q84" s="2"/>
      <c r="R84" s="2"/>
      <c r="S84" s="2"/>
      <c r="T84" s="2"/>
      <c r="U84" s="2"/>
      <c r="V84" s="2"/>
      <c r="W84" s="2"/>
      <c r="X84" s="2"/>
      <c r="Y84" s="2"/>
      <c r="Z84" s="2"/>
      <c r="AA84" s="2"/>
    </row>
    <row r="85" spans="1:27" thickBot="1">
      <c r="A85" s="7"/>
      <c r="B85" s="7"/>
      <c r="C85" s="2"/>
      <c r="D85" s="2"/>
      <c r="E85" s="2"/>
      <c r="F85" s="2"/>
      <c r="G85" s="2"/>
      <c r="H85" s="2"/>
      <c r="I85" s="2"/>
      <c r="J85" s="2"/>
      <c r="K85" s="2"/>
      <c r="L85" s="2"/>
      <c r="M85" s="2"/>
      <c r="N85" s="2"/>
      <c r="O85" s="2"/>
      <c r="P85" s="2"/>
      <c r="Q85" s="2"/>
      <c r="R85" s="2"/>
      <c r="S85" s="2"/>
      <c r="T85" s="2"/>
      <c r="U85" s="2"/>
      <c r="V85" s="2"/>
      <c r="W85" s="2"/>
      <c r="X85" s="2"/>
      <c r="Y85" s="2"/>
      <c r="Z85" s="2"/>
      <c r="AA85" s="2"/>
    </row>
    <row r="86" spans="1:27" thickBot="1">
      <c r="A86" s="7"/>
      <c r="B86" s="7"/>
      <c r="C86" s="2"/>
      <c r="D86" s="2"/>
      <c r="E86" s="2"/>
      <c r="F86" s="2"/>
      <c r="G86" s="2"/>
      <c r="H86" s="2"/>
      <c r="I86" s="2"/>
      <c r="J86" s="2"/>
      <c r="K86" s="2"/>
      <c r="L86" s="2"/>
      <c r="M86" s="2"/>
      <c r="N86" s="2"/>
      <c r="O86" s="2"/>
      <c r="P86" s="2"/>
      <c r="Q86" s="2"/>
      <c r="R86" s="2"/>
      <c r="S86" s="2"/>
      <c r="T86" s="2"/>
      <c r="U86" s="2"/>
      <c r="V86" s="2"/>
      <c r="W86" s="2"/>
      <c r="X86" s="2"/>
      <c r="Y86" s="2"/>
      <c r="Z86" s="2"/>
      <c r="AA86" s="2"/>
    </row>
    <row r="87" spans="1:27" thickBot="1">
      <c r="A87" s="7"/>
      <c r="B87" s="7"/>
      <c r="C87" s="2"/>
      <c r="D87" s="2"/>
      <c r="E87" s="2"/>
      <c r="F87" s="2"/>
      <c r="G87" s="2"/>
      <c r="H87" s="2"/>
      <c r="I87" s="2"/>
      <c r="J87" s="2"/>
      <c r="K87" s="2"/>
      <c r="L87" s="2"/>
      <c r="M87" s="2"/>
      <c r="N87" s="2"/>
      <c r="O87" s="2"/>
      <c r="P87" s="2"/>
      <c r="Q87" s="2"/>
      <c r="R87" s="2"/>
      <c r="S87" s="2"/>
      <c r="T87" s="2"/>
      <c r="U87" s="2"/>
      <c r="V87" s="2"/>
      <c r="W87" s="2"/>
      <c r="X87" s="2"/>
      <c r="Y87" s="2"/>
      <c r="Z87" s="2"/>
      <c r="AA87" s="2"/>
    </row>
    <row r="88" spans="1:27" thickBot="1">
      <c r="A88" s="7"/>
      <c r="B88" s="7"/>
      <c r="C88" s="2"/>
      <c r="D88" s="2"/>
      <c r="E88" s="2"/>
      <c r="F88" s="2"/>
      <c r="G88" s="2"/>
      <c r="H88" s="2"/>
      <c r="I88" s="2"/>
      <c r="J88" s="2"/>
      <c r="K88" s="2"/>
      <c r="L88" s="2"/>
      <c r="M88" s="2"/>
      <c r="N88" s="2"/>
      <c r="O88" s="2"/>
      <c r="P88" s="2"/>
      <c r="Q88" s="2"/>
      <c r="R88" s="2"/>
      <c r="S88" s="2"/>
      <c r="T88" s="2"/>
      <c r="U88" s="2"/>
      <c r="V88" s="2"/>
      <c r="W88" s="2"/>
      <c r="X88" s="2"/>
      <c r="Y88" s="2"/>
      <c r="Z88" s="2"/>
      <c r="AA88" s="2"/>
    </row>
    <row r="89" spans="1:27" thickBot="1">
      <c r="A89" s="7"/>
      <c r="B89" s="7"/>
      <c r="C89" s="2"/>
      <c r="D89" s="2"/>
      <c r="E89" s="2"/>
      <c r="F89" s="2"/>
      <c r="G89" s="2"/>
      <c r="H89" s="2"/>
      <c r="I89" s="2"/>
      <c r="J89" s="2"/>
      <c r="K89" s="2"/>
      <c r="L89" s="2"/>
      <c r="M89" s="2"/>
      <c r="N89" s="2"/>
      <c r="O89" s="2"/>
      <c r="P89" s="2"/>
      <c r="Q89" s="2"/>
      <c r="R89" s="2"/>
      <c r="S89" s="2"/>
      <c r="T89" s="2"/>
      <c r="U89" s="2"/>
      <c r="V89" s="2"/>
      <c r="W89" s="2"/>
      <c r="X89" s="2"/>
      <c r="Y89" s="2"/>
      <c r="Z89" s="2"/>
      <c r="AA89" s="2"/>
    </row>
    <row r="90" spans="1:27" thickBot="1">
      <c r="A90" s="7"/>
      <c r="B90" s="7"/>
      <c r="C90" s="2"/>
      <c r="D90" s="2"/>
      <c r="E90" s="2"/>
      <c r="F90" s="2"/>
      <c r="G90" s="2"/>
      <c r="H90" s="2"/>
      <c r="I90" s="2"/>
      <c r="J90" s="2"/>
      <c r="K90" s="2"/>
      <c r="L90" s="2"/>
      <c r="M90" s="2"/>
      <c r="N90" s="2"/>
      <c r="O90" s="2"/>
      <c r="P90" s="2"/>
      <c r="Q90" s="2"/>
      <c r="R90" s="2"/>
      <c r="S90" s="2"/>
      <c r="T90" s="2"/>
      <c r="U90" s="2"/>
      <c r="V90" s="2"/>
      <c r="W90" s="2"/>
      <c r="X90" s="2"/>
      <c r="Y90" s="2"/>
      <c r="Z90" s="2"/>
      <c r="AA90" s="2"/>
    </row>
    <row r="91" spans="1:27" thickBot="1">
      <c r="A91" s="7"/>
      <c r="B91" s="7"/>
      <c r="C91" s="2"/>
      <c r="D91" s="2"/>
      <c r="E91" s="2"/>
      <c r="F91" s="2"/>
      <c r="G91" s="2"/>
      <c r="H91" s="2"/>
      <c r="I91" s="2"/>
      <c r="J91" s="2"/>
      <c r="K91" s="2"/>
      <c r="L91" s="2"/>
      <c r="M91" s="2"/>
      <c r="N91" s="2"/>
      <c r="O91" s="2"/>
      <c r="P91" s="2"/>
      <c r="Q91" s="2"/>
      <c r="R91" s="2"/>
      <c r="S91" s="2"/>
      <c r="T91" s="2"/>
      <c r="U91" s="2"/>
      <c r="V91" s="2"/>
      <c r="W91" s="2"/>
      <c r="X91" s="2"/>
      <c r="Y91" s="2"/>
      <c r="Z91" s="2"/>
      <c r="AA91" s="2"/>
    </row>
    <row r="92" spans="1:27" thickBot="1">
      <c r="A92" s="7"/>
      <c r="B92" s="7"/>
      <c r="C92" s="2"/>
      <c r="D92" s="2"/>
      <c r="E92" s="2"/>
      <c r="F92" s="2"/>
      <c r="G92" s="2"/>
      <c r="H92" s="2"/>
      <c r="I92" s="2"/>
      <c r="J92" s="2"/>
      <c r="K92" s="2"/>
      <c r="L92" s="2"/>
      <c r="M92" s="2"/>
      <c r="N92" s="2"/>
      <c r="O92" s="2"/>
      <c r="P92" s="2"/>
      <c r="Q92" s="2"/>
      <c r="R92" s="2"/>
      <c r="S92" s="2"/>
      <c r="T92" s="2"/>
      <c r="U92" s="2"/>
      <c r="V92" s="2"/>
      <c r="W92" s="2"/>
      <c r="X92" s="2"/>
      <c r="Y92" s="2"/>
      <c r="Z92" s="2"/>
      <c r="AA92" s="2"/>
    </row>
    <row r="93" spans="1:27" thickBot="1">
      <c r="A93" s="7"/>
      <c r="B93" s="7"/>
      <c r="C93" s="2"/>
      <c r="D93" s="2"/>
      <c r="E93" s="2"/>
      <c r="F93" s="2"/>
      <c r="G93" s="2"/>
      <c r="H93" s="2"/>
      <c r="I93" s="2"/>
      <c r="J93" s="2"/>
      <c r="K93" s="2"/>
      <c r="L93" s="2"/>
      <c r="M93" s="2"/>
      <c r="N93" s="2"/>
      <c r="O93" s="2"/>
      <c r="P93" s="2"/>
      <c r="Q93" s="2"/>
      <c r="R93" s="2"/>
      <c r="S93" s="2"/>
      <c r="T93" s="2"/>
      <c r="U93" s="2"/>
      <c r="V93" s="2"/>
      <c r="W93" s="2"/>
      <c r="X93" s="2"/>
      <c r="Y93" s="2"/>
      <c r="Z93" s="2"/>
      <c r="AA93" s="2"/>
    </row>
    <row r="94" spans="1:27" thickBot="1">
      <c r="A94" s="7"/>
      <c r="B94" s="7"/>
      <c r="C94" s="2"/>
      <c r="D94" s="2"/>
      <c r="E94" s="2"/>
      <c r="F94" s="2"/>
      <c r="G94" s="2"/>
      <c r="H94" s="2"/>
      <c r="I94" s="2"/>
      <c r="J94" s="2"/>
      <c r="K94" s="2"/>
      <c r="L94" s="2"/>
      <c r="M94" s="2"/>
      <c r="N94" s="2"/>
      <c r="O94" s="2"/>
      <c r="P94" s="2"/>
      <c r="Q94" s="2"/>
      <c r="R94" s="2"/>
      <c r="S94" s="2"/>
      <c r="T94" s="2"/>
      <c r="U94" s="2"/>
      <c r="V94" s="2"/>
      <c r="W94" s="2"/>
      <c r="X94" s="2"/>
      <c r="Y94" s="2"/>
      <c r="Z94" s="2"/>
      <c r="AA94" s="2"/>
    </row>
    <row r="95" spans="1:27" thickBot="1">
      <c r="A95" s="7"/>
      <c r="B95" s="7"/>
      <c r="C95" s="2"/>
      <c r="D95" s="2"/>
      <c r="E95" s="2"/>
      <c r="F95" s="2"/>
      <c r="G95" s="2"/>
      <c r="H95" s="2"/>
      <c r="I95" s="2"/>
      <c r="J95" s="2"/>
      <c r="K95" s="2"/>
      <c r="L95" s="2"/>
      <c r="M95" s="2"/>
      <c r="N95" s="2"/>
      <c r="O95" s="2"/>
      <c r="P95" s="2"/>
      <c r="Q95" s="2"/>
      <c r="R95" s="2"/>
      <c r="S95" s="2"/>
      <c r="T95" s="2"/>
      <c r="U95" s="2"/>
      <c r="V95" s="2"/>
      <c r="W95" s="2"/>
      <c r="X95" s="2"/>
      <c r="Y95" s="2"/>
      <c r="Z95" s="2"/>
      <c r="AA95" s="2"/>
    </row>
    <row r="96" spans="1:27" thickBot="1">
      <c r="A96" s="7"/>
      <c r="B96" s="7"/>
      <c r="C96" s="2"/>
      <c r="D96" s="2"/>
      <c r="E96" s="2"/>
      <c r="F96" s="2"/>
      <c r="G96" s="2"/>
      <c r="H96" s="2"/>
      <c r="I96" s="2"/>
      <c r="J96" s="2"/>
      <c r="K96" s="2"/>
      <c r="L96" s="2"/>
      <c r="M96" s="2"/>
      <c r="N96" s="2"/>
      <c r="O96" s="2"/>
      <c r="P96" s="2"/>
      <c r="Q96" s="2"/>
      <c r="R96" s="2"/>
      <c r="S96" s="2"/>
      <c r="T96" s="2"/>
      <c r="U96" s="2"/>
      <c r="V96" s="2"/>
      <c r="W96" s="2"/>
      <c r="X96" s="2"/>
      <c r="Y96" s="2"/>
      <c r="Z96" s="2"/>
      <c r="AA96" s="2"/>
    </row>
    <row r="97" spans="1:27" thickBot="1">
      <c r="A97" s="7"/>
      <c r="B97" s="7"/>
      <c r="C97" s="2"/>
      <c r="D97" s="2"/>
      <c r="E97" s="2"/>
      <c r="F97" s="2"/>
      <c r="G97" s="2"/>
      <c r="H97" s="2"/>
      <c r="I97" s="2"/>
      <c r="J97" s="2"/>
      <c r="K97" s="2"/>
      <c r="L97" s="2"/>
      <c r="M97" s="2"/>
      <c r="N97" s="2"/>
      <c r="O97" s="2"/>
      <c r="P97" s="2"/>
      <c r="Q97" s="2"/>
      <c r="R97" s="2"/>
      <c r="S97" s="2"/>
      <c r="T97" s="2"/>
      <c r="U97" s="2"/>
      <c r="V97" s="2"/>
      <c r="W97" s="2"/>
      <c r="X97" s="2"/>
      <c r="Y97" s="2"/>
      <c r="Z97" s="2"/>
      <c r="AA97" s="2"/>
    </row>
    <row r="98" spans="1:27" thickBot="1">
      <c r="A98" s="7"/>
      <c r="B98" s="7"/>
      <c r="C98" s="2"/>
      <c r="D98" s="2"/>
      <c r="E98" s="2"/>
      <c r="F98" s="2"/>
      <c r="G98" s="2"/>
      <c r="H98" s="2"/>
      <c r="I98" s="2"/>
      <c r="J98" s="2"/>
      <c r="K98" s="2"/>
      <c r="L98" s="2"/>
      <c r="M98" s="2"/>
      <c r="N98" s="2"/>
      <c r="O98" s="2"/>
      <c r="P98" s="2"/>
      <c r="Q98" s="2"/>
      <c r="R98" s="2"/>
      <c r="S98" s="2"/>
      <c r="T98" s="2"/>
      <c r="U98" s="2"/>
      <c r="V98" s="2"/>
      <c r="W98" s="2"/>
      <c r="X98" s="2"/>
      <c r="Y98" s="2"/>
      <c r="Z98" s="2"/>
      <c r="AA98" s="2"/>
    </row>
    <row r="99" spans="1:27" thickBot="1">
      <c r="A99" s="7"/>
      <c r="B99" s="7"/>
      <c r="C99" s="2"/>
      <c r="D99" s="2"/>
      <c r="E99" s="2"/>
      <c r="F99" s="2"/>
      <c r="G99" s="2"/>
      <c r="H99" s="2"/>
      <c r="I99" s="2"/>
      <c r="J99" s="2"/>
      <c r="K99" s="2"/>
      <c r="L99" s="2"/>
      <c r="M99" s="2"/>
      <c r="N99" s="2"/>
      <c r="O99" s="2"/>
      <c r="P99" s="2"/>
      <c r="Q99" s="2"/>
      <c r="R99" s="2"/>
      <c r="S99" s="2"/>
      <c r="T99" s="2"/>
      <c r="U99" s="2"/>
      <c r="V99" s="2"/>
      <c r="W99" s="2"/>
      <c r="X99" s="2"/>
      <c r="Y99" s="2"/>
      <c r="Z99" s="2"/>
      <c r="AA99" s="2"/>
    </row>
    <row r="100" spans="1:27" thickBot="1">
      <c r="A100" s="7"/>
      <c r="B100" s="7"/>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thickBot="1">
      <c r="A101" s="7"/>
      <c r="B101" s="7"/>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thickBot="1">
      <c r="A102" s="7"/>
      <c r="B102" s="7"/>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thickBot="1">
      <c r="A103" s="7"/>
      <c r="B103" s="7"/>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thickBot="1">
      <c r="A104" s="7"/>
      <c r="B104" s="7"/>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thickBot="1">
      <c r="A105" s="7"/>
      <c r="B105" s="7"/>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thickBot="1">
      <c r="A106" s="7"/>
      <c r="B106" s="7"/>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thickBot="1">
      <c r="A107" s="7"/>
      <c r="B107" s="7"/>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thickBot="1">
      <c r="A108" s="7"/>
      <c r="B108" s="7"/>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thickBot="1">
      <c r="A109" s="7"/>
      <c r="B109" s="7"/>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thickBot="1">
      <c r="A110" s="7"/>
      <c r="B110" s="7"/>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thickBot="1">
      <c r="A111" s="7"/>
      <c r="B111" s="7"/>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thickBot="1">
      <c r="A112" s="7"/>
      <c r="B112" s="7"/>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thickBot="1">
      <c r="A113" s="7"/>
      <c r="B113" s="7"/>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thickBot="1">
      <c r="A114" s="7"/>
      <c r="B114" s="7"/>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thickBot="1">
      <c r="A115" s="7"/>
      <c r="B115" s="7"/>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thickBot="1">
      <c r="A116" s="7"/>
      <c r="B116" s="7"/>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thickBot="1">
      <c r="A117" s="7"/>
      <c r="B117" s="7"/>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thickBot="1">
      <c r="A118" s="7"/>
      <c r="B118" s="7"/>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thickBot="1">
      <c r="A119" s="7"/>
      <c r="B119" s="7"/>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thickBot="1">
      <c r="A120" s="7"/>
      <c r="B120" s="7"/>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thickBot="1">
      <c r="A121" s="7"/>
      <c r="B121" s="7"/>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thickBot="1">
      <c r="A122" s="7"/>
      <c r="B122" s="7"/>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thickBot="1">
      <c r="A123" s="7"/>
      <c r="B123" s="7"/>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thickBot="1">
      <c r="A124" s="7"/>
      <c r="B124" s="7"/>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thickBot="1">
      <c r="A125" s="7"/>
      <c r="B125" s="7"/>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thickBot="1">
      <c r="A126" s="7"/>
      <c r="B126" s="7"/>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thickBot="1">
      <c r="A127" s="7"/>
      <c r="B127" s="7"/>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thickBot="1">
      <c r="A128" s="7"/>
      <c r="B128" s="7"/>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thickBot="1">
      <c r="A129" s="7"/>
      <c r="B129" s="7"/>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thickBot="1">
      <c r="A130" s="7"/>
      <c r="B130" s="7"/>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thickBot="1">
      <c r="A131" s="7"/>
      <c r="B131" s="7"/>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thickBot="1">
      <c r="A132" s="7"/>
      <c r="B132" s="7"/>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thickBot="1">
      <c r="A133" s="7"/>
      <c r="B133" s="7"/>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thickBot="1">
      <c r="A134" s="7"/>
      <c r="B134" s="7"/>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thickBot="1">
      <c r="A135" s="7"/>
      <c r="B135" s="7"/>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thickBot="1">
      <c r="A136" s="7"/>
      <c r="B136" s="7"/>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thickBot="1">
      <c r="A137" s="7"/>
      <c r="B137" s="7"/>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thickBot="1">
      <c r="A138" s="7"/>
      <c r="B138" s="7"/>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thickBot="1">
      <c r="A139" s="7"/>
      <c r="B139" s="7"/>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thickBot="1">
      <c r="A140" s="7"/>
      <c r="B140" s="7"/>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thickBot="1">
      <c r="A141" s="7"/>
      <c r="B141" s="7"/>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thickBot="1">
      <c r="A142" s="7"/>
      <c r="B142" s="7"/>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thickBot="1">
      <c r="A143" s="7"/>
      <c r="B143" s="7"/>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thickBot="1">
      <c r="A144" s="7"/>
      <c r="B144" s="7"/>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thickBot="1">
      <c r="A145" s="7"/>
      <c r="B145" s="7"/>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thickBot="1">
      <c r="A146" s="7"/>
      <c r="B146" s="7"/>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thickBot="1">
      <c r="A147" s="7"/>
      <c r="B147" s="7"/>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thickBot="1">
      <c r="A148" s="7"/>
      <c r="B148" s="7"/>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thickBot="1">
      <c r="A149" s="7"/>
      <c r="B149" s="7"/>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thickBot="1">
      <c r="A150" s="7"/>
      <c r="B150" s="7"/>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thickBot="1">
      <c r="A151" s="7"/>
      <c r="B151" s="7"/>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thickBot="1">
      <c r="A152" s="7"/>
      <c r="B152" s="7"/>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thickBot="1">
      <c r="A153" s="7"/>
      <c r="B153" s="7"/>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thickBot="1">
      <c r="A154" s="7"/>
      <c r="B154" s="7"/>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thickBot="1">
      <c r="A155" s="7"/>
      <c r="B155" s="7"/>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thickBot="1">
      <c r="A156" s="7"/>
      <c r="B156" s="7"/>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thickBot="1">
      <c r="A157" s="7"/>
      <c r="B157" s="7"/>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thickBot="1">
      <c r="A158" s="7"/>
      <c r="B158" s="7"/>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thickBot="1">
      <c r="A159" s="7"/>
      <c r="B159" s="7"/>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thickBot="1">
      <c r="A160" s="7"/>
      <c r="B160" s="7"/>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thickBot="1">
      <c r="A161" s="7"/>
      <c r="B161" s="7"/>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thickBot="1">
      <c r="A162" s="7"/>
      <c r="B162" s="7"/>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thickBot="1">
      <c r="A163" s="7"/>
      <c r="B163" s="7"/>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thickBot="1">
      <c r="A164" s="7"/>
      <c r="B164" s="7"/>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thickBot="1">
      <c r="A165" s="7"/>
      <c r="B165" s="7"/>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thickBot="1">
      <c r="A166" s="7"/>
      <c r="B166" s="7"/>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thickBot="1">
      <c r="A167" s="7"/>
      <c r="B167" s="7"/>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thickBot="1">
      <c r="A168" s="7"/>
      <c r="B168" s="7"/>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thickBot="1">
      <c r="A169" s="7"/>
      <c r="B169" s="7"/>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thickBot="1">
      <c r="A170" s="7"/>
      <c r="B170" s="7"/>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thickBot="1">
      <c r="A171" s="7"/>
      <c r="B171" s="7"/>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thickBot="1">
      <c r="A172" s="7"/>
      <c r="B172" s="7"/>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thickBot="1">
      <c r="A173" s="7"/>
      <c r="B173" s="7"/>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thickBot="1">
      <c r="A174" s="7"/>
      <c r="B174" s="7"/>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thickBot="1">
      <c r="A175" s="7"/>
      <c r="B175" s="7"/>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thickBot="1">
      <c r="A176" s="7"/>
      <c r="B176" s="7"/>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thickBot="1">
      <c r="A177" s="7"/>
      <c r="B177" s="7"/>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thickBot="1">
      <c r="A178" s="7"/>
      <c r="B178" s="7"/>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thickBot="1">
      <c r="A179" s="7"/>
      <c r="B179" s="7"/>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thickBot="1">
      <c r="A180" s="7"/>
      <c r="B180" s="7"/>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thickBot="1">
      <c r="A181" s="7"/>
      <c r="B181" s="7"/>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thickBot="1">
      <c r="A182" s="7"/>
      <c r="B182" s="7"/>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thickBot="1">
      <c r="A183" s="7"/>
      <c r="B183" s="7"/>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thickBot="1">
      <c r="A184" s="7"/>
      <c r="B184" s="7"/>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thickBot="1">
      <c r="A185" s="7"/>
      <c r="B185" s="7"/>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thickBot="1">
      <c r="A186" s="7"/>
      <c r="B186" s="7"/>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thickBot="1">
      <c r="A187" s="7"/>
      <c r="B187" s="7"/>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thickBot="1">
      <c r="A188" s="7"/>
      <c r="B188" s="7"/>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thickBot="1">
      <c r="A189" s="7"/>
      <c r="B189" s="7"/>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thickBot="1">
      <c r="A190" s="7"/>
      <c r="B190" s="7"/>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thickBot="1">
      <c r="A191" s="7"/>
      <c r="B191" s="7"/>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thickBot="1">
      <c r="A192" s="7"/>
      <c r="B192" s="7"/>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thickBot="1">
      <c r="A193" s="7"/>
      <c r="B193" s="7"/>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thickBot="1">
      <c r="A194" s="7"/>
      <c r="B194" s="7"/>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thickBot="1">
      <c r="A195" s="7"/>
      <c r="B195" s="7"/>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thickBot="1">
      <c r="A196" s="7"/>
      <c r="B196" s="7"/>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thickBot="1">
      <c r="A197" s="7"/>
      <c r="B197" s="7"/>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thickBot="1">
      <c r="A198" s="7"/>
      <c r="B198" s="7"/>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thickBot="1">
      <c r="A199" s="7"/>
      <c r="B199" s="7"/>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thickBot="1">
      <c r="A200" s="7"/>
      <c r="B200" s="7"/>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thickBot="1">
      <c r="A201" s="7"/>
      <c r="B201" s="7"/>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thickBot="1">
      <c r="A202" s="7"/>
      <c r="B202" s="7"/>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thickBot="1">
      <c r="A203" s="7"/>
      <c r="B203" s="7"/>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thickBot="1">
      <c r="A204" s="7"/>
      <c r="B204" s="7"/>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thickBot="1">
      <c r="A205" s="7"/>
      <c r="B205" s="7"/>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thickBot="1">
      <c r="A206" s="7"/>
      <c r="B206" s="7"/>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thickBot="1">
      <c r="A207" s="7"/>
      <c r="B207" s="7"/>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thickBot="1">
      <c r="A208" s="7"/>
      <c r="B208" s="7"/>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thickBot="1">
      <c r="A209" s="7"/>
      <c r="B209" s="7"/>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thickBot="1">
      <c r="A210" s="7"/>
      <c r="B210" s="7"/>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thickBot="1">
      <c r="A211" s="7"/>
      <c r="B211" s="7"/>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thickBot="1">
      <c r="A212" s="7"/>
      <c r="B212" s="7"/>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thickBot="1">
      <c r="A213" s="7"/>
      <c r="B213" s="7"/>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thickBot="1">
      <c r="A214" s="7"/>
      <c r="B214" s="7"/>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thickBot="1">
      <c r="A215" s="7"/>
      <c r="B215" s="7"/>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thickBot="1">
      <c r="A216" s="7"/>
      <c r="B216" s="7"/>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thickBot="1">
      <c r="A217" s="7"/>
      <c r="B217" s="7"/>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thickBot="1">
      <c r="A218" s="7"/>
      <c r="B218" s="7"/>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thickBot="1">
      <c r="A219" s="7"/>
      <c r="B219" s="7"/>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thickBot="1">
      <c r="A220" s="7"/>
      <c r="B220" s="7"/>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thickBot="1">
      <c r="A221" s="7"/>
      <c r="B221" s="7"/>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thickBot="1">
      <c r="A222" s="7"/>
      <c r="B222" s="7"/>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thickBot="1">
      <c r="A223" s="7"/>
      <c r="B223" s="7"/>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thickBot="1">
      <c r="A224" s="7"/>
      <c r="B224" s="7"/>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thickBot="1">
      <c r="A225" s="7"/>
      <c r="B225" s="7"/>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thickBot="1">
      <c r="A226" s="7"/>
      <c r="B226" s="7"/>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thickBot="1">
      <c r="A227" s="7"/>
      <c r="B227" s="7"/>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thickBot="1">
      <c r="A228" s="7"/>
      <c r="B228" s="7"/>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thickBot="1">
      <c r="A229" s="7"/>
      <c r="B229" s="7"/>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thickBot="1">
      <c r="A230" s="7"/>
      <c r="B230" s="7"/>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thickBot="1">
      <c r="A231" s="7"/>
      <c r="B231" s="7"/>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thickBot="1">
      <c r="A232" s="7"/>
      <c r="B232" s="7"/>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thickBot="1">
      <c r="A233" s="7"/>
      <c r="B233" s="7"/>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thickBot="1">
      <c r="A234" s="7"/>
      <c r="B234" s="7"/>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thickBot="1">
      <c r="A235" s="7"/>
      <c r="B235" s="7"/>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thickBot="1">
      <c r="A236" s="7"/>
      <c r="B236" s="7"/>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thickBot="1">
      <c r="A237" s="7"/>
      <c r="B237" s="7"/>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thickBot="1">
      <c r="A238" s="7"/>
      <c r="B238" s="7"/>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thickBot="1">
      <c r="A239" s="7"/>
      <c r="B239" s="7"/>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thickBot="1">
      <c r="A240" s="7"/>
      <c r="B240" s="7"/>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thickBot="1">
      <c r="A241" s="7"/>
      <c r="B241" s="7"/>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thickBot="1">
      <c r="A242" s="7"/>
      <c r="B242" s="7"/>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thickBot="1">
      <c r="A243" s="7"/>
      <c r="B243" s="7"/>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thickBot="1">
      <c r="A244" s="7"/>
      <c r="B244" s="7"/>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thickBot="1">
      <c r="A245" s="7"/>
      <c r="B245" s="7"/>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thickBot="1">
      <c r="A246" s="7"/>
      <c r="B246" s="7"/>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thickBot="1">
      <c r="A247" s="7"/>
      <c r="B247" s="7"/>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thickBot="1">
      <c r="A248" s="7"/>
      <c r="B248" s="7"/>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thickBot="1">
      <c r="A249" s="7"/>
      <c r="B249" s="7"/>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thickBot="1">
      <c r="A250" s="7"/>
      <c r="B250" s="7"/>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thickBot="1">
      <c r="A251" s="7"/>
      <c r="B251" s="7"/>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thickBot="1">
      <c r="A252" s="7"/>
      <c r="B252" s="7"/>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thickBot="1">
      <c r="A253" s="7"/>
      <c r="B253" s="7"/>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thickBot="1">
      <c r="A254" s="7"/>
      <c r="B254" s="7"/>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thickBot="1">
      <c r="A255" s="7"/>
      <c r="B255" s="7"/>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thickBot="1">
      <c r="A256" s="7"/>
      <c r="B256" s="7"/>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thickBot="1">
      <c r="A257" s="7"/>
      <c r="B257" s="7"/>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thickBot="1">
      <c r="A258" s="7"/>
      <c r="B258" s="7"/>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thickBot="1">
      <c r="A259" s="7"/>
      <c r="B259" s="7"/>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thickBot="1">
      <c r="A260" s="7"/>
      <c r="B260" s="7"/>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thickBot="1">
      <c r="A261" s="7"/>
      <c r="B261" s="7"/>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thickBot="1">
      <c r="A262" s="7"/>
      <c r="B262" s="7"/>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thickBot="1">
      <c r="A263" s="7"/>
      <c r="B263" s="7"/>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thickBot="1">
      <c r="A264" s="7"/>
      <c r="B264" s="7"/>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thickBot="1">
      <c r="A265" s="7"/>
      <c r="B265" s="7"/>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thickBot="1">
      <c r="A266" s="7"/>
      <c r="B266" s="7"/>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thickBot="1">
      <c r="A267" s="7"/>
      <c r="B267" s="7"/>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thickBot="1">
      <c r="A268" s="7"/>
      <c r="B268" s="7"/>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thickBot="1">
      <c r="A269" s="7"/>
      <c r="B269" s="7"/>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thickBot="1">
      <c r="A270" s="7"/>
      <c r="B270" s="7"/>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thickBot="1">
      <c r="A271" s="7"/>
      <c r="B271" s="7"/>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thickBot="1">
      <c r="A272" s="7"/>
      <c r="B272" s="7"/>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thickBot="1">
      <c r="A273" s="7"/>
      <c r="B273" s="7"/>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thickBot="1">
      <c r="A274" s="7"/>
      <c r="B274" s="7"/>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thickBot="1">
      <c r="A275" s="7"/>
      <c r="B275" s="7"/>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thickBot="1">
      <c r="A276" s="7"/>
      <c r="B276" s="7"/>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thickBot="1">
      <c r="A277" s="7"/>
      <c r="B277" s="7"/>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thickBot="1">
      <c r="A278" s="7"/>
      <c r="B278" s="7"/>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thickBot="1">
      <c r="A279" s="7"/>
      <c r="B279" s="7"/>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thickBot="1">
      <c r="A280" s="7"/>
      <c r="B280" s="7"/>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thickBot="1">
      <c r="A281" s="7"/>
      <c r="B281" s="7"/>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thickBot="1">
      <c r="A282" s="7"/>
      <c r="B282" s="7"/>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thickBot="1">
      <c r="A283" s="7"/>
      <c r="B283" s="7"/>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thickBot="1">
      <c r="A284" s="7"/>
      <c r="B284" s="7"/>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thickBot="1">
      <c r="A285" s="7"/>
      <c r="B285" s="7"/>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thickBot="1">
      <c r="A286" s="7"/>
      <c r="B286" s="7"/>
      <c r="C286" s="2"/>
      <c r="D286" s="2"/>
      <c r="E286" s="2"/>
      <c r="F286" s="2"/>
      <c r="G286" s="2"/>
      <c r="H286" s="2"/>
      <c r="I286" s="108" t="s">
        <v>358</v>
      </c>
      <c r="J286" s="108" t="s">
        <v>358</v>
      </c>
      <c r="K286" s="2"/>
      <c r="L286" s="2"/>
      <c r="M286" s="2"/>
      <c r="N286" s="2"/>
      <c r="O286" s="2"/>
      <c r="P286" s="2"/>
      <c r="Q286" s="2"/>
      <c r="R286" s="2"/>
      <c r="S286" s="2"/>
      <c r="T286" s="2"/>
      <c r="U286" s="2"/>
      <c r="V286" s="2"/>
      <c r="W286" s="2"/>
      <c r="X286" s="2"/>
      <c r="Y286" s="2"/>
      <c r="Z286" s="2"/>
      <c r="AA286" s="2"/>
    </row>
    <row r="287" spans="1:27" thickBot="1">
      <c r="A287" s="7"/>
      <c r="B287" s="7"/>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thickBot="1">
      <c r="A288" s="7"/>
      <c r="B288" s="7"/>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thickBot="1">
      <c r="A289" s="7"/>
      <c r="B289" s="7"/>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thickBot="1">
      <c r="A290" s="7"/>
      <c r="B290" s="7"/>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thickBot="1">
      <c r="A291" s="7"/>
      <c r="B291" s="7"/>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thickBot="1">
      <c r="A292" s="7"/>
      <c r="B292" s="7"/>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thickBot="1">
      <c r="A293" s="7"/>
      <c r="B293" s="7"/>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thickBot="1">
      <c r="A294" s="7"/>
      <c r="B294" s="7"/>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thickBot="1">
      <c r="A295" s="7"/>
      <c r="B295" s="7"/>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thickBot="1">
      <c r="A296" s="7"/>
      <c r="B296" s="7"/>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thickBot="1">
      <c r="A297" s="7"/>
      <c r="B297" s="7"/>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thickBot="1">
      <c r="A298" s="7"/>
      <c r="B298" s="7"/>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thickBot="1">
      <c r="A299" s="7"/>
      <c r="B299" s="7"/>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thickBot="1">
      <c r="A300" s="7"/>
      <c r="B300" s="7"/>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thickBot="1">
      <c r="A301" s="7"/>
      <c r="B301" s="7"/>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thickBot="1">
      <c r="A302" s="7"/>
      <c r="B302" s="7"/>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thickBot="1">
      <c r="A303" s="7"/>
      <c r="B303" s="7"/>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thickBot="1">
      <c r="A304" s="7"/>
      <c r="B304" s="7"/>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thickBot="1">
      <c r="A305" s="7"/>
      <c r="B305" s="7"/>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thickBot="1">
      <c r="A306" s="7"/>
      <c r="B306" s="7"/>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thickBot="1">
      <c r="A307" s="7"/>
      <c r="B307" s="7"/>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thickBot="1">
      <c r="A308" s="7"/>
      <c r="B308" s="7"/>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thickBot="1">
      <c r="A309" s="7"/>
      <c r="B309" s="7"/>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thickBot="1">
      <c r="A310" s="7"/>
      <c r="B310" s="7"/>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thickBot="1">
      <c r="A311" s="7"/>
      <c r="B311" s="7"/>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thickBot="1">
      <c r="A312" s="7"/>
      <c r="B312" s="7"/>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thickBot="1">
      <c r="A313" s="7"/>
      <c r="B313" s="7"/>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thickBot="1">
      <c r="A314" s="7"/>
      <c r="B314" s="7"/>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thickBot="1">
      <c r="A315" s="7"/>
      <c r="B315" s="7"/>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thickBot="1">
      <c r="A316" s="7"/>
      <c r="B316" s="7"/>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thickBot="1">
      <c r="A317" s="7"/>
      <c r="B317" s="7"/>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thickBot="1">
      <c r="A318" s="7"/>
      <c r="B318" s="7"/>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thickBot="1">
      <c r="A319" s="7"/>
      <c r="B319" s="7"/>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thickBot="1">
      <c r="A320" s="7"/>
      <c r="B320" s="7"/>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thickBot="1">
      <c r="A321" s="7"/>
      <c r="B321" s="7"/>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thickBot="1">
      <c r="A322" s="7"/>
      <c r="B322" s="7"/>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thickBot="1">
      <c r="A323" s="7"/>
      <c r="B323" s="7"/>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thickBot="1">
      <c r="A324" s="7"/>
      <c r="B324" s="7"/>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thickBot="1">
      <c r="A325" s="7"/>
      <c r="B325" s="7"/>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thickBot="1">
      <c r="A326" s="7"/>
      <c r="B326" s="7"/>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thickBot="1">
      <c r="A327" s="7"/>
      <c r="B327" s="7"/>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thickBot="1">
      <c r="A328" s="7"/>
      <c r="B328" s="7"/>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thickBot="1">
      <c r="A329" s="7"/>
      <c r="B329" s="7"/>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thickBot="1">
      <c r="A330" s="7"/>
      <c r="B330" s="7"/>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thickBot="1">
      <c r="A331" s="7"/>
      <c r="B331" s="7"/>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thickBot="1">
      <c r="A332" s="7"/>
      <c r="B332" s="7"/>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thickBot="1">
      <c r="A333" s="7"/>
      <c r="B333" s="7"/>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thickBot="1">
      <c r="A334" s="7"/>
      <c r="B334" s="7"/>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thickBot="1">
      <c r="A335" s="7"/>
      <c r="B335" s="7"/>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thickBot="1">
      <c r="A336" s="7"/>
      <c r="B336" s="7"/>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thickBot="1">
      <c r="A337" s="7"/>
      <c r="B337" s="7"/>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thickBot="1">
      <c r="A338" s="7"/>
      <c r="B338" s="7"/>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thickBot="1">
      <c r="A339" s="7"/>
      <c r="B339" s="7"/>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thickBot="1">
      <c r="A340" s="7"/>
      <c r="B340" s="7"/>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thickBot="1">
      <c r="A341" s="7"/>
      <c r="B341" s="7"/>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thickBot="1">
      <c r="A342" s="7"/>
      <c r="B342" s="7"/>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thickBot="1">
      <c r="A343" s="7"/>
      <c r="B343" s="7"/>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thickBot="1">
      <c r="A344" s="7"/>
      <c r="B344" s="7"/>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thickBot="1">
      <c r="A345" s="7"/>
      <c r="B345" s="7"/>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thickBot="1">
      <c r="A346" s="7"/>
      <c r="B346" s="7"/>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thickBot="1">
      <c r="A347" s="7"/>
      <c r="B347" s="7"/>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thickBot="1">
      <c r="A348" s="7"/>
      <c r="B348" s="7"/>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thickBot="1">
      <c r="A349" s="7"/>
      <c r="B349" s="7"/>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thickBot="1">
      <c r="A350" s="7"/>
      <c r="B350" s="7"/>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thickBot="1">
      <c r="A351" s="7"/>
      <c r="B351" s="7"/>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thickBot="1">
      <c r="A352" s="7"/>
      <c r="B352" s="7"/>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thickBot="1">
      <c r="A353" s="7"/>
      <c r="B353" s="7"/>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thickBot="1">
      <c r="A354" s="7"/>
      <c r="B354" s="7"/>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thickBot="1">
      <c r="A355" s="7"/>
      <c r="B355" s="7"/>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thickBot="1">
      <c r="A356" s="7"/>
      <c r="B356" s="7"/>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thickBot="1">
      <c r="A357" s="7"/>
      <c r="B357" s="7"/>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thickBot="1">
      <c r="A358" s="7"/>
      <c r="B358" s="7"/>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thickBot="1">
      <c r="A359" s="7"/>
      <c r="B359" s="7"/>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thickBot="1">
      <c r="A360" s="7"/>
      <c r="B360" s="7"/>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thickBot="1">
      <c r="A361" s="7"/>
      <c r="B361" s="7"/>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thickBot="1">
      <c r="A362" s="7"/>
      <c r="B362" s="7"/>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thickBot="1">
      <c r="A363" s="7"/>
      <c r="B363" s="7"/>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thickBot="1">
      <c r="A364" s="7"/>
      <c r="B364" s="7"/>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thickBot="1">
      <c r="A365" s="7"/>
      <c r="B365" s="7"/>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thickBot="1">
      <c r="A366" s="7"/>
      <c r="B366" s="7"/>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thickBot="1">
      <c r="A367" s="7"/>
      <c r="B367" s="7"/>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thickBot="1">
      <c r="A368" s="7"/>
      <c r="B368" s="7"/>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thickBot="1">
      <c r="A369" s="7"/>
      <c r="B369" s="7"/>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thickBot="1">
      <c r="A370" s="7"/>
      <c r="B370" s="7"/>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thickBot="1">
      <c r="A371" s="7"/>
      <c r="B371" s="7"/>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thickBot="1">
      <c r="A372" s="7"/>
      <c r="B372" s="7"/>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thickBot="1">
      <c r="A373" s="7"/>
      <c r="B373" s="7"/>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thickBot="1">
      <c r="A374" s="7"/>
      <c r="B374" s="7"/>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thickBot="1">
      <c r="A375" s="7"/>
      <c r="B375" s="7"/>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thickBot="1">
      <c r="A376" s="7"/>
      <c r="B376" s="7"/>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thickBot="1">
      <c r="A377" s="7"/>
      <c r="B377" s="7"/>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thickBot="1">
      <c r="A378" s="7"/>
      <c r="B378" s="7"/>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thickBot="1">
      <c r="A379" s="7"/>
      <c r="B379" s="7"/>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thickBot="1">
      <c r="A380" s="7"/>
      <c r="B380" s="7"/>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thickBot="1">
      <c r="A381" s="7"/>
      <c r="B381" s="7"/>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thickBot="1">
      <c r="A382" s="7"/>
      <c r="B382" s="7"/>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thickBot="1">
      <c r="A383" s="7"/>
      <c r="B383" s="7"/>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thickBot="1">
      <c r="A384" s="7"/>
      <c r="B384" s="7"/>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thickBot="1">
      <c r="A385" s="7"/>
      <c r="B385" s="7"/>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thickBot="1">
      <c r="A386" s="7"/>
      <c r="B386" s="7"/>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thickBot="1">
      <c r="A387" s="7"/>
      <c r="B387" s="7"/>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thickBot="1">
      <c r="A388" s="7"/>
      <c r="B388" s="7"/>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thickBot="1">
      <c r="A389" s="7"/>
      <c r="B389" s="7"/>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thickBot="1">
      <c r="A390" s="7"/>
      <c r="B390" s="7"/>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thickBot="1">
      <c r="A391" s="7"/>
      <c r="B391" s="7"/>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thickBot="1">
      <c r="A392" s="7"/>
      <c r="B392" s="7"/>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thickBot="1">
      <c r="A393" s="7"/>
      <c r="B393" s="7"/>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thickBot="1">
      <c r="A394" s="7"/>
      <c r="B394" s="7"/>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thickBot="1">
      <c r="A395" s="7"/>
      <c r="B395" s="7"/>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thickBot="1">
      <c r="A396" s="7"/>
      <c r="B396" s="7"/>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thickBot="1">
      <c r="A397" s="7"/>
      <c r="B397" s="7"/>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thickBot="1">
      <c r="A398" s="7"/>
      <c r="B398" s="7"/>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thickBot="1">
      <c r="A399" s="7"/>
      <c r="B399" s="7"/>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thickBot="1">
      <c r="A400" s="7"/>
      <c r="B400" s="7"/>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thickBot="1">
      <c r="A401" s="7"/>
      <c r="B401" s="7"/>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thickBot="1">
      <c r="A402" s="7"/>
      <c r="B402" s="7"/>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thickBot="1">
      <c r="A403" s="7"/>
      <c r="B403" s="7"/>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thickBot="1">
      <c r="A404" s="7"/>
      <c r="B404" s="7"/>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thickBot="1">
      <c r="A405" s="7"/>
      <c r="B405" s="7"/>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thickBot="1">
      <c r="A406" s="7"/>
      <c r="B406" s="7"/>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thickBot="1">
      <c r="A407" s="7"/>
      <c r="B407" s="7"/>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thickBot="1">
      <c r="A408" s="7"/>
      <c r="B408" s="7"/>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thickBot="1">
      <c r="A409" s="7"/>
      <c r="B409" s="7"/>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thickBot="1">
      <c r="A410" s="7"/>
      <c r="B410" s="7"/>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thickBot="1">
      <c r="A411" s="7"/>
      <c r="B411" s="7"/>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thickBot="1">
      <c r="A412" s="7"/>
      <c r="B412" s="7"/>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thickBot="1">
      <c r="A413" s="7"/>
      <c r="B413" s="7"/>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thickBot="1">
      <c r="A414" s="7"/>
      <c r="B414" s="7"/>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thickBot="1">
      <c r="A415" s="7"/>
      <c r="B415" s="7"/>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thickBot="1">
      <c r="A416" s="7"/>
      <c r="B416" s="7"/>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thickBot="1">
      <c r="A417" s="7"/>
      <c r="B417" s="7"/>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thickBot="1">
      <c r="A418" s="7"/>
      <c r="B418" s="7"/>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thickBot="1">
      <c r="A419" s="7"/>
      <c r="B419" s="7"/>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thickBot="1">
      <c r="A420" s="7"/>
      <c r="B420" s="7"/>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thickBot="1">
      <c r="A421" s="7"/>
      <c r="B421" s="7"/>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thickBot="1">
      <c r="A422" s="7"/>
      <c r="B422" s="7"/>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thickBot="1">
      <c r="A423" s="7"/>
      <c r="B423" s="7"/>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thickBot="1">
      <c r="A424" s="7"/>
      <c r="B424" s="7"/>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thickBot="1">
      <c r="A425" s="7"/>
      <c r="B425" s="7"/>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thickBot="1">
      <c r="A426" s="7"/>
      <c r="B426" s="7"/>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thickBot="1">
      <c r="A427" s="7"/>
      <c r="B427" s="7"/>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thickBot="1">
      <c r="A428" s="7"/>
      <c r="B428" s="7"/>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thickBot="1">
      <c r="A429" s="7"/>
      <c r="B429" s="7"/>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thickBot="1">
      <c r="A430" s="7"/>
      <c r="B430" s="7"/>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thickBot="1">
      <c r="A431" s="7"/>
      <c r="B431" s="7"/>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thickBot="1">
      <c r="A432" s="7"/>
      <c r="B432" s="7"/>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thickBot="1">
      <c r="A433" s="7"/>
      <c r="B433" s="7"/>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thickBot="1">
      <c r="A434" s="7"/>
      <c r="B434" s="7"/>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thickBot="1">
      <c r="A435" s="7"/>
      <c r="B435" s="7"/>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thickBot="1">
      <c r="A436" s="7"/>
      <c r="B436" s="7"/>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thickBot="1">
      <c r="A437" s="7"/>
      <c r="B437" s="7"/>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thickBot="1">
      <c r="A438" s="7"/>
      <c r="B438" s="7"/>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thickBot="1">
      <c r="A439" s="7"/>
      <c r="B439" s="7"/>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thickBot="1">
      <c r="A440" s="7"/>
      <c r="B440" s="7"/>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thickBot="1">
      <c r="A441" s="7"/>
      <c r="B441" s="7"/>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thickBot="1">
      <c r="A442" s="7"/>
      <c r="B442" s="7"/>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thickBot="1">
      <c r="A443" s="7"/>
      <c r="B443" s="7"/>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thickBot="1">
      <c r="A444" s="7"/>
      <c r="B444" s="7"/>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thickBot="1">
      <c r="A445" s="7"/>
      <c r="B445" s="7"/>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thickBot="1">
      <c r="A446" s="7"/>
      <c r="B446" s="7"/>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thickBot="1">
      <c r="A447" s="7"/>
      <c r="B447" s="7"/>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thickBot="1">
      <c r="A448" s="7"/>
      <c r="B448" s="7"/>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thickBot="1">
      <c r="A449" s="7"/>
      <c r="B449" s="7"/>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thickBot="1">
      <c r="A450" s="7"/>
      <c r="B450" s="7"/>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thickBot="1">
      <c r="A451" s="7"/>
      <c r="B451" s="7"/>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thickBot="1">
      <c r="A452" s="7"/>
      <c r="B452" s="7"/>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thickBot="1">
      <c r="A453" s="7"/>
      <c r="B453" s="7"/>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thickBot="1">
      <c r="A454" s="7"/>
      <c r="B454" s="7"/>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thickBot="1">
      <c r="A455" s="7"/>
      <c r="B455" s="7"/>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thickBot="1">
      <c r="A456" s="7"/>
      <c r="B456" s="7"/>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thickBot="1">
      <c r="A457" s="7"/>
      <c r="B457" s="7"/>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thickBot="1">
      <c r="A458" s="7"/>
      <c r="B458" s="7"/>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thickBot="1">
      <c r="A459" s="7"/>
      <c r="B459" s="7"/>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thickBot="1">
      <c r="A460" s="7"/>
      <c r="B460" s="7"/>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thickBot="1">
      <c r="A461" s="7"/>
      <c r="B461" s="7"/>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thickBot="1">
      <c r="A462" s="7"/>
      <c r="B462" s="7"/>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thickBot="1">
      <c r="A463" s="7"/>
      <c r="B463" s="7"/>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thickBot="1">
      <c r="A464" s="7"/>
      <c r="B464" s="7"/>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thickBot="1">
      <c r="A465" s="7"/>
      <c r="B465" s="7"/>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thickBot="1">
      <c r="A466" s="7"/>
      <c r="B466" s="7"/>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thickBot="1">
      <c r="A467" s="7"/>
      <c r="B467" s="7"/>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thickBot="1">
      <c r="A468" s="7"/>
      <c r="B468" s="7"/>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thickBot="1">
      <c r="A469" s="7"/>
      <c r="B469" s="7"/>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thickBot="1">
      <c r="A470" s="7"/>
      <c r="B470" s="7"/>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thickBot="1">
      <c r="A471" s="7"/>
      <c r="B471" s="7"/>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thickBot="1">
      <c r="A472" s="7"/>
      <c r="B472" s="7"/>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thickBot="1">
      <c r="A473" s="7"/>
      <c r="B473" s="7"/>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thickBot="1">
      <c r="A474" s="7"/>
      <c r="B474" s="7"/>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thickBot="1">
      <c r="A475" s="7"/>
      <c r="B475" s="7"/>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thickBot="1">
      <c r="A476" s="7"/>
      <c r="B476" s="7"/>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thickBot="1">
      <c r="A477" s="7"/>
      <c r="B477" s="7"/>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thickBot="1">
      <c r="A478" s="7"/>
      <c r="B478" s="7"/>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thickBot="1">
      <c r="A479" s="7"/>
      <c r="B479" s="7"/>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thickBot="1">
      <c r="A480" s="7"/>
      <c r="B480" s="7"/>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thickBot="1">
      <c r="A481" s="7"/>
      <c r="B481" s="7"/>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thickBot="1">
      <c r="A482" s="7"/>
      <c r="B482" s="7"/>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thickBot="1">
      <c r="A483" s="7"/>
      <c r="B483" s="7"/>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thickBot="1">
      <c r="A484" s="7"/>
      <c r="B484" s="7"/>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thickBot="1">
      <c r="A485" s="7"/>
      <c r="B485" s="7"/>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thickBot="1">
      <c r="A486" s="7"/>
      <c r="B486" s="7"/>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thickBot="1">
      <c r="A487" s="7"/>
      <c r="B487" s="7"/>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thickBot="1">
      <c r="A488" s="7"/>
      <c r="B488" s="7"/>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thickBot="1">
      <c r="A489" s="7"/>
      <c r="B489" s="7"/>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thickBot="1">
      <c r="A490" s="7"/>
      <c r="B490" s="7"/>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thickBot="1">
      <c r="A491" s="7"/>
      <c r="B491" s="7"/>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thickBot="1">
      <c r="A492" s="7"/>
      <c r="B492" s="7"/>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thickBot="1">
      <c r="A493" s="7"/>
      <c r="B493" s="7"/>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thickBot="1">
      <c r="A494" s="7"/>
      <c r="B494" s="7"/>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thickBot="1">
      <c r="A495" s="7"/>
      <c r="B495" s="7"/>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thickBot="1">
      <c r="A496" s="7"/>
      <c r="B496" s="7"/>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thickBot="1">
      <c r="A497" s="7"/>
      <c r="B497" s="7"/>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thickBot="1">
      <c r="A498" s="7"/>
      <c r="B498" s="7"/>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thickBot="1">
      <c r="A499" s="7"/>
      <c r="B499" s="7"/>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thickBot="1">
      <c r="A500" s="7"/>
      <c r="B500" s="7"/>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thickBot="1">
      <c r="A501" s="7"/>
      <c r="B501" s="7"/>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thickBot="1">
      <c r="A502" s="7"/>
      <c r="B502" s="7"/>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thickBot="1">
      <c r="A503" s="7"/>
      <c r="B503" s="7"/>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thickBot="1">
      <c r="A504" s="7"/>
      <c r="B504" s="7"/>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thickBot="1">
      <c r="A505" s="7"/>
      <c r="B505" s="7"/>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thickBot="1">
      <c r="A506" s="7"/>
      <c r="B506" s="7"/>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thickBot="1">
      <c r="A507" s="7"/>
      <c r="B507" s="7"/>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thickBot="1">
      <c r="A508" s="7"/>
      <c r="B508" s="7"/>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thickBot="1">
      <c r="A509" s="7"/>
      <c r="B509" s="7"/>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thickBot="1">
      <c r="A510" s="7"/>
      <c r="B510" s="7"/>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thickBot="1">
      <c r="A511" s="7"/>
      <c r="B511" s="7"/>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thickBot="1">
      <c r="A512" s="7"/>
      <c r="B512" s="7"/>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thickBot="1">
      <c r="A513" s="7"/>
      <c r="B513" s="7"/>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thickBot="1">
      <c r="A514" s="7"/>
      <c r="B514" s="7"/>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thickBot="1">
      <c r="A515" s="7"/>
      <c r="B515" s="7"/>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thickBot="1">
      <c r="A516" s="7"/>
      <c r="B516" s="7"/>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thickBot="1">
      <c r="A517" s="7"/>
      <c r="B517" s="7"/>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thickBot="1">
      <c r="A518" s="7"/>
      <c r="B518" s="7"/>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thickBot="1">
      <c r="A519" s="7"/>
      <c r="B519" s="7"/>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thickBot="1">
      <c r="A520" s="7"/>
      <c r="B520" s="7"/>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thickBot="1">
      <c r="A521" s="7"/>
      <c r="B521" s="7"/>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thickBot="1">
      <c r="A522" s="7"/>
      <c r="B522" s="7"/>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thickBot="1">
      <c r="A523" s="7"/>
      <c r="B523" s="7"/>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thickBot="1">
      <c r="A524" s="7"/>
      <c r="B524" s="7"/>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thickBot="1">
      <c r="A525" s="7"/>
      <c r="B525" s="7"/>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thickBot="1">
      <c r="A526" s="7"/>
      <c r="B526" s="7"/>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thickBot="1">
      <c r="A527" s="7"/>
      <c r="B527" s="7"/>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thickBot="1">
      <c r="A528" s="7"/>
      <c r="B528" s="7"/>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thickBot="1">
      <c r="A529" s="7"/>
      <c r="B529" s="7"/>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thickBot="1">
      <c r="A530" s="7"/>
      <c r="B530" s="7"/>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thickBot="1">
      <c r="A531" s="7"/>
      <c r="B531" s="7"/>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thickBot="1">
      <c r="A532" s="7"/>
      <c r="B532" s="7"/>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thickBot="1">
      <c r="A533" s="7"/>
      <c r="B533" s="7"/>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thickBot="1">
      <c r="A534" s="7"/>
      <c r="B534" s="7"/>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thickBot="1">
      <c r="A535" s="7"/>
      <c r="B535" s="7"/>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thickBot="1">
      <c r="A536" s="7"/>
      <c r="B536" s="7"/>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thickBot="1">
      <c r="A537" s="7"/>
      <c r="B537" s="7"/>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thickBot="1">
      <c r="A538" s="7"/>
      <c r="B538" s="7"/>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thickBot="1">
      <c r="A539" s="7"/>
      <c r="B539" s="7"/>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thickBot="1">
      <c r="A540" s="7"/>
      <c r="B540" s="7"/>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thickBot="1">
      <c r="A541" s="7"/>
      <c r="B541" s="7"/>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thickBot="1">
      <c r="A542" s="7"/>
      <c r="B542" s="7"/>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thickBot="1">
      <c r="A543" s="7"/>
      <c r="B543" s="7"/>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thickBot="1">
      <c r="A544" s="7"/>
      <c r="B544" s="7"/>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thickBot="1">
      <c r="A545" s="7"/>
      <c r="B545" s="7"/>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thickBot="1">
      <c r="A546" s="7"/>
      <c r="B546" s="7"/>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thickBot="1">
      <c r="A547" s="7"/>
      <c r="B547" s="7"/>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thickBot="1">
      <c r="A548" s="7"/>
      <c r="B548" s="7"/>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thickBot="1">
      <c r="A549" s="7"/>
      <c r="B549" s="7"/>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thickBot="1">
      <c r="A550" s="7"/>
      <c r="B550" s="7"/>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thickBot="1">
      <c r="A551" s="7"/>
      <c r="B551" s="7"/>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thickBot="1">
      <c r="A552" s="7"/>
      <c r="B552" s="7"/>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thickBot="1">
      <c r="A553" s="7"/>
      <c r="B553" s="7"/>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thickBot="1">
      <c r="A554" s="7"/>
      <c r="B554" s="7"/>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thickBot="1">
      <c r="A555" s="7"/>
      <c r="B555" s="7"/>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thickBot="1">
      <c r="A556" s="7"/>
      <c r="B556" s="7"/>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thickBot="1">
      <c r="A557" s="7"/>
      <c r="B557" s="7"/>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thickBot="1">
      <c r="A558" s="7"/>
      <c r="B558" s="7"/>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thickBot="1">
      <c r="A559" s="7"/>
      <c r="B559" s="7"/>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thickBot="1">
      <c r="A560" s="7"/>
      <c r="B560" s="7"/>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thickBot="1">
      <c r="A561" s="7"/>
      <c r="B561" s="7"/>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thickBot="1">
      <c r="A562" s="7"/>
      <c r="B562" s="7"/>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thickBot="1">
      <c r="A563" s="7"/>
      <c r="B563" s="7"/>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thickBot="1">
      <c r="A564" s="7"/>
      <c r="B564" s="7"/>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thickBot="1">
      <c r="A565" s="7"/>
      <c r="B565" s="7"/>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thickBot="1">
      <c r="A566" s="7"/>
      <c r="B566" s="7"/>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thickBot="1">
      <c r="A567" s="7"/>
      <c r="B567" s="7"/>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thickBot="1">
      <c r="A568" s="7"/>
      <c r="B568" s="7"/>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thickBot="1">
      <c r="A569" s="7"/>
      <c r="B569" s="7"/>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thickBot="1">
      <c r="A570" s="7"/>
      <c r="B570" s="7"/>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thickBot="1">
      <c r="A571" s="7"/>
      <c r="B571" s="7"/>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thickBot="1">
      <c r="A572" s="7"/>
      <c r="B572" s="7"/>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thickBot="1">
      <c r="A573" s="7"/>
      <c r="B573" s="7"/>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thickBot="1">
      <c r="A574" s="7"/>
      <c r="B574" s="7"/>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thickBot="1">
      <c r="A575" s="7"/>
      <c r="B575" s="7"/>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thickBot="1">
      <c r="A576" s="7"/>
      <c r="B576" s="7"/>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thickBot="1">
      <c r="A577" s="7"/>
      <c r="B577" s="7"/>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thickBot="1">
      <c r="A578" s="7"/>
      <c r="B578" s="7"/>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thickBot="1">
      <c r="A579" s="7"/>
      <c r="B579" s="7"/>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thickBot="1">
      <c r="A580" s="7"/>
      <c r="B580" s="7"/>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thickBot="1">
      <c r="A581" s="7"/>
      <c r="B581" s="7"/>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thickBot="1">
      <c r="A582" s="7"/>
      <c r="B582" s="7"/>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thickBot="1">
      <c r="A583" s="7"/>
      <c r="B583" s="7"/>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thickBot="1">
      <c r="A584" s="7"/>
      <c r="B584" s="7"/>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thickBot="1">
      <c r="A585" s="7"/>
      <c r="B585" s="7"/>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thickBot="1">
      <c r="A586" s="7"/>
      <c r="B586" s="7"/>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thickBot="1">
      <c r="A587" s="7"/>
      <c r="B587" s="7"/>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thickBot="1">
      <c r="A588" s="7"/>
      <c r="B588" s="7"/>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thickBot="1">
      <c r="A589" s="7"/>
      <c r="B589" s="7"/>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thickBot="1">
      <c r="A590" s="7"/>
      <c r="B590" s="7"/>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thickBot="1">
      <c r="A591" s="7"/>
      <c r="B591" s="7"/>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thickBot="1">
      <c r="A592" s="7"/>
      <c r="B592" s="7"/>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thickBot="1">
      <c r="A593" s="7"/>
      <c r="B593" s="7"/>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thickBot="1">
      <c r="A594" s="7"/>
      <c r="B594" s="7"/>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thickBot="1">
      <c r="A595" s="7"/>
      <c r="B595" s="7"/>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thickBot="1">
      <c r="A596" s="7"/>
      <c r="B596" s="7"/>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thickBot="1">
      <c r="A597" s="7"/>
      <c r="B597" s="7"/>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thickBot="1">
      <c r="A598" s="7"/>
      <c r="B598" s="7"/>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thickBot="1">
      <c r="A599" s="7"/>
      <c r="B599" s="7"/>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thickBot="1">
      <c r="A600" s="7"/>
      <c r="B600" s="7"/>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thickBot="1">
      <c r="A601" s="7"/>
      <c r="B601" s="7"/>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thickBot="1">
      <c r="A602" s="7"/>
      <c r="B602" s="7"/>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thickBot="1">
      <c r="A603" s="7"/>
      <c r="B603" s="7"/>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thickBot="1">
      <c r="A604" s="7"/>
      <c r="B604" s="7"/>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thickBot="1">
      <c r="A605" s="7"/>
      <c r="B605" s="7"/>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thickBot="1">
      <c r="A606" s="7"/>
      <c r="B606" s="7"/>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thickBot="1">
      <c r="A607" s="7"/>
      <c r="B607" s="7"/>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thickBot="1">
      <c r="A608" s="7"/>
      <c r="B608" s="7"/>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thickBot="1">
      <c r="A609" s="7"/>
      <c r="B609" s="7"/>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thickBot="1">
      <c r="A610" s="7"/>
      <c r="B610" s="7"/>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thickBot="1">
      <c r="A611" s="7"/>
      <c r="B611" s="7"/>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thickBot="1">
      <c r="A612" s="7"/>
      <c r="B612" s="7"/>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thickBot="1">
      <c r="A613" s="7"/>
      <c r="B613" s="7"/>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thickBot="1">
      <c r="A614" s="7"/>
      <c r="B614" s="7"/>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thickBot="1">
      <c r="A615" s="7"/>
      <c r="B615" s="7"/>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thickBot="1">
      <c r="A616" s="7"/>
      <c r="B616" s="7"/>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thickBot="1">
      <c r="A617" s="7"/>
      <c r="B617" s="7"/>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thickBot="1">
      <c r="A618" s="7"/>
      <c r="B618" s="7"/>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thickBot="1">
      <c r="A619" s="7"/>
      <c r="B619" s="7"/>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thickBot="1">
      <c r="A620" s="7"/>
      <c r="B620" s="7"/>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thickBot="1">
      <c r="A621" s="7"/>
      <c r="B621" s="7"/>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thickBot="1">
      <c r="A622" s="7"/>
      <c r="B622" s="7"/>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thickBot="1">
      <c r="A623" s="7"/>
      <c r="B623" s="7"/>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thickBot="1">
      <c r="A624" s="7"/>
      <c r="B624" s="7"/>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thickBot="1">
      <c r="A625" s="7"/>
      <c r="B625" s="7"/>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thickBot="1">
      <c r="A626" s="7"/>
      <c r="B626" s="7"/>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thickBot="1">
      <c r="A627" s="7"/>
      <c r="B627" s="7"/>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thickBot="1">
      <c r="A628" s="7"/>
      <c r="B628" s="7"/>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thickBot="1">
      <c r="A629" s="7"/>
      <c r="B629" s="7"/>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thickBot="1">
      <c r="A630" s="7"/>
      <c r="B630" s="7"/>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thickBot="1">
      <c r="A631" s="7"/>
      <c r="B631" s="7"/>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thickBot="1">
      <c r="A632" s="7"/>
      <c r="B632" s="7"/>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thickBot="1">
      <c r="A633" s="7"/>
      <c r="B633" s="7"/>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thickBot="1">
      <c r="A634" s="7"/>
      <c r="B634" s="7"/>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thickBot="1">
      <c r="A635" s="7"/>
      <c r="B635" s="7"/>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thickBot="1">
      <c r="A636" s="7"/>
      <c r="B636" s="7"/>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thickBot="1">
      <c r="A637" s="7"/>
      <c r="B637" s="7"/>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thickBot="1">
      <c r="A638" s="7"/>
      <c r="B638" s="7"/>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thickBot="1">
      <c r="A639" s="7"/>
      <c r="B639" s="7"/>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thickBot="1">
      <c r="A640" s="7"/>
      <c r="B640" s="7"/>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thickBot="1">
      <c r="A641" s="7"/>
      <c r="B641" s="7"/>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thickBot="1">
      <c r="A642" s="7"/>
      <c r="B642" s="7"/>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thickBot="1">
      <c r="A643" s="7"/>
      <c r="B643" s="7"/>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thickBot="1">
      <c r="A644" s="7"/>
      <c r="B644" s="7"/>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thickBot="1">
      <c r="A645" s="7"/>
      <c r="B645" s="7"/>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thickBot="1">
      <c r="A646" s="7"/>
      <c r="B646" s="7"/>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thickBot="1">
      <c r="A647" s="7"/>
      <c r="B647" s="7"/>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thickBot="1">
      <c r="A648" s="7"/>
      <c r="B648" s="7"/>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thickBot="1">
      <c r="A649" s="7"/>
      <c r="B649" s="7"/>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thickBot="1">
      <c r="A650" s="7"/>
      <c r="B650" s="7"/>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thickBot="1">
      <c r="A651" s="7"/>
      <c r="B651" s="7"/>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thickBot="1">
      <c r="A652" s="7"/>
      <c r="B652" s="7"/>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thickBot="1">
      <c r="A653" s="7"/>
      <c r="B653" s="7"/>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thickBot="1">
      <c r="A654" s="7"/>
      <c r="B654" s="7"/>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thickBot="1">
      <c r="A655" s="7"/>
      <c r="B655" s="7"/>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thickBot="1">
      <c r="A656" s="7"/>
      <c r="B656" s="7"/>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thickBot="1">
      <c r="A657" s="7"/>
      <c r="B657" s="7"/>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thickBot="1">
      <c r="A658" s="7"/>
      <c r="B658" s="7"/>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thickBot="1">
      <c r="A659" s="7"/>
      <c r="B659" s="7"/>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thickBot="1">
      <c r="A660" s="7"/>
      <c r="B660" s="7"/>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thickBot="1">
      <c r="A661" s="7"/>
      <c r="B661" s="7"/>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thickBot="1">
      <c r="A662" s="7"/>
      <c r="B662" s="7"/>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thickBot="1">
      <c r="A663" s="7"/>
      <c r="B663" s="7"/>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thickBot="1">
      <c r="A664" s="7"/>
      <c r="B664" s="7"/>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thickBot="1">
      <c r="A665" s="7"/>
      <c r="B665" s="7"/>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thickBot="1">
      <c r="A666" s="7"/>
      <c r="B666" s="7"/>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thickBot="1">
      <c r="A667" s="7"/>
      <c r="B667" s="7"/>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thickBot="1">
      <c r="A668" s="7"/>
      <c r="B668" s="7"/>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thickBot="1">
      <c r="A669" s="7"/>
      <c r="B669" s="7"/>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thickBot="1">
      <c r="A670" s="7"/>
      <c r="B670" s="7"/>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thickBot="1">
      <c r="A671" s="7"/>
      <c r="B671" s="7"/>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thickBot="1">
      <c r="A672" s="7"/>
      <c r="B672" s="7"/>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thickBot="1">
      <c r="A673" s="7"/>
      <c r="B673" s="7"/>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thickBot="1">
      <c r="A674" s="7"/>
      <c r="B674" s="7"/>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thickBot="1">
      <c r="A675" s="7"/>
      <c r="B675" s="7"/>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thickBot="1">
      <c r="A676" s="7"/>
      <c r="B676" s="7"/>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thickBot="1">
      <c r="A677" s="7"/>
      <c r="B677" s="7"/>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thickBot="1">
      <c r="A678" s="7"/>
      <c r="B678" s="7"/>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thickBot="1">
      <c r="A679" s="7"/>
      <c r="B679" s="7"/>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thickBot="1">
      <c r="A680" s="7"/>
      <c r="B680" s="7"/>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thickBot="1">
      <c r="A681" s="7"/>
      <c r="B681" s="7"/>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thickBot="1">
      <c r="A682" s="7"/>
      <c r="B682" s="7"/>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thickBot="1">
      <c r="A683" s="7"/>
      <c r="B683" s="7"/>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thickBot="1">
      <c r="A684" s="7"/>
      <c r="B684" s="7"/>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thickBot="1">
      <c r="A685" s="7"/>
      <c r="B685" s="7"/>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thickBot="1">
      <c r="A686" s="7"/>
      <c r="B686" s="7"/>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thickBot="1">
      <c r="A687" s="7"/>
      <c r="B687" s="7"/>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thickBot="1">
      <c r="A688" s="7"/>
      <c r="B688" s="7"/>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thickBot="1">
      <c r="A689" s="7"/>
      <c r="B689" s="7"/>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thickBot="1">
      <c r="A690" s="7"/>
      <c r="B690" s="7"/>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thickBot="1">
      <c r="A691" s="7"/>
      <c r="B691" s="7"/>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thickBot="1">
      <c r="A692" s="7"/>
      <c r="B692" s="7"/>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thickBot="1">
      <c r="A693" s="7"/>
      <c r="B693" s="7"/>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thickBot="1">
      <c r="A694" s="7"/>
      <c r="B694" s="7"/>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thickBot="1">
      <c r="A695" s="7"/>
      <c r="B695" s="7"/>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thickBot="1">
      <c r="A696" s="7"/>
      <c r="B696" s="7"/>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thickBot="1">
      <c r="A697" s="7"/>
      <c r="B697" s="7"/>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thickBot="1">
      <c r="A698" s="7"/>
      <c r="B698" s="7"/>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thickBot="1">
      <c r="A699" s="7"/>
      <c r="B699" s="7"/>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thickBot="1">
      <c r="A700" s="7"/>
      <c r="B700" s="7"/>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thickBot="1">
      <c r="A701" s="7"/>
      <c r="B701" s="7"/>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thickBot="1">
      <c r="A702" s="7"/>
      <c r="B702" s="7"/>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thickBot="1">
      <c r="A703" s="7"/>
      <c r="B703" s="7"/>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thickBot="1">
      <c r="A704" s="7"/>
      <c r="B704" s="7"/>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thickBot="1">
      <c r="A705" s="7"/>
      <c r="B705" s="7"/>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thickBot="1">
      <c r="A706" s="7"/>
      <c r="B706" s="7"/>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thickBot="1">
      <c r="A707" s="7"/>
      <c r="B707" s="7"/>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thickBot="1">
      <c r="A708" s="7"/>
      <c r="B708" s="7"/>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thickBot="1">
      <c r="A709" s="7"/>
      <c r="B709" s="7"/>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thickBot="1">
      <c r="A710" s="7"/>
      <c r="B710" s="7"/>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thickBot="1">
      <c r="A711" s="7"/>
      <c r="B711" s="7"/>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thickBot="1">
      <c r="A712" s="7"/>
      <c r="B712" s="7"/>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thickBot="1">
      <c r="A713" s="7"/>
      <c r="B713" s="7"/>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thickBot="1">
      <c r="A714" s="7"/>
      <c r="B714" s="7"/>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thickBot="1">
      <c r="A715" s="7"/>
      <c r="B715" s="7"/>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thickBot="1">
      <c r="A716" s="7"/>
      <c r="B716" s="7"/>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thickBot="1">
      <c r="A717" s="7"/>
      <c r="B717" s="7"/>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thickBot="1">
      <c r="A718" s="7"/>
      <c r="B718" s="7"/>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thickBot="1">
      <c r="A719" s="7"/>
      <c r="B719" s="7"/>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thickBot="1">
      <c r="A720" s="7"/>
      <c r="B720" s="7"/>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thickBot="1">
      <c r="A721" s="7"/>
      <c r="B721" s="7"/>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thickBot="1">
      <c r="A722" s="7"/>
      <c r="B722" s="7"/>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thickBot="1">
      <c r="A723" s="7"/>
      <c r="B723" s="7"/>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thickBot="1">
      <c r="A724" s="7"/>
      <c r="B724" s="7"/>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thickBot="1">
      <c r="A725" s="7"/>
      <c r="B725" s="7"/>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thickBot="1">
      <c r="A726" s="7"/>
      <c r="B726" s="7"/>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thickBot="1">
      <c r="A727" s="7"/>
      <c r="B727" s="7"/>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thickBot="1">
      <c r="A728" s="7"/>
      <c r="B728" s="7"/>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thickBot="1">
      <c r="A729" s="7"/>
      <c r="B729" s="7"/>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thickBot="1">
      <c r="A730" s="7"/>
      <c r="B730" s="7"/>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thickBot="1">
      <c r="A731" s="7"/>
      <c r="B731" s="7"/>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thickBot="1">
      <c r="A732" s="7"/>
      <c r="B732" s="7"/>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thickBot="1">
      <c r="A733" s="7"/>
      <c r="B733" s="7"/>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thickBot="1">
      <c r="A734" s="7"/>
      <c r="B734" s="7"/>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thickBot="1">
      <c r="A735" s="7"/>
      <c r="B735" s="7"/>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thickBot="1">
      <c r="A736" s="7"/>
      <c r="B736" s="7"/>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thickBot="1">
      <c r="A737" s="7"/>
      <c r="B737" s="7"/>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thickBot="1">
      <c r="A738" s="7"/>
      <c r="B738" s="7"/>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thickBot="1">
      <c r="A739" s="7"/>
      <c r="B739" s="7"/>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thickBot="1">
      <c r="A740" s="7"/>
      <c r="B740" s="7"/>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thickBot="1">
      <c r="A741" s="7"/>
      <c r="B741" s="7"/>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thickBot="1">
      <c r="A742" s="7"/>
      <c r="B742" s="7"/>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thickBot="1">
      <c r="A743" s="7"/>
      <c r="B743" s="7"/>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thickBot="1">
      <c r="A744" s="7"/>
      <c r="B744" s="7"/>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thickBot="1">
      <c r="A745" s="7"/>
      <c r="B745" s="7"/>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thickBot="1">
      <c r="A746" s="7"/>
      <c r="B746" s="7"/>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thickBot="1">
      <c r="A747" s="7"/>
      <c r="B747" s="7"/>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thickBot="1">
      <c r="A748" s="7"/>
      <c r="B748" s="7"/>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thickBot="1">
      <c r="A749" s="7"/>
      <c r="B749" s="7"/>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thickBot="1">
      <c r="A750" s="7"/>
      <c r="B750" s="7"/>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thickBot="1">
      <c r="A751" s="7"/>
      <c r="B751" s="7"/>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thickBot="1">
      <c r="A752" s="7"/>
      <c r="B752" s="7"/>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thickBot="1">
      <c r="A753" s="7"/>
      <c r="B753" s="7"/>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thickBot="1">
      <c r="A754" s="7"/>
      <c r="B754" s="7"/>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thickBot="1">
      <c r="A755" s="7"/>
      <c r="B755" s="7"/>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thickBot="1">
      <c r="A756" s="7"/>
      <c r="B756" s="7"/>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thickBot="1">
      <c r="A757" s="7"/>
      <c r="B757" s="7"/>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thickBot="1">
      <c r="A758" s="7"/>
      <c r="B758" s="7"/>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thickBot="1">
      <c r="A759" s="7"/>
      <c r="B759" s="7"/>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thickBot="1">
      <c r="A760" s="7"/>
      <c r="B760" s="7"/>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thickBot="1">
      <c r="A761" s="7"/>
      <c r="B761" s="7"/>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thickBot="1">
      <c r="A762" s="7"/>
      <c r="B762" s="7"/>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thickBot="1">
      <c r="A763" s="7"/>
      <c r="B763" s="7"/>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thickBot="1">
      <c r="A764" s="7"/>
      <c r="B764" s="7"/>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thickBot="1">
      <c r="A765" s="7"/>
      <c r="B765" s="7"/>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thickBot="1">
      <c r="A766" s="7"/>
      <c r="B766" s="7"/>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thickBot="1">
      <c r="A767" s="7"/>
      <c r="B767" s="7"/>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thickBot="1">
      <c r="A768" s="7"/>
      <c r="B768" s="7"/>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thickBot="1">
      <c r="A769" s="7"/>
      <c r="B769" s="7"/>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thickBot="1">
      <c r="A770" s="7"/>
      <c r="B770" s="7"/>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thickBot="1">
      <c r="A771" s="7"/>
      <c r="B771" s="7"/>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thickBot="1">
      <c r="A772" s="7"/>
      <c r="B772" s="7"/>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thickBot="1">
      <c r="A773" s="7"/>
      <c r="B773" s="7"/>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thickBot="1">
      <c r="A774" s="7"/>
      <c r="B774" s="7"/>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thickBot="1">
      <c r="A775" s="7"/>
      <c r="B775" s="7"/>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thickBot="1">
      <c r="A776" s="7"/>
      <c r="B776" s="7"/>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thickBot="1">
      <c r="A777" s="7"/>
      <c r="B777" s="7"/>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thickBot="1">
      <c r="A778" s="7"/>
      <c r="B778" s="7"/>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thickBot="1">
      <c r="A779" s="7"/>
      <c r="B779" s="7"/>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thickBot="1">
      <c r="A780" s="7"/>
      <c r="B780" s="7"/>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thickBot="1">
      <c r="A781" s="7"/>
      <c r="B781" s="7"/>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thickBot="1">
      <c r="A782" s="7"/>
      <c r="B782" s="7"/>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thickBot="1">
      <c r="A783" s="7"/>
      <c r="B783" s="7"/>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thickBot="1">
      <c r="A784" s="7"/>
      <c r="B784" s="7"/>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thickBot="1">
      <c r="A785" s="7"/>
      <c r="B785" s="7"/>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thickBot="1">
      <c r="A786" s="7"/>
      <c r="B786" s="7"/>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thickBot="1">
      <c r="A787" s="7"/>
      <c r="B787" s="7"/>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thickBot="1">
      <c r="A788" s="7"/>
      <c r="B788" s="7"/>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thickBot="1">
      <c r="A789" s="7"/>
      <c r="B789" s="7"/>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thickBot="1">
      <c r="A790" s="7"/>
      <c r="B790" s="7"/>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thickBot="1">
      <c r="A791" s="7"/>
      <c r="B791" s="7"/>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thickBot="1">
      <c r="A792" s="7"/>
      <c r="B792" s="7"/>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thickBot="1">
      <c r="A793" s="7"/>
      <c r="B793" s="7"/>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thickBot="1">
      <c r="A794" s="7"/>
      <c r="B794" s="7"/>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thickBot="1">
      <c r="A795" s="7"/>
      <c r="B795" s="7"/>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thickBot="1">
      <c r="A796" s="7"/>
      <c r="B796" s="7"/>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thickBot="1">
      <c r="A797" s="7"/>
      <c r="B797" s="7"/>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thickBot="1">
      <c r="A798" s="7"/>
      <c r="B798" s="7"/>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thickBot="1">
      <c r="A799" s="7"/>
      <c r="B799" s="7"/>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thickBot="1">
      <c r="A800" s="7"/>
      <c r="B800" s="7"/>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thickBot="1">
      <c r="A801" s="7"/>
      <c r="B801" s="7"/>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thickBot="1">
      <c r="A802" s="7"/>
      <c r="B802" s="7"/>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thickBot="1">
      <c r="A803" s="7"/>
      <c r="B803" s="7"/>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thickBot="1">
      <c r="A804" s="7"/>
      <c r="B804" s="7"/>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thickBot="1">
      <c r="A805" s="7"/>
      <c r="B805" s="7"/>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thickBot="1">
      <c r="A806" s="7"/>
      <c r="B806" s="7"/>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thickBot="1">
      <c r="A807" s="7"/>
      <c r="B807" s="7"/>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thickBot="1">
      <c r="A808" s="7"/>
      <c r="B808" s="7"/>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thickBot="1">
      <c r="A809" s="7"/>
      <c r="B809" s="7"/>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thickBot="1">
      <c r="A810" s="7"/>
      <c r="B810" s="7"/>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thickBot="1">
      <c r="A811" s="7"/>
      <c r="B811" s="7"/>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thickBot="1">
      <c r="A812" s="7"/>
      <c r="B812" s="7"/>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thickBot="1">
      <c r="A813" s="7"/>
      <c r="B813" s="7"/>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thickBot="1">
      <c r="A814" s="7"/>
      <c r="B814" s="7"/>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thickBot="1">
      <c r="A815" s="7"/>
      <c r="B815" s="7"/>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thickBot="1">
      <c r="A816" s="7"/>
      <c r="B816" s="7"/>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thickBot="1">
      <c r="A817" s="7"/>
      <c r="B817" s="7"/>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thickBot="1">
      <c r="A818" s="7"/>
      <c r="B818" s="7"/>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thickBot="1">
      <c r="A819" s="7"/>
      <c r="B819" s="7"/>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thickBot="1">
      <c r="A820" s="7"/>
      <c r="B820" s="7"/>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thickBot="1">
      <c r="A821" s="7"/>
      <c r="B821" s="7"/>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thickBot="1">
      <c r="A822" s="7"/>
      <c r="B822" s="7"/>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thickBot="1">
      <c r="A823" s="7"/>
      <c r="B823" s="7"/>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thickBot="1">
      <c r="A824" s="7"/>
      <c r="B824" s="7"/>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thickBot="1">
      <c r="A825" s="7"/>
      <c r="B825" s="7"/>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thickBot="1">
      <c r="A826" s="7"/>
      <c r="B826" s="7"/>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thickBot="1">
      <c r="A827" s="7"/>
      <c r="B827" s="7"/>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thickBot="1">
      <c r="A828" s="7"/>
      <c r="B828" s="7"/>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thickBot="1">
      <c r="A829" s="7"/>
      <c r="B829" s="7"/>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thickBot="1">
      <c r="A830" s="7"/>
      <c r="B830" s="7"/>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thickBot="1">
      <c r="A831" s="7"/>
      <c r="B831" s="7"/>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thickBot="1">
      <c r="A832" s="7"/>
      <c r="B832" s="7"/>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thickBot="1">
      <c r="A833" s="7"/>
      <c r="B833" s="7"/>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thickBot="1">
      <c r="A834" s="7"/>
      <c r="B834" s="7"/>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thickBot="1">
      <c r="A835" s="7"/>
      <c r="B835" s="7"/>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thickBot="1">
      <c r="A836" s="7"/>
      <c r="B836" s="7"/>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thickBot="1">
      <c r="A837" s="7"/>
      <c r="B837" s="7"/>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thickBot="1">
      <c r="A838" s="7"/>
      <c r="B838" s="7"/>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thickBot="1">
      <c r="A839" s="7"/>
      <c r="B839" s="7"/>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thickBot="1">
      <c r="A840" s="7"/>
      <c r="B840" s="7"/>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thickBot="1">
      <c r="A841" s="7"/>
      <c r="B841" s="7"/>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thickBot="1">
      <c r="A842" s="7"/>
      <c r="B842" s="7"/>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thickBot="1">
      <c r="A843" s="7"/>
      <c r="B843" s="7"/>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thickBot="1">
      <c r="A844" s="7"/>
      <c r="B844" s="7"/>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thickBot="1">
      <c r="A845" s="7"/>
      <c r="B845" s="7"/>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thickBot="1">
      <c r="A846" s="7"/>
      <c r="B846" s="7"/>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thickBot="1">
      <c r="A847" s="7"/>
      <c r="B847" s="7"/>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thickBot="1">
      <c r="A848" s="7"/>
      <c r="B848" s="7"/>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thickBot="1">
      <c r="A849" s="7"/>
      <c r="B849" s="7"/>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thickBot="1">
      <c r="A850" s="7"/>
      <c r="B850" s="7"/>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thickBot="1">
      <c r="A851" s="7"/>
      <c r="B851" s="7"/>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thickBot="1">
      <c r="A852" s="7"/>
      <c r="B852" s="7"/>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thickBot="1">
      <c r="A853" s="7"/>
      <c r="B853" s="7"/>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thickBot="1">
      <c r="A854" s="7"/>
      <c r="B854" s="7"/>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thickBot="1">
      <c r="A855" s="7"/>
      <c r="B855" s="7"/>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thickBot="1">
      <c r="A856" s="7"/>
      <c r="B856" s="7"/>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thickBot="1">
      <c r="A857" s="7"/>
      <c r="B857" s="7"/>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thickBot="1">
      <c r="A858" s="7"/>
      <c r="B858" s="7"/>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thickBot="1">
      <c r="A859" s="7"/>
      <c r="B859" s="7"/>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thickBot="1">
      <c r="A860" s="7"/>
      <c r="B860" s="7"/>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thickBot="1">
      <c r="A861" s="7"/>
      <c r="B861" s="7"/>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thickBot="1">
      <c r="A862" s="7"/>
      <c r="B862" s="7"/>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thickBot="1">
      <c r="A863" s="7"/>
      <c r="B863" s="7"/>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thickBot="1">
      <c r="A864" s="7"/>
      <c r="B864" s="7"/>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thickBot="1">
      <c r="A865" s="7"/>
      <c r="B865" s="7"/>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thickBot="1">
      <c r="A866" s="7"/>
      <c r="B866" s="7"/>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thickBot="1">
      <c r="A867" s="7"/>
      <c r="B867" s="7"/>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thickBot="1">
      <c r="A868" s="7"/>
      <c r="B868" s="7"/>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thickBot="1">
      <c r="A869" s="7"/>
      <c r="B869" s="7"/>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thickBot="1">
      <c r="A870" s="7"/>
      <c r="B870" s="7"/>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thickBot="1">
      <c r="A871" s="7"/>
      <c r="B871" s="7"/>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thickBot="1">
      <c r="A872" s="7"/>
      <c r="B872" s="7"/>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thickBot="1">
      <c r="A873" s="7"/>
      <c r="B873" s="7"/>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thickBot="1">
      <c r="A874" s="7"/>
      <c r="B874" s="7"/>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thickBot="1">
      <c r="A875" s="7"/>
      <c r="B875" s="7"/>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thickBot="1">
      <c r="A876" s="7"/>
      <c r="B876" s="7"/>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thickBot="1">
      <c r="A877" s="7"/>
      <c r="B877" s="7"/>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thickBot="1">
      <c r="A878" s="7"/>
      <c r="B878" s="7"/>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thickBot="1">
      <c r="A879" s="7"/>
      <c r="B879" s="7"/>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thickBot="1">
      <c r="A880" s="7"/>
      <c r="B880" s="7"/>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thickBot="1">
      <c r="A881" s="7"/>
      <c r="B881" s="7"/>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thickBot="1">
      <c r="A882" s="7"/>
      <c r="B882" s="7"/>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thickBot="1">
      <c r="A883" s="7"/>
      <c r="B883" s="7"/>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thickBot="1">
      <c r="A884" s="7"/>
      <c r="B884" s="7"/>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thickBot="1">
      <c r="A885" s="7"/>
      <c r="B885" s="7"/>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thickBot="1">
      <c r="A886" s="7"/>
      <c r="B886" s="7"/>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thickBot="1">
      <c r="A887" s="7"/>
      <c r="B887" s="7"/>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thickBot="1">
      <c r="A888" s="7"/>
      <c r="B888" s="7"/>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thickBot="1">
      <c r="A889" s="7"/>
      <c r="B889" s="7"/>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thickBot="1">
      <c r="A890" s="7"/>
      <c r="B890" s="7"/>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thickBot="1">
      <c r="A891" s="7"/>
      <c r="B891" s="7"/>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thickBot="1">
      <c r="A892" s="7"/>
      <c r="B892" s="7"/>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thickBot="1">
      <c r="A893" s="7"/>
      <c r="B893" s="7"/>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thickBot="1">
      <c r="A894" s="7"/>
      <c r="B894" s="7"/>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thickBot="1">
      <c r="A895" s="7"/>
      <c r="B895" s="7"/>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thickBot="1">
      <c r="A896" s="7"/>
      <c r="B896" s="7"/>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thickBot="1">
      <c r="A897" s="7"/>
      <c r="B897" s="7"/>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thickBot="1">
      <c r="A898" s="7"/>
      <c r="B898" s="7"/>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thickBot="1">
      <c r="A899" s="7"/>
      <c r="B899" s="7"/>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thickBot="1">
      <c r="A900" s="7"/>
      <c r="B900" s="7"/>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thickBot="1">
      <c r="A901" s="7"/>
      <c r="B901" s="7"/>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thickBot="1">
      <c r="A902" s="7"/>
      <c r="B902" s="7"/>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thickBot="1">
      <c r="A903" s="7"/>
      <c r="B903" s="7"/>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thickBot="1">
      <c r="A904" s="7"/>
      <c r="B904" s="7"/>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thickBot="1">
      <c r="A905" s="7"/>
      <c r="B905" s="7"/>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thickBot="1">
      <c r="A906" s="7"/>
      <c r="B906" s="7"/>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thickBot="1">
      <c r="A907" s="7"/>
      <c r="B907" s="7"/>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thickBot="1">
      <c r="A908" s="7"/>
      <c r="B908" s="7"/>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thickBot="1">
      <c r="A909" s="7"/>
      <c r="B909" s="7"/>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thickBot="1">
      <c r="A910" s="7"/>
      <c r="B910" s="7"/>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thickBot="1">
      <c r="A911" s="7"/>
      <c r="B911" s="7"/>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thickBot="1">
      <c r="A912" s="7"/>
      <c r="B912" s="7"/>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thickBot="1">
      <c r="A913" s="7"/>
      <c r="B913" s="7"/>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thickBot="1">
      <c r="A914" s="7"/>
      <c r="B914" s="7"/>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thickBot="1">
      <c r="A915" s="7"/>
      <c r="B915" s="7"/>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thickBot="1">
      <c r="A916" s="7"/>
      <c r="B916" s="7"/>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thickBot="1">
      <c r="A917" s="7"/>
      <c r="B917" s="7"/>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thickBot="1">
      <c r="A918" s="7"/>
      <c r="B918" s="7"/>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thickBot="1">
      <c r="A919" s="7"/>
      <c r="B919" s="7"/>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thickBot="1">
      <c r="A920" s="7"/>
      <c r="B920" s="7"/>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thickBot="1">
      <c r="A921" s="7"/>
      <c r="B921" s="7"/>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thickBot="1">
      <c r="A922" s="7"/>
      <c r="B922" s="7"/>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thickBot="1">
      <c r="A923" s="7"/>
      <c r="B923" s="7"/>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thickBot="1">
      <c r="A924" s="7"/>
      <c r="B924" s="7"/>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thickBot="1">
      <c r="A925" s="7"/>
      <c r="B925" s="7"/>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thickBot="1">
      <c r="A926" s="7"/>
      <c r="B926" s="7"/>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thickBot="1">
      <c r="A927" s="7"/>
      <c r="B927" s="7"/>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thickBot="1">
      <c r="A928" s="7"/>
      <c r="B928" s="7"/>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thickBot="1">
      <c r="A929" s="7"/>
      <c r="B929" s="7"/>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thickBot="1">
      <c r="A930" s="7"/>
      <c r="B930" s="7"/>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thickBot="1">
      <c r="A931" s="7"/>
      <c r="B931" s="7"/>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thickBot="1">
      <c r="A932" s="7"/>
      <c r="B932" s="7"/>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thickBot="1">
      <c r="A933" s="7"/>
      <c r="B933" s="7"/>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thickBot="1">
      <c r="A934" s="7"/>
      <c r="B934" s="7"/>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thickBot="1">
      <c r="A935" s="7"/>
      <c r="B935" s="7"/>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thickBot="1">
      <c r="A936" s="7"/>
      <c r="B936" s="7"/>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thickBot="1">
      <c r="A937" s="7"/>
      <c r="B937" s="7"/>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thickBot="1">
      <c r="A938" s="7"/>
      <c r="B938" s="7"/>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thickBot="1">
      <c r="A939" s="7"/>
      <c r="B939" s="7"/>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thickBot="1">
      <c r="A940" s="7"/>
      <c r="B940" s="7"/>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thickBot="1">
      <c r="A941" s="7"/>
      <c r="B941" s="7"/>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thickBot="1">
      <c r="A942" s="7"/>
      <c r="B942" s="7"/>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thickBot="1">
      <c r="A943" s="7"/>
      <c r="B943" s="7"/>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thickBot="1">
      <c r="A944" s="7"/>
      <c r="B944" s="7"/>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thickBot="1">
      <c r="A945" s="7"/>
      <c r="B945" s="7"/>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thickBot="1">
      <c r="A946" s="7"/>
      <c r="B946" s="7"/>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thickBot="1">
      <c r="A947" s="7"/>
      <c r="B947" s="7"/>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thickBot="1">
      <c r="A948" s="7"/>
      <c r="B948" s="7"/>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thickBot="1">
      <c r="A949" s="7"/>
      <c r="B949" s="7"/>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thickBot="1">
      <c r="A950" s="7"/>
      <c r="B950" s="7"/>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thickBot="1">
      <c r="A951" s="7"/>
      <c r="B951" s="7"/>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thickBot="1">
      <c r="A952" s="7"/>
      <c r="B952" s="7"/>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thickBot="1">
      <c r="A953" s="7"/>
      <c r="B953" s="7"/>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thickBot="1">
      <c r="A954" s="7"/>
      <c r="B954" s="7"/>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thickBot="1">
      <c r="A955" s="7"/>
      <c r="B955" s="7"/>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thickBot="1">
      <c r="A956" s="7"/>
      <c r="B956" s="7"/>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thickBot="1">
      <c r="A957" s="7"/>
      <c r="B957" s="7"/>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thickBot="1">
      <c r="A958" s="7"/>
      <c r="B958" s="7"/>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thickBot="1">
      <c r="A959" s="7"/>
      <c r="B959" s="7"/>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thickBot="1">
      <c r="A960" s="7"/>
      <c r="B960" s="7"/>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thickBot="1">
      <c r="A961" s="7"/>
      <c r="B961" s="7"/>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thickBot="1">
      <c r="A962" s="7"/>
      <c r="B962" s="7"/>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thickBot="1">
      <c r="A963" s="7"/>
      <c r="B963" s="7"/>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thickBot="1">
      <c r="A964" s="7"/>
      <c r="B964" s="7"/>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thickBot="1">
      <c r="A965" s="7"/>
      <c r="B965" s="7"/>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thickBot="1">
      <c r="A966" s="7"/>
      <c r="B966" s="7"/>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thickBot="1">
      <c r="A967" s="7"/>
      <c r="B967" s="7"/>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thickBot="1">
      <c r="A968" s="7"/>
      <c r="B968" s="7"/>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thickBot="1">
      <c r="A969" s="7"/>
      <c r="B969" s="7"/>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thickBot="1">
      <c r="A970" s="7"/>
      <c r="B970" s="7"/>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thickBot="1">
      <c r="A971" s="7"/>
      <c r="B971" s="7"/>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thickBot="1">
      <c r="A972" s="7"/>
      <c r="B972" s="7"/>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thickBot="1">
      <c r="A973" s="7"/>
      <c r="B973" s="7"/>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thickBot="1">
      <c r="A974" s="7"/>
      <c r="B974" s="7"/>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thickBot="1">
      <c r="A975" s="7"/>
      <c r="B975" s="7"/>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thickBot="1">
      <c r="A976" s="7"/>
      <c r="B976" s="7"/>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thickBot="1">
      <c r="A977" s="7"/>
      <c r="B977" s="7"/>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thickBot="1">
      <c r="A978" s="7"/>
      <c r="B978" s="7"/>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thickBot="1">
      <c r="A979" s="7"/>
      <c r="B979" s="7"/>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thickBot="1">
      <c r="A980" s="7"/>
      <c r="B980" s="7"/>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thickBot="1">
      <c r="A981" s="7"/>
      <c r="B981" s="7"/>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thickBot="1">
      <c r="A982" s="7"/>
      <c r="B982" s="7"/>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thickBot="1">
      <c r="A983" s="7"/>
      <c r="B983" s="7"/>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thickBot="1">
      <c r="A984" s="7"/>
      <c r="B984" s="7"/>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thickBot="1">
      <c r="A985" s="7"/>
      <c r="B985" s="7"/>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thickBot="1">
      <c r="A986" s="7"/>
      <c r="B986" s="7"/>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thickBot="1">
      <c r="A987" s="7"/>
      <c r="B987" s="7"/>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thickBot="1">
      <c r="A988" s="7"/>
      <c r="B988" s="7"/>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thickBot="1">
      <c r="A989" s="7"/>
      <c r="B989" s="7"/>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thickBot="1">
      <c r="A990" s="7"/>
      <c r="B990" s="7"/>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thickBot="1">
      <c r="A991" s="7"/>
      <c r="B991" s="7"/>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thickBot="1">
      <c r="A992" s="7"/>
      <c r="B992" s="7"/>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thickBot="1">
      <c r="A993" s="7"/>
      <c r="B993" s="7"/>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thickBot="1">
      <c r="A994" s="7"/>
      <c r="B994" s="7"/>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thickBot="1">
      <c r="A995" s="7"/>
      <c r="B995" s="7"/>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thickBot="1">
      <c r="A996" s="7"/>
      <c r="B996" s="7"/>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thickBot="1">
      <c r="A997" s="7"/>
      <c r="B997" s="7"/>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thickBot="1">
      <c r="A998" s="7"/>
      <c r="B998" s="7"/>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thickBot="1">
      <c r="A999" s="7"/>
      <c r="B999" s="7"/>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thickBot="1">
      <c r="A1000" s="7"/>
      <c r="B1000" s="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thickBot="1">
      <c r="A1001" s="7"/>
      <c r="H1001" s="2"/>
      <c r="I1001" s="2"/>
      <c r="J1001" s="2"/>
      <c r="K1001" s="2"/>
      <c r="L1001" s="2"/>
      <c r="M1001" s="2"/>
      <c r="N1001" s="2"/>
      <c r="O1001" s="2"/>
      <c r="P1001" s="2"/>
      <c r="Q1001" s="2"/>
      <c r="R1001" s="2"/>
      <c r="S1001" s="2"/>
      <c r="T1001" s="2"/>
      <c r="U1001" s="2"/>
      <c r="V1001" s="2"/>
      <c r="W1001" s="2"/>
      <c r="X1001" s="2"/>
      <c r="Y1001" s="2"/>
      <c r="Z1001" s="2"/>
      <c r="AA1001" s="2"/>
    </row>
    <row r="1002" spans="1:27" thickBot="1">
      <c r="A1002" s="7"/>
    </row>
  </sheetData>
  <mergeCells count="2">
    <mergeCell ref="O9:Q9"/>
    <mergeCell ref="L13:N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Q11:Q26 N15:N30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7"/>
  <sheetViews>
    <sheetView topLeftCell="A5" zoomScale="85" zoomScaleNormal="85" workbookViewId="0">
      <selection activeCell="G8" sqref="G8"/>
    </sheetView>
  </sheetViews>
  <sheetFormatPr defaultColWidth="14.36328125" defaultRowHeight="15" thickBottom="1"/>
  <cols>
    <col min="1" max="1" width="24" style="3" customWidth="1"/>
    <col min="2" max="2" width="34.6328125" style="3" customWidth="1"/>
    <col min="3" max="3" width="34.54296875" style="3" customWidth="1"/>
    <col min="4" max="4" width="16.08984375" style="3" customWidth="1"/>
    <col min="5" max="5" width="13.8164062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6"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21"/>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21"/>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21"/>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21"/>
      <c r="F5" s="21"/>
      <c r="G5" s="4"/>
      <c r="H5" s="23" t="s">
        <v>64</v>
      </c>
      <c r="I5" s="21"/>
      <c r="J5" s="21"/>
      <c r="K5" s="2"/>
      <c r="O5" s="2"/>
      <c r="P5" s="2"/>
      <c r="Q5" s="2"/>
      <c r="R5" s="2"/>
      <c r="S5" s="2"/>
      <c r="T5" s="2"/>
      <c r="U5" s="2"/>
      <c r="V5" s="2"/>
      <c r="W5" s="2"/>
      <c r="X5" s="2"/>
      <c r="Y5" s="2"/>
      <c r="Z5" s="2"/>
      <c r="AA5" s="2"/>
    </row>
    <row r="6" spans="1:27" ht="12.75" customHeight="1" thickBot="1">
      <c r="A6" s="1" t="s">
        <v>65</v>
      </c>
      <c r="B6" s="1" t="s">
        <v>66</v>
      </c>
      <c r="C6" s="1"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1"/>
      <c r="B7" s="1"/>
      <c r="C7" s="1"/>
      <c r="D7" s="1">
        <v>1</v>
      </c>
      <c r="E7" s="1">
        <v>3</v>
      </c>
      <c r="F7" s="1">
        <v>5</v>
      </c>
      <c r="G7" s="1"/>
      <c r="H7" s="6"/>
      <c r="I7" s="6"/>
      <c r="J7" s="6"/>
      <c r="K7" s="2"/>
      <c r="O7" s="2"/>
      <c r="P7" s="2"/>
      <c r="Q7" s="2"/>
      <c r="R7" s="2"/>
      <c r="S7" s="2"/>
      <c r="T7" s="2"/>
      <c r="U7" s="2"/>
      <c r="V7" s="2"/>
      <c r="W7" s="2"/>
      <c r="X7" s="2"/>
      <c r="Y7" s="2"/>
      <c r="Z7" s="2"/>
      <c r="AA7" s="2"/>
    </row>
    <row r="8" spans="1:27" ht="65.650000000000006" customHeight="1" thickBot="1">
      <c r="A8" s="107" t="s">
        <v>2</v>
      </c>
      <c r="B8" s="106" t="s">
        <v>3</v>
      </c>
      <c r="C8" s="106" t="s">
        <v>255</v>
      </c>
      <c r="D8" s="106">
        <v>3</v>
      </c>
      <c r="E8" s="106">
        <v>0</v>
      </c>
      <c r="F8" s="106">
        <v>0</v>
      </c>
      <c r="G8" s="106">
        <v>3</v>
      </c>
      <c r="H8" s="8" t="e">
        <f t="array" ref="H8">VLOOKUP(#REF!,[1]Guidelines!$B$4:$E$19,2,FALSE)</f>
        <v>#REF!</v>
      </c>
      <c r="I8" s="8" t="e">
        <f t="array" ref="I8">VLOOKUP(#REF!,[1]Guidelines!$B$4:$E$19,3,FALSE)</f>
        <v>#REF!</v>
      </c>
      <c r="J8" s="8" t="e">
        <f t="array" ref="J8">VLOOKUP(#REF!,[1]Guidelines!$B$4:$E$19,4,FALSE)</f>
        <v>#REF!</v>
      </c>
      <c r="K8" s="2"/>
      <c r="O8" s="2"/>
      <c r="P8" s="2" t="s">
        <v>72</v>
      </c>
      <c r="Q8" s="2"/>
      <c r="R8" s="2"/>
      <c r="S8" s="2"/>
      <c r="T8" s="2"/>
      <c r="U8" s="2"/>
      <c r="V8" s="2"/>
      <c r="W8" s="2"/>
      <c r="X8" s="2"/>
      <c r="Y8" s="2"/>
      <c r="Z8" s="2"/>
      <c r="AA8" s="2"/>
    </row>
    <row r="9" spans="1:27" ht="79.150000000000006" customHeight="1" thickBot="1">
      <c r="A9" s="107" t="s">
        <v>2</v>
      </c>
      <c r="B9" s="106" t="s">
        <v>5</v>
      </c>
      <c r="C9" s="106" t="s">
        <v>256</v>
      </c>
      <c r="D9" s="106">
        <v>4</v>
      </c>
      <c r="E9" s="106">
        <v>1</v>
      </c>
      <c r="F9" s="106">
        <v>0</v>
      </c>
      <c r="G9" s="106">
        <v>7</v>
      </c>
      <c r="H9" s="8"/>
      <c r="I9" s="8"/>
      <c r="J9" s="8"/>
      <c r="K9" s="2"/>
      <c r="O9" s="2"/>
      <c r="P9" s="2"/>
      <c r="Q9" s="2"/>
      <c r="R9" s="2"/>
      <c r="S9" s="2"/>
      <c r="T9" s="2"/>
      <c r="U9" s="2"/>
      <c r="V9" s="2"/>
      <c r="W9" s="2"/>
      <c r="X9" s="2"/>
      <c r="Y9" s="2"/>
      <c r="Z9" s="2"/>
      <c r="AA9" s="2"/>
    </row>
    <row r="10" spans="1:27" ht="79.5" customHeight="1" thickBot="1">
      <c r="A10" s="107" t="s">
        <v>2</v>
      </c>
      <c r="B10" s="106" t="s">
        <v>7</v>
      </c>
      <c r="C10" s="106" t="s">
        <v>257</v>
      </c>
      <c r="D10" s="106">
        <v>2</v>
      </c>
      <c r="E10" s="106">
        <v>1</v>
      </c>
      <c r="F10" s="106">
        <v>0</v>
      </c>
      <c r="G10" s="106">
        <v>5</v>
      </c>
      <c r="H10" s="8" t="e">
        <f t="array" ref="H10">VLOOKUP(C8,[1]Guidelines!$B$4:$E$19,2,FALSE)</f>
        <v>#N/A</v>
      </c>
      <c r="I10" s="8" t="e">
        <f t="array" ref="I10">VLOOKUP(C8,[1]Guidelines!$B$4:$E$19,3,FALSE)</f>
        <v>#N/A</v>
      </c>
      <c r="J10" s="8" t="e">
        <f t="array" ref="J10">VLOOKUP(C8,[1]Guidelines!$B$4:$E$19,4,FALSE)</f>
        <v>#N/A</v>
      </c>
      <c r="K10" s="2"/>
      <c r="O10" s="2"/>
      <c r="P10" s="2"/>
      <c r="Q10" s="2"/>
      <c r="R10" s="2"/>
      <c r="S10" s="2"/>
      <c r="T10" s="2"/>
      <c r="U10" s="2"/>
      <c r="V10" s="2"/>
      <c r="W10" s="2"/>
      <c r="X10" s="2"/>
      <c r="Y10" s="2"/>
      <c r="Z10" s="2"/>
      <c r="AA10" s="2"/>
    </row>
    <row r="11" spans="1:27" ht="141.75" customHeight="1" thickBot="1">
      <c r="A11" s="107" t="s">
        <v>2</v>
      </c>
      <c r="B11" s="106" t="s">
        <v>9</v>
      </c>
      <c r="C11" s="106" t="s">
        <v>258</v>
      </c>
      <c r="D11" s="106">
        <v>3</v>
      </c>
      <c r="E11" s="106">
        <v>2</v>
      </c>
      <c r="F11" s="106">
        <v>1</v>
      </c>
      <c r="G11" s="106">
        <v>14</v>
      </c>
      <c r="H11" s="8"/>
      <c r="I11" s="8"/>
      <c r="J11" s="8"/>
      <c r="K11" s="2"/>
      <c r="L11" s="2"/>
      <c r="M11" s="2"/>
      <c r="N11" s="2"/>
      <c r="O11" s="2"/>
      <c r="P11" s="2"/>
      <c r="Q11" s="2"/>
      <c r="R11" s="2"/>
      <c r="S11" s="2"/>
      <c r="T11" s="2"/>
      <c r="U11" s="2"/>
      <c r="V11" s="2"/>
      <c r="W11" s="2"/>
      <c r="X11" s="2"/>
      <c r="Y11" s="2"/>
      <c r="Z11" s="2"/>
      <c r="AA11" s="2"/>
    </row>
    <row r="12" spans="1:27" ht="117.4" customHeight="1" thickBot="1">
      <c r="A12" s="107" t="s">
        <v>11</v>
      </c>
      <c r="B12" s="106" t="s">
        <v>12</v>
      </c>
      <c r="C12" s="106" t="s">
        <v>259</v>
      </c>
      <c r="D12" s="106">
        <v>1</v>
      </c>
      <c r="E12" s="106">
        <v>1</v>
      </c>
      <c r="F12" s="106">
        <v>0</v>
      </c>
      <c r="G12" s="106">
        <v>4</v>
      </c>
      <c r="H12" s="8"/>
      <c r="I12" s="8"/>
      <c r="J12" s="8"/>
      <c r="K12" s="2"/>
      <c r="L12" s="2"/>
      <c r="M12" s="2"/>
      <c r="N12" s="2"/>
      <c r="O12" s="2"/>
      <c r="P12" s="2"/>
      <c r="Q12" s="2"/>
      <c r="R12" s="2"/>
      <c r="S12" s="2"/>
      <c r="T12" s="2"/>
      <c r="U12" s="2"/>
      <c r="V12" s="2"/>
      <c r="W12" s="2"/>
      <c r="X12" s="2"/>
      <c r="Y12" s="2"/>
      <c r="Z12" s="2"/>
      <c r="AA12" s="2"/>
    </row>
    <row r="13" spans="1:27" ht="128.65" customHeight="1" thickBot="1">
      <c r="A13" s="107" t="s">
        <v>11</v>
      </c>
      <c r="B13" s="106" t="s">
        <v>14</v>
      </c>
      <c r="C13" s="106" t="s">
        <v>260</v>
      </c>
      <c r="D13" s="106">
        <v>0</v>
      </c>
      <c r="E13" s="106">
        <v>2</v>
      </c>
      <c r="F13" s="106">
        <v>1</v>
      </c>
      <c r="G13" s="106">
        <v>11</v>
      </c>
      <c r="H13" s="8"/>
      <c r="I13" s="8"/>
      <c r="J13" s="8"/>
      <c r="K13" s="2"/>
      <c r="L13" s="114" t="s">
        <v>73</v>
      </c>
      <c r="M13" s="115"/>
      <c r="N13" s="115"/>
      <c r="O13" s="2"/>
      <c r="P13" s="2"/>
      <c r="Q13" s="2"/>
      <c r="R13" s="2"/>
      <c r="S13" s="2"/>
      <c r="T13" s="2"/>
      <c r="U13" s="2"/>
      <c r="V13" s="2"/>
      <c r="W13" s="2"/>
      <c r="X13" s="2"/>
      <c r="Y13" s="2"/>
      <c r="Z13" s="2"/>
      <c r="AA13" s="2"/>
    </row>
    <row r="14" spans="1:27" ht="80.25" customHeight="1" thickBot="1">
      <c r="A14" s="107" t="s">
        <v>11</v>
      </c>
      <c r="B14" s="106" t="s">
        <v>16</v>
      </c>
      <c r="C14" s="106" t="s">
        <v>261</v>
      </c>
      <c r="D14" s="106">
        <v>0</v>
      </c>
      <c r="E14" s="106">
        <v>1</v>
      </c>
      <c r="F14" s="106">
        <v>1</v>
      </c>
      <c r="G14" s="106">
        <v>8</v>
      </c>
      <c r="H14" s="8"/>
      <c r="I14" s="8"/>
      <c r="J14" s="8"/>
      <c r="K14" s="2"/>
      <c r="L14" s="9" t="s">
        <v>33</v>
      </c>
      <c r="M14" s="2"/>
      <c r="N14" s="9" t="s">
        <v>34</v>
      </c>
      <c r="O14" s="2"/>
      <c r="P14" s="2"/>
      <c r="Q14" s="2"/>
      <c r="R14" s="2"/>
      <c r="S14" s="2"/>
      <c r="T14" s="2"/>
      <c r="U14" s="2"/>
      <c r="V14" s="2"/>
      <c r="W14" s="2"/>
      <c r="X14" s="2"/>
      <c r="Y14" s="2"/>
      <c r="Z14" s="2"/>
      <c r="AA14" s="2"/>
    </row>
    <row r="15" spans="1:27" ht="80.25" customHeight="1" thickBot="1">
      <c r="A15" s="107" t="s">
        <v>11</v>
      </c>
      <c r="B15" s="106" t="s">
        <v>18</v>
      </c>
      <c r="C15" s="106" t="s">
        <v>262</v>
      </c>
      <c r="D15" s="106">
        <v>1</v>
      </c>
      <c r="E15" s="106">
        <v>0</v>
      </c>
      <c r="F15" s="106">
        <v>0</v>
      </c>
      <c r="G15" s="106">
        <v>1</v>
      </c>
      <c r="H15" s="8"/>
      <c r="I15" s="8"/>
      <c r="J15" s="8"/>
      <c r="K15" s="2"/>
      <c r="L15" s="2" t="s">
        <v>4</v>
      </c>
      <c r="M15" s="2"/>
      <c r="N15" s="2">
        <v>0</v>
      </c>
      <c r="O15" s="2"/>
      <c r="P15" s="2"/>
      <c r="Q15" s="2"/>
      <c r="R15" s="2"/>
      <c r="S15" s="2"/>
      <c r="T15" s="2"/>
      <c r="U15" s="2"/>
      <c r="V15" s="2"/>
      <c r="W15" s="2"/>
      <c r="X15" s="2"/>
      <c r="Y15" s="2"/>
      <c r="Z15" s="2"/>
      <c r="AA15" s="2"/>
    </row>
    <row r="16" spans="1:27" ht="91.15" customHeight="1" thickBot="1">
      <c r="A16" s="107" t="s">
        <v>20</v>
      </c>
      <c r="B16" s="106" t="s">
        <v>253</v>
      </c>
      <c r="C16" s="106" t="s">
        <v>263</v>
      </c>
      <c r="D16" s="106">
        <v>0</v>
      </c>
      <c r="E16" s="106">
        <v>1</v>
      </c>
      <c r="F16" s="106">
        <v>1</v>
      </c>
      <c r="G16" s="106">
        <v>8</v>
      </c>
      <c r="H16" s="8"/>
      <c r="I16" s="8"/>
      <c r="J16" s="8"/>
      <c r="K16" s="2"/>
      <c r="L16" s="2" t="s">
        <v>6</v>
      </c>
      <c r="M16" s="2"/>
      <c r="N16" s="2">
        <v>0</v>
      </c>
      <c r="O16" s="2"/>
      <c r="P16" s="2"/>
      <c r="Q16" s="2"/>
      <c r="R16" s="2"/>
      <c r="S16" s="2"/>
      <c r="T16" s="2"/>
      <c r="U16" s="2"/>
      <c r="V16" s="2"/>
      <c r="W16" s="2"/>
      <c r="X16" s="2"/>
      <c r="Y16" s="2"/>
      <c r="Z16" s="2"/>
      <c r="AA16" s="2"/>
    </row>
    <row r="17" spans="1:27" ht="118.9" customHeight="1" thickBot="1">
      <c r="A17" s="107" t="s">
        <v>20</v>
      </c>
      <c r="B17" s="106" t="s">
        <v>22</v>
      </c>
      <c r="C17" s="106" t="s">
        <v>264</v>
      </c>
      <c r="D17" s="106">
        <v>0</v>
      </c>
      <c r="E17" s="106">
        <v>1</v>
      </c>
      <c r="F17" s="106">
        <v>1</v>
      </c>
      <c r="G17" s="106">
        <v>8</v>
      </c>
      <c r="H17" s="8"/>
      <c r="I17" s="8"/>
      <c r="J17" s="8"/>
      <c r="K17" s="2"/>
      <c r="L17" s="2"/>
      <c r="M17" s="2"/>
      <c r="N17" s="2"/>
      <c r="O17" s="2"/>
      <c r="P17" s="2"/>
      <c r="Q17" s="2"/>
      <c r="R17" s="2"/>
      <c r="S17" s="2"/>
      <c r="T17" s="2"/>
      <c r="U17" s="2"/>
      <c r="V17" s="2"/>
      <c r="W17" s="2"/>
      <c r="X17" s="2"/>
      <c r="Y17" s="2"/>
      <c r="Z17" s="2"/>
      <c r="AA17" s="2"/>
    </row>
    <row r="18" spans="1:27" ht="68.5" customHeight="1" thickBot="1">
      <c r="A18" s="107" t="s">
        <v>24</v>
      </c>
      <c r="B18" s="106" t="s">
        <v>25</v>
      </c>
      <c r="C18" s="106" t="s">
        <v>265</v>
      </c>
      <c r="D18" s="106">
        <v>0</v>
      </c>
      <c r="E18" s="106">
        <v>1</v>
      </c>
      <c r="F18" s="106">
        <v>1</v>
      </c>
      <c r="G18" s="106">
        <v>8</v>
      </c>
      <c r="H18" s="8"/>
      <c r="I18" s="8"/>
      <c r="J18" s="8"/>
      <c r="K18" s="2"/>
      <c r="L18" s="2" t="s">
        <v>8</v>
      </c>
      <c r="M18" s="2"/>
      <c r="N18" s="2">
        <v>0</v>
      </c>
      <c r="O18" s="2"/>
      <c r="P18" s="2"/>
      <c r="Q18" s="2"/>
      <c r="R18" s="2"/>
      <c r="S18" s="2"/>
      <c r="T18" s="2"/>
      <c r="U18" s="2"/>
      <c r="V18" s="2"/>
      <c r="W18" s="2"/>
      <c r="X18" s="2"/>
      <c r="Y18" s="2"/>
      <c r="Z18" s="2"/>
      <c r="AA18" s="2"/>
    </row>
    <row r="19" spans="1:27" ht="67.5" customHeight="1" thickBot="1">
      <c r="A19" s="107" t="s">
        <v>27</v>
      </c>
      <c r="B19" s="106" t="s">
        <v>28</v>
      </c>
      <c r="C19" s="106" t="s">
        <v>266</v>
      </c>
      <c r="D19" s="106">
        <v>0</v>
      </c>
      <c r="E19" s="106">
        <v>1</v>
      </c>
      <c r="F19" s="106">
        <v>1</v>
      </c>
      <c r="G19" s="106">
        <v>8</v>
      </c>
      <c r="H19" s="8" t="e">
        <f t="array" ref="H19">VLOOKUP(C17,[1]Guidelines!$B$4:$E$19,2,FALSE)</f>
        <v>#N/A</v>
      </c>
      <c r="I19" s="8" t="e">
        <f t="array" ref="I19">VLOOKUP(C17,[1]Guidelines!$B$4:$E$19,3,FALSE)</f>
        <v>#N/A</v>
      </c>
      <c r="J19" s="8" t="e">
        <f t="array" ref="J19">VLOOKUP(C17,[1]Guidelines!$B$4:$E$19,4,FALSE)</f>
        <v>#N/A</v>
      </c>
      <c r="K19" s="2"/>
      <c r="L19" s="2" t="s">
        <v>10</v>
      </c>
      <c r="M19" s="2"/>
      <c r="N19" s="2">
        <v>3</v>
      </c>
      <c r="O19" s="2"/>
      <c r="P19" s="2"/>
      <c r="Q19" s="2"/>
      <c r="R19" s="2"/>
      <c r="S19" s="2"/>
      <c r="T19" s="2"/>
      <c r="U19" s="2"/>
      <c r="V19" s="2"/>
      <c r="W19" s="2"/>
      <c r="X19" s="2"/>
      <c r="Y19" s="2"/>
      <c r="Z19" s="2"/>
      <c r="AA19" s="2"/>
    </row>
    <row r="20" spans="1:27" ht="94.5" customHeight="1" thickBot="1">
      <c r="A20" s="107" t="s">
        <v>30</v>
      </c>
      <c r="B20" s="106" t="s">
        <v>31</v>
      </c>
      <c r="C20" s="106" t="s">
        <v>267</v>
      </c>
      <c r="D20" s="106">
        <v>3</v>
      </c>
      <c r="E20" s="106">
        <v>0</v>
      </c>
      <c r="F20" s="106">
        <v>1</v>
      </c>
      <c r="G20" s="106">
        <v>8</v>
      </c>
      <c r="H20" s="8" t="e">
        <f t="array" ref="H20">VLOOKUP(#REF!,[1]Guidelines!$B$4:$E$19,2,FALSE)</f>
        <v>#REF!</v>
      </c>
      <c r="I20" s="8" t="e">
        <f t="array" ref="I20">VLOOKUP(#REF!,[1]Guidelines!$B$4:$E$19,3,FALSE)</f>
        <v>#REF!</v>
      </c>
      <c r="J20" s="8" t="e">
        <f t="array" ref="J20">VLOOKUP(#REF!,[1]Guidelines!$B$4:$E$19,4,FALSE)</f>
        <v>#REF!</v>
      </c>
      <c r="K20" s="2"/>
      <c r="L20" s="2" t="s">
        <v>13</v>
      </c>
      <c r="M20" s="2"/>
      <c r="N20" s="2">
        <v>4</v>
      </c>
      <c r="O20" s="2"/>
      <c r="P20" s="2"/>
      <c r="Q20" s="2"/>
      <c r="R20" s="2"/>
      <c r="S20" s="2"/>
      <c r="T20" s="2"/>
      <c r="U20" s="2"/>
      <c r="V20" s="2"/>
      <c r="W20" s="2"/>
      <c r="X20" s="2"/>
      <c r="Y20" s="2"/>
      <c r="Z20" s="2"/>
      <c r="AA20" s="2"/>
    </row>
    <row r="21" spans="1:27" ht="52.15" customHeight="1" thickBot="1">
      <c r="A21" s="107" t="s">
        <v>268</v>
      </c>
      <c r="B21" s="106" t="s">
        <v>269</v>
      </c>
      <c r="C21" s="106" t="s">
        <v>270</v>
      </c>
      <c r="D21" s="106">
        <v>0</v>
      </c>
      <c r="E21" s="106">
        <v>0</v>
      </c>
      <c r="F21" s="106">
        <v>0</v>
      </c>
      <c r="G21" s="106">
        <v>0</v>
      </c>
      <c r="H21" s="8"/>
      <c r="I21" s="8"/>
      <c r="J21" s="8"/>
      <c r="K21" s="2"/>
      <c r="L21" s="2"/>
      <c r="M21" s="2"/>
      <c r="N21" s="2"/>
      <c r="O21" s="2"/>
      <c r="P21" s="2"/>
      <c r="Q21" s="2"/>
      <c r="R21" s="2"/>
      <c r="S21" s="2"/>
      <c r="T21" s="2"/>
      <c r="U21" s="2"/>
      <c r="V21" s="2"/>
      <c r="W21" s="2"/>
      <c r="X21" s="2"/>
      <c r="Y21" s="2"/>
      <c r="Z21" s="2"/>
      <c r="AA21" s="2"/>
    </row>
    <row r="22" spans="1:27" ht="28.5" customHeight="1" thickBot="1">
      <c r="A22" s="106"/>
      <c r="B22" s="106"/>
      <c r="C22" s="106"/>
      <c r="D22" s="106"/>
      <c r="E22" s="106"/>
      <c r="F22" s="107" t="s">
        <v>254</v>
      </c>
      <c r="G22" s="107">
        <v>163</v>
      </c>
      <c r="H22" s="8" t="e">
        <f t="array" ref="H22">VLOOKUP(#REF!,[1]Guidelines!$B$4:$E$19,2,FALSE)</f>
        <v>#REF!</v>
      </c>
      <c r="I22" s="8" t="e">
        <f t="array" ref="I22">VLOOKUP(#REF!,[1]Guidelines!$B$4:$E$19,3,FALSE)</f>
        <v>#REF!</v>
      </c>
      <c r="J22" s="8" t="e">
        <f t="array" ref="J22">VLOOKUP(#REF!,[1]Guidelines!$B$4:$E$19,4,FALSE)</f>
        <v>#REF!</v>
      </c>
      <c r="K22" s="2"/>
      <c r="L22" s="2" t="s">
        <v>15</v>
      </c>
      <c r="M22" s="2"/>
      <c r="N22" s="2">
        <v>3</v>
      </c>
      <c r="O22" s="2"/>
      <c r="P22" s="2"/>
      <c r="Q22" s="2"/>
      <c r="R22" s="2"/>
      <c r="S22" s="2"/>
      <c r="T22" s="2"/>
      <c r="U22" s="2"/>
      <c r="V22" s="2"/>
      <c r="W22" s="2"/>
      <c r="X22" s="2"/>
      <c r="Y22" s="2"/>
      <c r="Z22" s="2"/>
      <c r="AA22" s="2"/>
    </row>
    <row r="23" spans="1:27" ht="12.75" customHeight="1" thickBot="1">
      <c r="B23" s="107"/>
      <c r="C23" s="107"/>
      <c r="D23" s="107"/>
      <c r="E23" s="107"/>
      <c r="F23" s="107"/>
      <c r="H23" s="8" t="e">
        <f t="array" ref="H23">VLOOKUP(#REF!,[1]Guidelines!$B$4:$E$19,2,FALSE)</f>
        <v>#REF!</v>
      </c>
      <c r="I23" s="8" t="e">
        <f t="array" ref="I23">VLOOKUP(#REF!,[1]Guidelines!$B$4:$E$19,3,FALSE)</f>
        <v>#REF!</v>
      </c>
      <c r="J23" s="8" t="e">
        <f t="array" ref="J23">VLOOKUP(#REF!,[1]Guidelines!$B$4:$E$19,4,FALSE)</f>
        <v>#REF!</v>
      </c>
      <c r="K23" s="2"/>
      <c r="L23" s="2" t="s">
        <v>17</v>
      </c>
      <c r="M23" s="2"/>
      <c r="N23" s="2">
        <v>2</v>
      </c>
      <c r="O23" s="2"/>
      <c r="P23" s="2"/>
      <c r="Q23" s="2"/>
      <c r="R23" s="2"/>
      <c r="S23" s="2"/>
      <c r="T23" s="2"/>
      <c r="U23" s="2"/>
      <c r="V23" s="2"/>
      <c r="W23" s="2"/>
      <c r="X23" s="2"/>
      <c r="Y23" s="2"/>
      <c r="Z23" s="2"/>
      <c r="AA23" s="2"/>
    </row>
    <row r="24" spans="1:27" ht="12.75" customHeight="1" thickBot="1">
      <c r="A24" s="2"/>
      <c r="B24" s="2"/>
      <c r="C24" s="2"/>
      <c r="D24" s="2"/>
      <c r="E24" s="2"/>
      <c r="F24" s="2"/>
      <c r="G24" s="2"/>
      <c r="H24" s="2"/>
      <c r="I24" s="2"/>
      <c r="J24" s="2"/>
      <c r="K24" s="2"/>
      <c r="L24" s="2" t="s">
        <v>19</v>
      </c>
      <c r="M24" s="2"/>
      <c r="N24" s="2">
        <v>1</v>
      </c>
      <c r="O24" s="2"/>
      <c r="P24" s="2"/>
      <c r="Q24" s="2"/>
      <c r="R24" s="2"/>
      <c r="S24" s="2"/>
      <c r="T24" s="2"/>
      <c r="U24" s="2"/>
      <c r="V24" s="2"/>
      <c r="W24" s="2"/>
      <c r="X24" s="2"/>
      <c r="Y24" s="2"/>
      <c r="Z24" s="2"/>
      <c r="AA24" s="2"/>
    </row>
    <row r="25" spans="1:27" ht="12.75" customHeight="1" thickBot="1">
      <c r="A25" s="2"/>
      <c r="B25" s="2"/>
      <c r="C25" s="11" t="s">
        <v>38</v>
      </c>
      <c r="D25" s="13">
        <v>0.14127300000000001</v>
      </c>
      <c r="E25" s="9" t="e">
        <f t="array" ref="E25">VLOOKUP(D1,'[1]Baseline Productivity '!A4:D8,4,FALSE)</f>
        <v>#N/A</v>
      </c>
      <c r="F25" s="2"/>
      <c r="G25" s="2"/>
      <c r="H25" s="2"/>
      <c r="I25" s="2"/>
      <c r="J25" s="2"/>
      <c r="K25" s="2"/>
      <c r="L25" s="2" t="s">
        <v>21</v>
      </c>
      <c r="M25" s="2"/>
      <c r="N25" s="2">
        <v>3</v>
      </c>
      <c r="O25" s="2"/>
      <c r="P25" s="2"/>
      <c r="Q25" s="2"/>
      <c r="R25" s="2"/>
      <c r="S25" s="2"/>
      <c r="T25" s="2"/>
      <c r="U25" s="2"/>
      <c r="V25" s="2"/>
      <c r="W25" s="2"/>
      <c r="X25" s="2"/>
      <c r="Y25" s="2"/>
      <c r="Z25" s="2"/>
      <c r="AA25" s="2"/>
    </row>
    <row r="26" spans="1:27" ht="12.75" customHeight="1" thickBot="1">
      <c r="A26" s="2"/>
      <c r="B26" s="2"/>
      <c r="C26" s="14" t="s">
        <v>0</v>
      </c>
      <c r="D26" s="15">
        <v>163</v>
      </c>
      <c r="E26" s="16" t="s">
        <v>76</v>
      </c>
      <c r="F26" s="2"/>
      <c r="G26" s="2"/>
      <c r="H26" s="2"/>
      <c r="I26" s="2"/>
      <c r="J26" s="2"/>
      <c r="K26" s="2"/>
      <c r="L26" s="2" t="s">
        <v>23</v>
      </c>
      <c r="M26" s="2"/>
      <c r="N26" s="2">
        <v>4</v>
      </c>
      <c r="O26" s="2"/>
      <c r="P26" s="2"/>
      <c r="Q26" s="2"/>
      <c r="R26" s="2"/>
      <c r="S26" s="2"/>
      <c r="T26" s="2"/>
      <c r="U26" s="2"/>
      <c r="V26" s="2"/>
      <c r="W26" s="2"/>
      <c r="X26" s="2"/>
      <c r="Y26" s="2"/>
      <c r="Z26" s="2"/>
      <c r="AA26" s="2"/>
    </row>
    <row r="27" spans="1:27" ht="12.75" customHeight="1" thickBot="1">
      <c r="A27" s="2"/>
      <c r="B27" s="2"/>
      <c r="C27" s="11" t="s">
        <v>77</v>
      </c>
      <c r="D27" s="17">
        <f>D26/D25</f>
        <v>1153.7944263942861</v>
      </c>
      <c r="E27" s="9" t="s">
        <v>78</v>
      </c>
      <c r="F27" s="2"/>
      <c r="G27" s="2"/>
      <c r="H27" s="2"/>
      <c r="I27" s="2"/>
      <c r="J27" s="2"/>
      <c r="K27" s="2"/>
      <c r="L27" s="2" t="s">
        <v>26</v>
      </c>
      <c r="M27" s="2"/>
      <c r="N27" s="2">
        <v>4</v>
      </c>
      <c r="O27" s="2"/>
      <c r="P27" s="2"/>
      <c r="Q27" s="2"/>
      <c r="R27" s="2"/>
      <c r="S27" s="2"/>
      <c r="T27" s="2"/>
      <c r="U27" s="2"/>
      <c r="V27" s="2"/>
      <c r="W27" s="2"/>
      <c r="X27" s="2"/>
      <c r="Y27" s="2"/>
      <c r="Z27" s="2"/>
      <c r="AA27" s="2"/>
    </row>
    <row r="28" spans="1:27" ht="12.75" customHeight="1" thickBot="1">
      <c r="A28" s="2"/>
      <c r="B28" s="2"/>
      <c r="C28" s="11" t="s">
        <v>79</v>
      </c>
      <c r="D28" s="13">
        <f>0.65+0.01*$N$31</f>
        <v>1.01</v>
      </c>
      <c r="E28" s="2"/>
      <c r="F28" s="2"/>
      <c r="G28" s="2"/>
      <c r="H28" s="2"/>
      <c r="I28" s="2"/>
      <c r="J28" s="2"/>
      <c r="K28" s="2"/>
      <c r="L28" s="2" t="s">
        <v>29</v>
      </c>
      <c r="M28" s="2"/>
      <c r="N28" s="2">
        <v>4</v>
      </c>
      <c r="O28" s="2"/>
      <c r="P28" s="2"/>
      <c r="Q28" s="2"/>
      <c r="R28" s="2"/>
      <c r="S28" s="2"/>
      <c r="T28" s="2"/>
      <c r="U28" s="2"/>
      <c r="V28" s="2"/>
      <c r="W28" s="2"/>
      <c r="X28" s="2"/>
      <c r="Y28" s="2"/>
      <c r="Z28" s="2"/>
      <c r="AA28" s="2"/>
    </row>
    <row r="29" spans="1:27" ht="12.75" customHeight="1" thickBot="1">
      <c r="A29" s="2"/>
      <c r="B29" s="2"/>
      <c r="C29" s="11" t="s">
        <v>80</v>
      </c>
      <c r="D29" s="18">
        <v>0.05</v>
      </c>
      <c r="E29" s="2"/>
      <c r="F29" s="2"/>
      <c r="G29" s="2"/>
      <c r="H29" s="2"/>
      <c r="I29" s="2"/>
      <c r="J29" s="2"/>
      <c r="K29" s="2"/>
      <c r="L29" s="2" t="s">
        <v>32</v>
      </c>
      <c r="M29" s="2"/>
      <c r="N29" s="2">
        <v>4</v>
      </c>
      <c r="O29" s="2"/>
      <c r="P29" s="2"/>
      <c r="Q29" s="2"/>
      <c r="R29" s="2"/>
      <c r="S29" s="2"/>
      <c r="T29" s="2"/>
      <c r="U29" s="2"/>
      <c r="V29" s="2"/>
      <c r="W29" s="2"/>
      <c r="X29" s="2"/>
      <c r="Y29" s="2"/>
      <c r="Z29" s="2"/>
      <c r="AA29" s="2"/>
    </row>
    <row r="30" spans="1:27" ht="12.75" customHeight="1" thickBot="1">
      <c r="A30" s="2"/>
      <c r="B30" s="2"/>
      <c r="C30" s="11" t="s">
        <v>81</v>
      </c>
      <c r="D30" s="18">
        <v>0.1</v>
      </c>
      <c r="E30" s="2"/>
      <c r="F30" s="2"/>
      <c r="G30" s="2"/>
      <c r="H30" s="2"/>
      <c r="I30" s="2"/>
      <c r="J30" s="2"/>
      <c r="K30" s="2"/>
      <c r="L30" s="2" t="s">
        <v>35</v>
      </c>
      <c r="M30" s="2"/>
      <c r="N30" s="2">
        <v>4</v>
      </c>
      <c r="O30" s="2"/>
      <c r="P30" s="2"/>
      <c r="Q30" s="2"/>
      <c r="R30" s="2"/>
      <c r="S30" s="2"/>
      <c r="T30" s="2"/>
      <c r="U30" s="2"/>
      <c r="V30" s="2"/>
      <c r="W30" s="2"/>
      <c r="X30" s="2"/>
      <c r="Y30" s="2"/>
      <c r="Z30" s="2"/>
      <c r="AA30" s="2"/>
    </row>
    <row r="31" spans="1:27" ht="12.75" customHeight="1" thickBot="1">
      <c r="A31" s="2"/>
      <c r="B31" s="2"/>
      <c r="C31" s="11" t="s">
        <v>82</v>
      </c>
      <c r="D31" s="19">
        <f>((D27*D28)+(D27*D28*D29))+((D27*D28)+(D27*D28*D29))*D30</f>
        <v>1345.9588881102545</v>
      </c>
      <c r="E31" s="9" t="s">
        <v>78</v>
      </c>
      <c r="F31" s="2"/>
      <c r="G31" s="2"/>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ustomHeight="1" thickBot="1">
      <c r="A33" s="2"/>
      <c r="B33" s="2"/>
      <c r="C33" s="2" t="s">
        <v>83</v>
      </c>
      <c r="D33" s="20">
        <f>D31+5%*D31</f>
        <v>1413.2568325157672</v>
      </c>
      <c r="E33" s="20">
        <f>D31-5%*D31</f>
        <v>1278.6609437047418</v>
      </c>
      <c r="F33" s="2"/>
      <c r="G33" s="2"/>
      <c r="H33" s="2"/>
      <c r="I33" s="2"/>
      <c r="J33" s="2"/>
      <c r="K33" s="2"/>
      <c r="L33" s="2"/>
      <c r="M33" s="2"/>
      <c r="N33" s="2"/>
      <c r="O33" s="2"/>
      <c r="P33" s="2"/>
      <c r="Q33" s="2"/>
      <c r="R33" s="2"/>
      <c r="S33" s="2"/>
      <c r="T33" s="2"/>
      <c r="U33" s="2"/>
      <c r="V33" s="2"/>
      <c r="W33" s="2"/>
      <c r="X33" s="2"/>
      <c r="Y33" s="2"/>
      <c r="Z33" s="2"/>
      <c r="AA33" s="2"/>
    </row>
    <row r="34" spans="1:27" ht="12.75" customHeight="1" thickBo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ustomHeight="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ustomHeight="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ustomHeight="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ustomHeight="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ustomHeight="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ustomHeight="1" thickBot="1">
      <c r="A996" s="2"/>
      <c r="H996" s="2"/>
      <c r="I996" s="2"/>
      <c r="J996" s="2"/>
      <c r="K996" s="2"/>
      <c r="L996" s="2"/>
      <c r="M996" s="2"/>
      <c r="N996" s="2"/>
      <c r="O996" s="2"/>
      <c r="P996" s="2"/>
      <c r="Q996" s="2"/>
      <c r="R996" s="2"/>
      <c r="S996" s="2"/>
      <c r="T996" s="2"/>
      <c r="U996" s="2"/>
      <c r="V996" s="2"/>
      <c r="W996" s="2"/>
      <c r="X996" s="2"/>
      <c r="Y996" s="2"/>
      <c r="Z996" s="2"/>
      <c r="AA996" s="2"/>
    </row>
    <row r="997" spans="1:27" ht="12.75" customHeight="1" thickBot="1">
      <c r="A997" s="2"/>
      <c r="H997" s="2"/>
      <c r="I997" s="2"/>
      <c r="J997" s="2"/>
      <c r="K997" s="2"/>
      <c r="L997" s="2"/>
      <c r="M997" s="2"/>
      <c r="N997" s="2"/>
      <c r="O997" s="2"/>
      <c r="P997" s="2"/>
      <c r="Q997" s="2"/>
      <c r="R997" s="2"/>
      <c r="S997" s="2"/>
      <c r="T997" s="2"/>
      <c r="U997" s="2"/>
      <c r="V997" s="2"/>
      <c r="W997" s="2"/>
      <c r="X997" s="2"/>
      <c r="Y997" s="2"/>
      <c r="Z997" s="2"/>
      <c r="AA997" s="2"/>
    </row>
  </sheetData>
  <mergeCells count="1">
    <mergeCell ref="L13:N13"/>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4"/>
  <sheetViews>
    <sheetView zoomScale="70" zoomScaleNormal="70" workbookViewId="0">
      <selection activeCell="G9" sqref="G9"/>
    </sheetView>
  </sheetViews>
  <sheetFormatPr defaultColWidth="14.36328125" defaultRowHeight="15" thickBottom="1"/>
  <cols>
    <col min="1" max="1" width="24" style="3" customWidth="1"/>
    <col min="2" max="2" width="34.6328125" style="3" customWidth="1"/>
    <col min="3" max="3" width="34.54296875" style="3" customWidth="1"/>
    <col min="4" max="4" width="16.08984375" style="3" customWidth="1"/>
    <col min="5" max="5" width="10.0898437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2.81640625"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21"/>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21"/>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21"/>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21"/>
      <c r="F5" s="21"/>
      <c r="G5" s="4"/>
      <c r="H5" s="23" t="s">
        <v>64</v>
      </c>
      <c r="I5" s="21"/>
      <c r="J5" s="21"/>
      <c r="K5" s="2"/>
      <c r="O5" s="2"/>
      <c r="P5" s="2"/>
      <c r="Q5" s="2"/>
      <c r="R5" s="2"/>
      <c r="S5" s="2"/>
      <c r="T5" s="2"/>
      <c r="U5" s="2"/>
      <c r="V5" s="2"/>
      <c r="W5" s="2"/>
      <c r="X5" s="2"/>
      <c r="Y5" s="2"/>
      <c r="Z5" s="2"/>
      <c r="AA5" s="2"/>
    </row>
    <row r="6" spans="1:27" ht="12.75" customHeight="1" thickBot="1">
      <c r="A6" s="1" t="s">
        <v>65</v>
      </c>
      <c r="B6" s="1" t="s">
        <v>66</v>
      </c>
      <c r="C6" s="1"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1"/>
      <c r="B7" s="1"/>
      <c r="C7" s="1"/>
      <c r="D7" s="1">
        <v>1</v>
      </c>
      <c r="E7" s="1">
        <v>3</v>
      </c>
      <c r="F7" s="1">
        <v>5</v>
      </c>
      <c r="G7" s="1"/>
      <c r="H7" s="6"/>
      <c r="I7" s="6"/>
      <c r="J7" s="6"/>
      <c r="K7" s="2"/>
      <c r="O7" s="2"/>
      <c r="P7" s="2"/>
      <c r="Q7" s="2"/>
      <c r="R7" s="2"/>
      <c r="S7" s="2"/>
      <c r="T7" s="2"/>
      <c r="U7" s="2"/>
      <c r="V7" s="2"/>
      <c r="W7" s="2"/>
      <c r="X7" s="2"/>
      <c r="Y7" s="2"/>
      <c r="Z7" s="2"/>
      <c r="AA7" s="2"/>
    </row>
    <row r="8" spans="1:27" ht="91.15" customHeight="1" thickBot="1">
      <c r="A8" s="107" t="s">
        <v>273</v>
      </c>
      <c r="B8" s="106" t="s">
        <v>3</v>
      </c>
      <c r="C8" s="106" t="s">
        <v>291</v>
      </c>
      <c r="D8" s="106">
        <v>1</v>
      </c>
      <c r="E8" s="106">
        <v>1</v>
      </c>
      <c r="F8" s="106">
        <v>0</v>
      </c>
      <c r="G8" s="106">
        <v>4</v>
      </c>
      <c r="H8" s="8"/>
      <c r="I8" s="8"/>
      <c r="J8" s="8"/>
      <c r="K8" s="2"/>
      <c r="L8" s="24"/>
      <c r="M8" s="2"/>
      <c r="N8" s="24"/>
      <c r="O8" s="2"/>
      <c r="P8" s="2"/>
      <c r="Q8" s="2"/>
      <c r="R8" s="2"/>
      <c r="S8" s="2"/>
      <c r="T8" s="2"/>
      <c r="U8" s="2"/>
      <c r="V8" s="2"/>
      <c r="W8" s="2"/>
      <c r="X8" s="2"/>
      <c r="Y8" s="2"/>
      <c r="Z8" s="2"/>
      <c r="AA8" s="2"/>
    </row>
    <row r="9" spans="1:27" ht="118.9" customHeight="1" thickBot="1">
      <c r="A9" s="107" t="s">
        <v>273</v>
      </c>
      <c r="B9" s="106" t="s">
        <v>274</v>
      </c>
      <c r="C9" s="106" t="s">
        <v>292</v>
      </c>
      <c r="D9" s="106">
        <v>0</v>
      </c>
      <c r="E9" s="106">
        <v>2</v>
      </c>
      <c r="F9" s="106">
        <v>1</v>
      </c>
      <c r="G9" s="106">
        <v>9</v>
      </c>
      <c r="H9" s="8"/>
      <c r="I9" s="8"/>
      <c r="J9" s="8"/>
      <c r="K9" s="2"/>
      <c r="L9" s="24"/>
      <c r="M9" s="2"/>
      <c r="N9" s="24"/>
      <c r="O9" s="2"/>
      <c r="P9" s="2"/>
      <c r="Q9" s="2"/>
      <c r="R9" s="2"/>
      <c r="S9" s="2"/>
      <c r="T9" s="2"/>
      <c r="U9" s="2"/>
      <c r="V9" s="2"/>
      <c r="W9" s="2"/>
      <c r="X9" s="2"/>
      <c r="Y9" s="2"/>
      <c r="Z9" s="2"/>
      <c r="AA9" s="2"/>
    </row>
    <row r="10" spans="1:27" ht="109.9" customHeight="1" thickBot="1">
      <c r="A10" s="107" t="s">
        <v>275</v>
      </c>
      <c r="B10" s="106" t="s">
        <v>276</v>
      </c>
      <c r="C10" s="106" t="s">
        <v>293</v>
      </c>
      <c r="D10" s="106">
        <v>0</v>
      </c>
      <c r="E10" s="106">
        <v>1</v>
      </c>
      <c r="F10" s="106">
        <v>1</v>
      </c>
      <c r="G10" s="106">
        <v>8</v>
      </c>
      <c r="H10" s="8"/>
      <c r="I10" s="8"/>
      <c r="J10" s="8"/>
      <c r="K10" s="2"/>
      <c r="L10" s="24"/>
      <c r="M10" s="2"/>
      <c r="N10" s="24"/>
      <c r="O10" s="2"/>
      <c r="P10" s="2"/>
      <c r="Q10" s="2"/>
      <c r="R10" s="2"/>
      <c r="S10" s="2"/>
      <c r="T10" s="2"/>
      <c r="U10" s="2"/>
      <c r="V10" s="2"/>
      <c r="W10" s="2"/>
      <c r="X10" s="2"/>
      <c r="Y10" s="2"/>
      <c r="Z10" s="2"/>
      <c r="AA10" s="2"/>
    </row>
    <row r="11" spans="1:27" ht="67.5" customHeight="1" thickBot="1">
      <c r="A11" s="107" t="s">
        <v>275</v>
      </c>
      <c r="B11" s="106" t="s">
        <v>277</v>
      </c>
      <c r="C11" s="106" t="s">
        <v>294</v>
      </c>
      <c r="D11" s="106">
        <v>0</v>
      </c>
      <c r="E11" s="106">
        <v>1</v>
      </c>
      <c r="F11" s="106">
        <v>1</v>
      </c>
      <c r="G11" s="106">
        <v>8</v>
      </c>
      <c r="H11" s="8" t="e">
        <f t="array" ref="H11">VLOOKUP(C16,[1]Guidelines!$B$4:$E$19,2,FALSE)</f>
        <v>#VALUE!</v>
      </c>
      <c r="I11" s="8" t="e">
        <f t="array" ref="I11">VLOOKUP(C16,[1]Guidelines!$B$4:$E$19,3,FALSE)</f>
        <v>#VALUE!</v>
      </c>
      <c r="J11" s="8" t="e">
        <f t="array" ref="J11">VLOOKUP(C16,[1]Guidelines!$B$4:$E$19,4,FALSE)</f>
        <v>#VALUE!</v>
      </c>
      <c r="K11" s="2"/>
      <c r="L11" s="24"/>
      <c r="M11" s="2"/>
      <c r="N11" s="24"/>
      <c r="O11" s="2"/>
      <c r="P11" s="2"/>
      <c r="Q11" s="2"/>
      <c r="R11" s="2"/>
      <c r="S11" s="2"/>
      <c r="T11" s="2"/>
      <c r="U11" s="2"/>
      <c r="V11" s="2"/>
      <c r="W11" s="2"/>
      <c r="X11" s="2"/>
      <c r="Y11" s="2"/>
      <c r="Z11" s="2"/>
      <c r="AA11" s="2"/>
    </row>
    <row r="12" spans="1:27" ht="52.15" customHeight="1" thickBot="1">
      <c r="A12" s="107" t="s">
        <v>273</v>
      </c>
      <c r="B12" s="106" t="s">
        <v>278</v>
      </c>
      <c r="C12" s="106" t="s">
        <v>295</v>
      </c>
      <c r="D12" s="106">
        <v>0</v>
      </c>
      <c r="E12" s="106">
        <v>1</v>
      </c>
      <c r="F12" s="106">
        <v>1</v>
      </c>
      <c r="G12" s="106">
        <v>8</v>
      </c>
      <c r="H12" s="8"/>
      <c r="I12" s="8"/>
      <c r="J12" s="8"/>
      <c r="K12" s="2"/>
      <c r="L12" s="24"/>
      <c r="M12" s="2"/>
      <c r="N12" s="24"/>
      <c r="O12" s="2"/>
      <c r="P12" s="2"/>
      <c r="Q12" s="2"/>
      <c r="R12" s="2"/>
      <c r="S12" s="2"/>
      <c r="T12" s="2"/>
      <c r="U12" s="2"/>
      <c r="V12" s="2"/>
      <c r="W12" s="2"/>
      <c r="X12" s="2"/>
      <c r="Y12" s="2"/>
      <c r="Z12" s="2"/>
      <c r="AA12" s="2"/>
    </row>
    <row r="13" spans="1:27" ht="28.5" customHeight="1" thickBot="1">
      <c r="A13" s="107" t="s">
        <v>273</v>
      </c>
      <c r="B13" s="106" t="s">
        <v>279</v>
      </c>
      <c r="C13" s="106" t="s">
        <v>296</v>
      </c>
      <c r="D13" s="106">
        <v>0</v>
      </c>
      <c r="E13" s="106">
        <v>0</v>
      </c>
      <c r="F13" s="106">
        <v>2</v>
      </c>
      <c r="G13" s="106">
        <v>10</v>
      </c>
      <c r="H13" s="8" t="e">
        <f t="array" ref="H13">VLOOKUP(#REF!,[1]Guidelines!$B$4:$E$19,2,FALSE)</f>
        <v>#REF!</v>
      </c>
      <c r="I13" s="8" t="e">
        <f t="array" ref="I13">VLOOKUP(#REF!,[1]Guidelines!$B$4:$E$19,3,FALSE)</f>
        <v>#REF!</v>
      </c>
      <c r="J13" s="8" t="e">
        <f t="array" ref="J13">VLOOKUP(#REF!,[1]Guidelines!$B$4:$E$19,4,FALSE)</f>
        <v>#REF!</v>
      </c>
      <c r="K13" s="2"/>
      <c r="L13" s="114" t="s">
        <v>73</v>
      </c>
      <c r="M13" s="115"/>
      <c r="N13" s="115"/>
      <c r="O13" s="2"/>
      <c r="P13" s="2"/>
      <c r="Q13" s="2"/>
      <c r="R13" s="2"/>
      <c r="S13" s="2"/>
      <c r="T13" s="2"/>
      <c r="U13" s="2"/>
      <c r="V13" s="2"/>
      <c r="W13" s="2"/>
      <c r="X13" s="2"/>
      <c r="Y13" s="2"/>
      <c r="Z13" s="2"/>
      <c r="AA13" s="2"/>
    </row>
    <row r="14" spans="1:27" s="32" customFormat="1" ht="28.5" customHeight="1" thickBot="1">
      <c r="A14" s="107" t="s">
        <v>273</v>
      </c>
      <c r="B14" s="106" t="s">
        <v>280</v>
      </c>
      <c r="C14" s="106" t="s">
        <v>297</v>
      </c>
      <c r="D14" s="106">
        <v>0</v>
      </c>
      <c r="E14" s="106">
        <v>1</v>
      </c>
      <c r="F14" s="106">
        <v>1</v>
      </c>
      <c r="G14" s="106">
        <v>8</v>
      </c>
      <c r="H14" s="31"/>
      <c r="I14" s="31"/>
      <c r="J14" s="31"/>
      <c r="K14" s="28"/>
      <c r="L14" s="9" t="s">
        <v>33</v>
      </c>
      <c r="M14" s="2"/>
      <c r="N14" s="9" t="s">
        <v>34</v>
      </c>
      <c r="O14" s="28"/>
      <c r="P14" s="28"/>
      <c r="Q14" s="28"/>
      <c r="R14" s="28"/>
      <c r="S14" s="28"/>
      <c r="T14" s="28"/>
      <c r="U14" s="28"/>
      <c r="V14" s="28"/>
      <c r="W14" s="28"/>
      <c r="X14" s="28"/>
      <c r="Y14" s="28"/>
      <c r="Z14" s="28"/>
      <c r="AA14" s="28"/>
    </row>
    <row r="15" spans="1:27" s="32" customFormat="1" ht="28.5" customHeight="1" thickBot="1">
      <c r="A15" s="107" t="s">
        <v>273</v>
      </c>
      <c r="B15" s="106" t="s">
        <v>281</v>
      </c>
      <c r="C15" s="106" t="s">
        <v>298</v>
      </c>
      <c r="D15" s="106">
        <v>0</v>
      </c>
      <c r="E15" s="106">
        <v>1</v>
      </c>
      <c r="F15" s="106">
        <v>1</v>
      </c>
      <c r="G15" s="106">
        <v>8</v>
      </c>
      <c r="H15" s="31"/>
      <c r="I15" s="31"/>
      <c r="J15" s="31"/>
      <c r="K15" s="28"/>
      <c r="L15" s="2" t="s">
        <v>4</v>
      </c>
      <c r="M15" s="2"/>
      <c r="N15" s="2">
        <v>0</v>
      </c>
      <c r="O15" s="28"/>
      <c r="P15" s="28"/>
      <c r="Q15" s="28"/>
      <c r="R15" s="28"/>
      <c r="S15" s="28"/>
      <c r="T15" s="28"/>
      <c r="U15" s="28"/>
      <c r="V15" s="28"/>
      <c r="W15" s="28"/>
      <c r="X15" s="28"/>
      <c r="Y15" s="28"/>
      <c r="Z15" s="28"/>
      <c r="AA15" s="28"/>
    </row>
    <row r="16" spans="1:27" s="32" customFormat="1" ht="28.5" customHeight="1" thickBot="1">
      <c r="A16" s="107" t="s">
        <v>282</v>
      </c>
      <c r="B16" s="106" t="s">
        <v>283</v>
      </c>
      <c r="C16" s="106" t="s">
        <v>299</v>
      </c>
      <c r="D16" s="106">
        <v>0</v>
      </c>
      <c r="E16" s="106">
        <v>1</v>
      </c>
      <c r="F16" s="106">
        <v>1</v>
      </c>
      <c r="G16" s="106">
        <v>8</v>
      </c>
      <c r="H16" s="31"/>
      <c r="I16" s="31"/>
      <c r="J16" s="31"/>
      <c r="K16" s="28"/>
      <c r="L16" s="2" t="s">
        <v>6</v>
      </c>
      <c r="M16" s="2"/>
      <c r="N16" s="2">
        <v>0</v>
      </c>
      <c r="O16" s="28"/>
      <c r="P16" s="28"/>
      <c r="Q16" s="28"/>
      <c r="R16" s="28"/>
      <c r="S16" s="28"/>
      <c r="T16" s="28"/>
      <c r="U16" s="28"/>
      <c r="V16" s="28"/>
      <c r="W16" s="28"/>
      <c r="X16" s="28"/>
      <c r="Y16" s="28"/>
      <c r="Z16" s="28"/>
      <c r="AA16" s="28"/>
    </row>
    <row r="17" spans="1:27" s="32" customFormat="1" ht="28.5" customHeight="1" thickBot="1">
      <c r="A17" s="107" t="s">
        <v>282</v>
      </c>
      <c r="B17" s="106" t="s">
        <v>284</v>
      </c>
      <c r="C17" s="106" t="s">
        <v>300</v>
      </c>
      <c r="D17" s="106">
        <v>0</v>
      </c>
      <c r="E17" s="106">
        <v>1</v>
      </c>
      <c r="F17" s="106">
        <v>1</v>
      </c>
      <c r="G17" s="106">
        <v>8</v>
      </c>
      <c r="H17" s="31"/>
      <c r="I17" s="31"/>
      <c r="J17" s="31"/>
      <c r="K17" s="28"/>
      <c r="L17" s="2"/>
      <c r="M17" s="2"/>
      <c r="N17" s="2"/>
      <c r="O17" s="28"/>
      <c r="P17" s="28"/>
      <c r="Q17" s="28"/>
      <c r="R17" s="28"/>
      <c r="S17" s="28"/>
      <c r="T17" s="28"/>
      <c r="U17" s="28"/>
      <c r="V17" s="28"/>
      <c r="W17" s="28"/>
      <c r="X17" s="28"/>
      <c r="Y17" s="28"/>
      <c r="Z17" s="28"/>
      <c r="AA17" s="28"/>
    </row>
    <row r="18" spans="1:27" s="32" customFormat="1" ht="28.5" customHeight="1" thickBot="1">
      <c r="A18" s="107" t="s">
        <v>285</v>
      </c>
      <c r="B18" s="106" t="s">
        <v>286</v>
      </c>
      <c r="C18" s="106" t="s">
        <v>301</v>
      </c>
      <c r="D18" s="106">
        <v>1</v>
      </c>
      <c r="E18" s="106">
        <v>0</v>
      </c>
      <c r="F18" s="106">
        <v>0</v>
      </c>
      <c r="G18" s="106">
        <v>3</v>
      </c>
      <c r="H18" s="31"/>
      <c r="I18" s="31"/>
      <c r="J18" s="31"/>
      <c r="K18" s="28"/>
      <c r="L18" s="2" t="s">
        <v>8</v>
      </c>
      <c r="M18" s="2"/>
      <c r="N18" s="2">
        <v>0</v>
      </c>
      <c r="O18" s="28"/>
      <c r="P18" s="28"/>
      <c r="Q18" s="28"/>
      <c r="R18" s="28"/>
      <c r="S18" s="28"/>
      <c r="T18" s="28"/>
      <c r="U18" s="28"/>
      <c r="V18" s="28"/>
      <c r="W18" s="28"/>
      <c r="X18" s="28"/>
      <c r="Y18" s="28"/>
      <c r="Z18" s="28"/>
      <c r="AA18" s="28"/>
    </row>
    <row r="19" spans="1:27" s="32" customFormat="1" ht="28.5" customHeight="1" thickBot="1">
      <c r="A19" s="107" t="s">
        <v>287</v>
      </c>
      <c r="B19" s="106" t="s">
        <v>288</v>
      </c>
      <c r="C19" s="106" t="s">
        <v>302</v>
      </c>
      <c r="D19" s="106">
        <v>0</v>
      </c>
      <c r="E19" s="106">
        <v>1</v>
      </c>
      <c r="F19" s="106">
        <v>0</v>
      </c>
      <c r="G19" s="106">
        <v>3</v>
      </c>
      <c r="H19" s="31"/>
      <c r="I19" s="31"/>
      <c r="J19" s="31"/>
      <c r="K19" s="28"/>
      <c r="L19" s="2" t="s">
        <v>10</v>
      </c>
      <c r="M19" s="2"/>
      <c r="N19" s="2">
        <v>3</v>
      </c>
      <c r="O19" s="28"/>
      <c r="P19" s="28"/>
      <c r="Q19" s="28"/>
      <c r="R19" s="28"/>
      <c r="S19" s="28"/>
      <c r="T19" s="28"/>
      <c r="U19" s="28"/>
      <c r="V19" s="28"/>
      <c r="W19" s="28"/>
      <c r="X19" s="28"/>
      <c r="Y19" s="28"/>
      <c r="Z19" s="28"/>
      <c r="AA19" s="28"/>
    </row>
    <row r="20" spans="1:27" s="32" customFormat="1" ht="28.5" customHeight="1" thickBot="1">
      <c r="A20" s="107" t="s">
        <v>289</v>
      </c>
      <c r="B20" s="106" t="s">
        <v>290</v>
      </c>
      <c r="C20" s="106" t="s">
        <v>303</v>
      </c>
      <c r="D20" s="106">
        <v>1</v>
      </c>
      <c r="E20" s="106">
        <v>0</v>
      </c>
      <c r="F20" s="106">
        <v>0</v>
      </c>
      <c r="G20" s="106">
        <v>1</v>
      </c>
      <c r="H20" s="31"/>
      <c r="I20" s="31"/>
      <c r="J20" s="31"/>
      <c r="K20" s="28"/>
      <c r="L20" s="2" t="s">
        <v>13</v>
      </c>
      <c r="M20" s="2"/>
      <c r="N20" s="2">
        <v>4</v>
      </c>
      <c r="O20" s="28"/>
      <c r="P20" s="28"/>
      <c r="Q20" s="28"/>
      <c r="R20" s="28"/>
      <c r="S20" s="28"/>
      <c r="T20" s="28"/>
      <c r="U20" s="28"/>
      <c r="V20" s="28"/>
      <c r="W20" s="28"/>
      <c r="X20" s="28"/>
      <c r="Y20" s="28"/>
      <c r="Z20" s="28"/>
      <c r="AA20" s="28"/>
    </row>
    <row r="21" spans="1:27" s="32" customFormat="1" ht="28.5" customHeight="1" thickBot="1">
      <c r="A21" s="106"/>
      <c r="B21" s="106"/>
      <c r="C21" s="106"/>
      <c r="D21" s="106"/>
      <c r="E21" s="106"/>
      <c r="F21" s="106"/>
      <c r="G21" s="106"/>
      <c r="H21" s="31"/>
      <c r="I21" s="31"/>
      <c r="J21" s="31"/>
      <c r="K21" s="28"/>
      <c r="L21" s="2"/>
      <c r="M21" s="2"/>
      <c r="N21" s="2"/>
      <c r="O21" s="28"/>
      <c r="P21" s="28"/>
      <c r="Q21" s="28"/>
      <c r="R21" s="28"/>
      <c r="S21" s="28"/>
      <c r="T21" s="28"/>
      <c r="U21" s="28"/>
      <c r="V21" s="28"/>
      <c r="W21" s="28"/>
      <c r="X21" s="28"/>
      <c r="Y21" s="28"/>
      <c r="Z21" s="28"/>
      <c r="AA21" s="28"/>
    </row>
    <row r="22" spans="1:27" ht="12.75" customHeight="1" thickBot="1">
      <c r="A22" s="107" t="s">
        <v>304</v>
      </c>
      <c r="B22" s="107" t="s">
        <v>271</v>
      </c>
      <c r="C22" s="107" t="s">
        <v>272</v>
      </c>
      <c r="D22" s="107">
        <v>3</v>
      </c>
      <c r="E22" s="107">
        <v>10</v>
      </c>
      <c r="F22" s="107">
        <v>8</v>
      </c>
      <c r="G22" s="107">
        <v>47</v>
      </c>
      <c r="H22" s="8" t="e">
        <f t="array" ref="H22">VLOOKUP(#REF!,[1]Guidelines!$B$4:$E$19,2,FALSE)</f>
        <v>#REF!</v>
      </c>
      <c r="I22" s="8" t="e">
        <f t="array" ref="I22">VLOOKUP(#REF!,[1]Guidelines!$B$4:$E$19,3,FALSE)</f>
        <v>#REF!</v>
      </c>
      <c r="J22" s="8" t="e">
        <f t="array" ref="J22">VLOOKUP(#REF!,[1]Guidelines!$B$4:$E$19,4,FALSE)</f>
        <v>#REF!</v>
      </c>
      <c r="K22" s="2"/>
      <c r="L22" s="2" t="s">
        <v>15</v>
      </c>
      <c r="M22" s="2"/>
      <c r="N22" s="2">
        <v>3</v>
      </c>
      <c r="O22" s="2"/>
      <c r="P22" s="2"/>
      <c r="Q22" s="2"/>
      <c r="R22" s="2"/>
      <c r="S22" s="2"/>
      <c r="T22" s="2"/>
      <c r="U22" s="2"/>
      <c r="V22" s="2"/>
      <c r="W22" s="2"/>
      <c r="X22" s="2"/>
      <c r="Y22" s="2"/>
      <c r="Z22" s="2"/>
      <c r="AA22" s="2"/>
    </row>
    <row r="23" spans="1:27" ht="12.75" customHeight="1" thickBot="1">
      <c r="A23" s="27"/>
      <c r="B23" s="28"/>
      <c r="C23" s="27"/>
      <c r="D23" s="29"/>
      <c r="E23" s="29"/>
      <c r="F23" s="29"/>
      <c r="G23" s="30"/>
      <c r="H23" s="2"/>
      <c r="I23" s="2"/>
      <c r="J23" s="2"/>
      <c r="K23" s="2"/>
      <c r="L23" s="2" t="s">
        <v>17</v>
      </c>
      <c r="M23" s="2"/>
      <c r="N23" s="2">
        <v>2</v>
      </c>
      <c r="O23" s="2"/>
      <c r="P23" s="2"/>
      <c r="Q23" s="2"/>
      <c r="R23" s="2"/>
      <c r="S23" s="2"/>
      <c r="T23" s="2"/>
      <c r="U23" s="2"/>
      <c r="V23" s="2"/>
      <c r="W23" s="2"/>
      <c r="X23" s="2"/>
      <c r="Y23" s="2"/>
      <c r="Z23" s="2"/>
      <c r="AA23" s="2"/>
    </row>
    <row r="24" spans="1:27" ht="12.75" customHeight="1" thickBot="1">
      <c r="A24" s="27"/>
      <c r="B24" s="28"/>
      <c r="C24" s="27"/>
      <c r="D24" s="29"/>
      <c r="E24" s="29"/>
      <c r="F24" s="29"/>
      <c r="G24" s="30"/>
      <c r="H24" s="2"/>
      <c r="I24" s="2"/>
      <c r="J24" s="2"/>
      <c r="K24" s="2"/>
      <c r="L24" s="2" t="s">
        <v>19</v>
      </c>
      <c r="M24" s="2"/>
      <c r="N24" s="2">
        <v>1</v>
      </c>
      <c r="O24" s="2"/>
      <c r="P24" s="2"/>
      <c r="Q24" s="2"/>
      <c r="R24" s="2"/>
      <c r="S24" s="2"/>
      <c r="T24" s="2"/>
      <c r="U24" s="2"/>
      <c r="V24" s="2"/>
      <c r="W24" s="2"/>
      <c r="X24" s="2"/>
      <c r="Y24" s="2"/>
      <c r="Z24" s="2"/>
      <c r="AA24" s="2"/>
    </row>
    <row r="25" spans="1:27" ht="12.75" customHeight="1" thickBot="1">
      <c r="A25" s="27"/>
      <c r="B25" s="28"/>
      <c r="C25" s="27"/>
      <c r="D25" s="29"/>
      <c r="E25" s="29"/>
      <c r="F25" s="29"/>
      <c r="G25" s="30"/>
      <c r="H25" s="2"/>
      <c r="I25" s="2"/>
      <c r="J25" s="2"/>
      <c r="K25" s="2"/>
      <c r="L25" s="2" t="s">
        <v>21</v>
      </c>
      <c r="M25" s="2"/>
      <c r="N25" s="2">
        <v>3</v>
      </c>
      <c r="O25" s="2"/>
      <c r="P25" s="2"/>
      <c r="Q25" s="2"/>
      <c r="R25" s="2"/>
      <c r="S25" s="2"/>
      <c r="T25" s="2"/>
      <c r="U25" s="2"/>
      <c r="V25" s="2"/>
      <c r="W25" s="2"/>
      <c r="X25" s="2"/>
      <c r="Y25" s="2"/>
      <c r="Z25" s="2"/>
      <c r="AA25" s="2"/>
    </row>
    <row r="26" spans="1:27" ht="12.75" customHeight="1" thickBot="1">
      <c r="A26" s="27"/>
      <c r="B26" s="28"/>
      <c r="C26" s="27"/>
      <c r="D26" s="29"/>
      <c r="E26" s="29"/>
      <c r="F26" s="29"/>
      <c r="G26" s="30"/>
      <c r="H26" s="2"/>
      <c r="I26" s="2"/>
      <c r="J26" s="2"/>
      <c r="K26" s="2"/>
      <c r="L26" s="2" t="s">
        <v>23</v>
      </c>
      <c r="M26" s="2"/>
      <c r="N26" s="2">
        <v>4</v>
      </c>
      <c r="O26" s="2"/>
      <c r="P26" s="2"/>
      <c r="Q26" s="2"/>
      <c r="R26" s="2"/>
      <c r="S26" s="2"/>
      <c r="T26" s="2"/>
      <c r="U26" s="2"/>
      <c r="V26" s="2"/>
      <c r="W26" s="2"/>
      <c r="X26" s="2"/>
      <c r="Y26" s="2"/>
      <c r="Z26" s="2"/>
      <c r="AA26" s="2"/>
    </row>
    <row r="27" spans="1:27" ht="12.75" customHeight="1" thickBot="1">
      <c r="A27" s="27"/>
      <c r="B27" s="28"/>
      <c r="C27" s="27"/>
      <c r="D27" s="29"/>
      <c r="E27" s="29"/>
      <c r="F27" s="29"/>
      <c r="G27" s="30"/>
      <c r="H27" s="2"/>
      <c r="I27" s="2"/>
      <c r="J27" s="2"/>
      <c r="K27" s="2"/>
      <c r="L27" s="2" t="s">
        <v>26</v>
      </c>
      <c r="M27" s="2"/>
      <c r="N27" s="2">
        <v>4</v>
      </c>
      <c r="O27" s="2"/>
      <c r="P27" s="2"/>
      <c r="Q27" s="2"/>
      <c r="R27" s="2"/>
      <c r="S27" s="2"/>
      <c r="T27" s="2"/>
      <c r="U27" s="2"/>
      <c r="V27" s="2"/>
      <c r="W27" s="2"/>
      <c r="X27" s="2"/>
      <c r="Y27" s="2"/>
      <c r="Z27" s="2"/>
      <c r="AA27" s="2"/>
    </row>
    <row r="28" spans="1:27" ht="12.75" customHeight="1" thickBot="1">
      <c r="A28" s="27"/>
      <c r="B28" s="28"/>
      <c r="C28" s="27"/>
      <c r="D28" s="29"/>
      <c r="E28" s="29"/>
      <c r="F28" s="29"/>
      <c r="G28" s="30"/>
      <c r="H28" s="2"/>
      <c r="I28" s="2"/>
      <c r="J28" s="2"/>
      <c r="K28" s="2"/>
      <c r="L28" s="2" t="s">
        <v>29</v>
      </c>
      <c r="M28" s="2"/>
      <c r="N28" s="2">
        <v>4</v>
      </c>
      <c r="O28" s="2"/>
      <c r="P28" s="2"/>
      <c r="Q28" s="2"/>
      <c r="R28" s="2"/>
      <c r="S28" s="2"/>
      <c r="T28" s="2"/>
      <c r="U28" s="2"/>
      <c r="V28" s="2"/>
      <c r="W28" s="2"/>
      <c r="X28" s="2"/>
      <c r="Y28" s="2"/>
      <c r="Z28" s="2"/>
      <c r="AA28" s="2"/>
    </row>
    <row r="29" spans="1:27" ht="12.75" customHeight="1" thickBot="1">
      <c r="A29" s="27"/>
      <c r="B29" s="28"/>
      <c r="C29" s="27"/>
      <c r="D29" s="29"/>
      <c r="E29" s="29"/>
      <c r="F29" s="29"/>
      <c r="G29" s="30"/>
      <c r="H29" s="2"/>
      <c r="I29" s="2"/>
      <c r="J29" s="2"/>
      <c r="K29" s="2"/>
      <c r="L29" s="2" t="s">
        <v>32</v>
      </c>
      <c r="M29" s="2"/>
      <c r="N29" s="2">
        <v>4</v>
      </c>
      <c r="O29" s="2"/>
      <c r="P29" s="2"/>
      <c r="Q29" s="2"/>
      <c r="R29" s="2"/>
      <c r="S29" s="2"/>
      <c r="T29" s="2"/>
      <c r="U29" s="2"/>
      <c r="V29" s="2"/>
      <c r="W29" s="2"/>
      <c r="X29" s="2"/>
      <c r="Y29" s="2"/>
      <c r="Z29" s="2"/>
      <c r="AA29" s="2"/>
    </row>
    <row r="30" spans="1:27" ht="12.75" customHeight="1" thickBot="1">
      <c r="B30" s="2"/>
      <c r="C30" s="2"/>
      <c r="D30" s="2"/>
      <c r="E30" s="2"/>
      <c r="F30" s="2"/>
      <c r="G30" s="2"/>
      <c r="H30" s="2"/>
      <c r="I30" s="2"/>
      <c r="J30" s="2"/>
      <c r="K30" s="2"/>
      <c r="L30" s="2" t="s">
        <v>35</v>
      </c>
      <c r="M30" s="2"/>
      <c r="N30" s="2">
        <v>4</v>
      </c>
      <c r="O30" s="2"/>
      <c r="P30" s="2"/>
      <c r="Q30" s="2"/>
      <c r="R30" s="2"/>
      <c r="S30" s="2"/>
      <c r="T30" s="2"/>
      <c r="U30" s="2"/>
      <c r="V30" s="2"/>
      <c r="W30" s="2"/>
      <c r="X30" s="2"/>
      <c r="Y30" s="2"/>
      <c r="Z30" s="2"/>
      <c r="AA30" s="2"/>
    </row>
    <row r="31" spans="1:27" ht="12.75" customHeight="1" thickBot="1">
      <c r="A31" s="2"/>
      <c r="B31" s="2"/>
      <c r="C31" s="2"/>
      <c r="D31" s="2"/>
      <c r="E31" s="2"/>
      <c r="F31" s="2"/>
      <c r="G31" s="2"/>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
      <c r="B32" s="2"/>
      <c r="C32" s="11" t="s">
        <v>38</v>
      </c>
      <c r="D32" s="13">
        <v>0.14127300000000001</v>
      </c>
      <c r="E32" s="9" t="e">
        <f t="array" ref="E32">VLOOKUP(D1,'[1]Baseline Productivity '!A4:D8,4,FALSE)</f>
        <v>#N/A</v>
      </c>
      <c r="F32" s="2"/>
      <c r="G32" s="2"/>
      <c r="H32" s="2"/>
      <c r="I32" s="2"/>
      <c r="J32" s="2"/>
      <c r="K32" s="2"/>
      <c r="L32" s="2"/>
      <c r="M32" s="2"/>
      <c r="N32" s="2"/>
      <c r="O32" s="2"/>
      <c r="P32" s="2"/>
      <c r="Q32" s="2"/>
      <c r="R32" s="2"/>
      <c r="S32" s="2"/>
      <c r="T32" s="2"/>
      <c r="U32" s="2"/>
      <c r="V32" s="2"/>
      <c r="W32" s="2"/>
      <c r="X32" s="2"/>
      <c r="Y32" s="2"/>
      <c r="Z32" s="2"/>
      <c r="AA32" s="2"/>
    </row>
    <row r="33" spans="1:27" ht="12.75" customHeight="1" thickBot="1">
      <c r="A33" s="2"/>
      <c r="B33" s="2"/>
      <c r="C33" s="14" t="s">
        <v>0</v>
      </c>
      <c r="D33" s="15">
        <v>47</v>
      </c>
      <c r="E33" s="16" t="s">
        <v>76</v>
      </c>
      <c r="F33" s="2"/>
      <c r="G33" s="2"/>
      <c r="H33" s="2"/>
      <c r="I33" s="2"/>
      <c r="J33" s="2"/>
      <c r="K33" s="2"/>
      <c r="L33" s="2"/>
      <c r="M33" s="2"/>
      <c r="N33" s="2"/>
      <c r="O33" s="2"/>
      <c r="P33" s="2"/>
      <c r="Q33" s="2"/>
      <c r="R33" s="2"/>
      <c r="S33" s="2"/>
      <c r="T33" s="2"/>
      <c r="U33" s="2"/>
      <c r="V33" s="2"/>
      <c r="W33" s="2"/>
      <c r="X33" s="2"/>
      <c r="Y33" s="2"/>
      <c r="Z33" s="2"/>
      <c r="AA33" s="2"/>
    </row>
    <row r="34" spans="1:27" ht="12.75" customHeight="1" thickBot="1">
      <c r="A34" s="2"/>
      <c r="B34" s="2"/>
      <c r="C34" s="11" t="s">
        <v>77</v>
      </c>
      <c r="D34" s="17">
        <f>D33/D32</f>
        <v>332.6891904327083</v>
      </c>
      <c r="E34" s="9" t="s">
        <v>78</v>
      </c>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11" t="s">
        <v>79</v>
      </c>
      <c r="D35" s="13">
        <f>0.65+0.01*$N$31</f>
        <v>1.01</v>
      </c>
      <c r="E35" s="2"/>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11" t="s">
        <v>80</v>
      </c>
      <c r="D36" s="18">
        <v>0.05</v>
      </c>
      <c r="E36" s="2"/>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11" t="s">
        <v>81</v>
      </c>
      <c r="D37" s="18">
        <v>0.1</v>
      </c>
      <c r="E37" s="2"/>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11" t="s">
        <v>82</v>
      </c>
      <c r="D38" s="19">
        <f>((D34*D35)+(D34*D35*D36))+((D34*D35)+(D34*D35*D36))*D37</f>
        <v>388.09857509927593</v>
      </c>
      <c r="E38" s="9" t="s">
        <v>78</v>
      </c>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2" t="s">
        <v>83</v>
      </c>
      <c r="D40" s="20">
        <f>D38+5%*D38</f>
        <v>407.50350385423974</v>
      </c>
      <c r="E40" s="20">
        <f>D38-5%*D38</f>
        <v>368.69364634431213</v>
      </c>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ustomHeight="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ustomHeight="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ustomHeight="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ustomHeight="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ustomHeight="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ustomHeight="1"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thickBot="1">
      <c r="A997" s="2"/>
      <c r="B997" s="2"/>
      <c r="C997" s="2"/>
      <c r="D997" s="2"/>
      <c r="E997" s="2"/>
      <c r="F997" s="2"/>
      <c r="G997" s="2"/>
    </row>
    <row r="998" spans="1:27" thickBot="1">
      <c r="A998" s="2"/>
      <c r="B998" s="2"/>
      <c r="C998" s="2"/>
      <c r="D998" s="2"/>
      <c r="E998" s="2"/>
      <c r="F998" s="2"/>
      <c r="G998" s="2"/>
    </row>
    <row r="999" spans="1:27" thickBot="1">
      <c r="A999" s="2"/>
      <c r="B999" s="2"/>
      <c r="C999" s="2"/>
      <c r="D999" s="2"/>
      <c r="E999" s="2"/>
      <c r="F999" s="2"/>
      <c r="G999" s="2"/>
    </row>
    <row r="1000" spans="1:27" thickBot="1">
      <c r="A1000" s="2"/>
      <c r="B1000" s="2"/>
      <c r="C1000" s="2"/>
      <c r="D1000" s="2"/>
      <c r="E1000" s="2"/>
      <c r="F1000" s="2"/>
      <c r="G1000" s="2"/>
    </row>
    <row r="1001" spans="1:27" thickBot="1">
      <c r="A1001" s="2"/>
      <c r="B1001" s="2"/>
      <c r="C1001" s="2"/>
      <c r="D1001" s="2"/>
      <c r="E1001" s="2"/>
      <c r="F1001" s="2"/>
      <c r="G1001" s="2"/>
    </row>
    <row r="1002" spans="1:27" thickBot="1">
      <c r="A1002" s="2"/>
      <c r="B1002" s="2"/>
      <c r="C1002" s="2"/>
      <c r="D1002" s="2"/>
      <c r="E1002" s="2"/>
      <c r="F1002" s="2"/>
      <c r="G1002" s="2"/>
    </row>
    <row r="1003" spans="1:27" thickBot="1">
      <c r="A1003" s="2"/>
    </row>
    <row r="1004" spans="1:27" thickBot="1">
      <c r="A1004" s="2"/>
    </row>
  </sheetData>
  <mergeCells count="1">
    <mergeCell ref="L13:N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1"/>
  <sheetViews>
    <sheetView topLeftCell="A3" zoomScale="80" zoomScaleNormal="80" workbookViewId="0">
      <selection activeCell="F7" sqref="F7"/>
    </sheetView>
  </sheetViews>
  <sheetFormatPr defaultColWidth="14.36328125" defaultRowHeight="15" thickBottom="1"/>
  <cols>
    <col min="1" max="1" width="24" style="3" customWidth="1"/>
    <col min="2" max="2" width="34.6328125" style="3" customWidth="1"/>
    <col min="3" max="3" width="34.54296875" style="3" customWidth="1"/>
    <col min="4" max="4" width="12.453125" style="3" customWidth="1"/>
    <col min="5" max="5" width="7.36328125" style="3" customWidth="1"/>
    <col min="6" max="6" width="20.4531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2.81640625"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21"/>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21"/>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21"/>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21"/>
      <c r="F5" s="21"/>
      <c r="G5" s="4"/>
      <c r="H5" s="23" t="s">
        <v>64</v>
      </c>
      <c r="I5" s="21"/>
      <c r="J5" s="21"/>
      <c r="K5" s="2"/>
      <c r="O5" s="2"/>
      <c r="P5" s="2"/>
      <c r="Q5" s="2"/>
      <c r="R5" s="2"/>
      <c r="S5" s="2"/>
      <c r="T5" s="2"/>
      <c r="U5" s="2"/>
      <c r="V5" s="2"/>
      <c r="W5" s="2"/>
      <c r="X5" s="2"/>
      <c r="Y5" s="2"/>
      <c r="Z5" s="2"/>
      <c r="AA5" s="2"/>
    </row>
    <row r="6" spans="1:27" ht="12.75" customHeight="1" thickBot="1">
      <c r="A6" s="1" t="s">
        <v>65</v>
      </c>
      <c r="B6" s="1" t="s">
        <v>66</v>
      </c>
      <c r="C6" s="1"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1"/>
      <c r="B7" s="1"/>
      <c r="C7" s="1"/>
      <c r="D7" s="1">
        <v>1</v>
      </c>
      <c r="E7" s="1">
        <v>3</v>
      </c>
      <c r="F7" s="1">
        <v>5</v>
      </c>
      <c r="G7" s="1"/>
      <c r="H7" s="6"/>
      <c r="I7" s="6"/>
      <c r="J7" s="6"/>
      <c r="K7" s="2"/>
      <c r="O7" s="2"/>
      <c r="P7" s="2"/>
      <c r="Q7" s="2"/>
      <c r="R7" s="2"/>
      <c r="S7" s="2"/>
      <c r="T7" s="2"/>
      <c r="U7" s="2"/>
      <c r="V7" s="2"/>
      <c r="W7" s="2"/>
      <c r="X7" s="2"/>
      <c r="Y7" s="2"/>
      <c r="Z7" s="2"/>
      <c r="AA7" s="2"/>
    </row>
    <row r="8" spans="1:27" ht="91.15" customHeight="1" thickBot="1">
      <c r="A8" s="107" t="s">
        <v>305</v>
      </c>
      <c r="B8" s="106" t="s">
        <v>85</v>
      </c>
      <c r="C8" s="106" t="s">
        <v>306</v>
      </c>
      <c r="D8" s="106">
        <v>0</v>
      </c>
      <c r="E8" s="106">
        <v>0</v>
      </c>
      <c r="F8" s="106">
        <v>1</v>
      </c>
      <c r="G8" s="106">
        <v>6</v>
      </c>
      <c r="H8" s="8"/>
      <c r="I8" s="8"/>
      <c r="J8" s="8"/>
      <c r="K8" s="2"/>
      <c r="L8" s="24"/>
      <c r="M8" s="2"/>
      <c r="N8" s="24"/>
      <c r="O8" s="2"/>
      <c r="P8" s="2"/>
      <c r="Q8" s="2"/>
      <c r="R8" s="2"/>
      <c r="S8" s="2"/>
      <c r="T8" s="2"/>
      <c r="U8" s="2"/>
      <c r="V8" s="2"/>
      <c r="W8" s="2"/>
      <c r="X8" s="2"/>
      <c r="Y8" s="2"/>
      <c r="Z8" s="2"/>
      <c r="AA8" s="2"/>
    </row>
    <row r="9" spans="1:27" ht="118.9" customHeight="1" thickBot="1">
      <c r="A9" s="107" t="s">
        <v>305</v>
      </c>
      <c r="B9" s="106" t="s">
        <v>307</v>
      </c>
      <c r="C9" s="106" t="s">
        <v>308</v>
      </c>
      <c r="D9" s="106">
        <v>0</v>
      </c>
      <c r="E9" s="106">
        <v>1</v>
      </c>
      <c r="F9" s="106">
        <v>0</v>
      </c>
      <c r="G9" s="106">
        <v>4</v>
      </c>
      <c r="H9" s="8"/>
      <c r="I9" s="8"/>
      <c r="J9" s="8"/>
      <c r="K9" s="2"/>
      <c r="L9" s="24"/>
      <c r="M9" s="2"/>
      <c r="N9" s="24"/>
      <c r="O9" s="2"/>
      <c r="P9" s="2"/>
      <c r="Q9" s="2"/>
      <c r="R9" s="2"/>
      <c r="S9" s="2"/>
      <c r="T9" s="2"/>
      <c r="U9" s="2"/>
      <c r="V9" s="2"/>
      <c r="W9" s="2"/>
      <c r="X9" s="2"/>
      <c r="Y9" s="2"/>
      <c r="Z9" s="2"/>
      <c r="AA9" s="2"/>
    </row>
    <row r="10" spans="1:27" ht="109.9" customHeight="1" thickBot="1">
      <c r="A10" s="107" t="s">
        <v>309</v>
      </c>
      <c r="B10" s="106" t="s">
        <v>310</v>
      </c>
      <c r="C10" s="106" t="s">
        <v>311</v>
      </c>
      <c r="D10" s="106">
        <v>1</v>
      </c>
      <c r="E10" s="106">
        <v>0</v>
      </c>
      <c r="F10" s="106">
        <v>0</v>
      </c>
      <c r="G10" s="106">
        <v>3</v>
      </c>
      <c r="H10" s="8"/>
      <c r="I10" s="8"/>
      <c r="J10" s="8"/>
      <c r="K10" s="2"/>
      <c r="L10" s="24"/>
      <c r="M10" s="2"/>
      <c r="N10" s="24"/>
      <c r="O10" s="2"/>
      <c r="P10" s="2"/>
      <c r="Q10" s="2"/>
      <c r="R10" s="2"/>
      <c r="S10" s="2"/>
      <c r="T10" s="2"/>
      <c r="U10" s="2"/>
      <c r="V10" s="2"/>
      <c r="W10" s="2"/>
      <c r="X10" s="2"/>
      <c r="Y10" s="2"/>
      <c r="Z10" s="2"/>
      <c r="AA10" s="2"/>
    </row>
    <row r="11" spans="1:27" ht="67.5" customHeight="1" thickBot="1">
      <c r="A11" s="107" t="s">
        <v>309</v>
      </c>
      <c r="B11" s="106" t="s">
        <v>312</v>
      </c>
      <c r="C11" s="106" t="s">
        <v>313</v>
      </c>
      <c r="D11" s="106">
        <v>0</v>
      </c>
      <c r="E11" s="106">
        <v>1</v>
      </c>
      <c r="F11" s="106">
        <v>0</v>
      </c>
      <c r="G11" s="106">
        <v>5</v>
      </c>
      <c r="H11" s="8" t="e">
        <f t="array" ref="H11">VLOOKUP(C10,[1]Guidelines!$B$4:$E$19,2,FALSE)</f>
        <v>#VALUE!</v>
      </c>
      <c r="I11" s="8" t="e">
        <f t="array" ref="I11">VLOOKUP(C10,[1]Guidelines!$B$4:$E$19,3,FALSE)</f>
        <v>#VALUE!</v>
      </c>
      <c r="J11" s="8" t="e">
        <f t="array" ref="J11">VLOOKUP(C10,[1]Guidelines!$B$4:$E$19,4,FALSE)</f>
        <v>#VALUE!</v>
      </c>
      <c r="K11" s="2"/>
      <c r="L11" s="24"/>
      <c r="M11" s="2"/>
      <c r="N11" s="24"/>
      <c r="O11" s="2"/>
      <c r="P11" s="2"/>
      <c r="Q11" s="2"/>
      <c r="R11" s="2"/>
      <c r="S11" s="2"/>
      <c r="T11" s="2"/>
      <c r="U11" s="2"/>
      <c r="V11" s="2"/>
      <c r="W11" s="2"/>
      <c r="X11" s="2"/>
      <c r="Y11" s="2"/>
      <c r="Z11" s="2"/>
      <c r="AA11" s="2"/>
    </row>
    <row r="12" spans="1:27" ht="52.15" customHeight="1" thickBot="1">
      <c r="A12" s="107" t="s">
        <v>314</v>
      </c>
      <c r="B12" s="106" t="s">
        <v>315</v>
      </c>
      <c r="C12" s="106" t="s">
        <v>316</v>
      </c>
      <c r="D12" s="106">
        <v>0</v>
      </c>
      <c r="E12" s="106">
        <v>1</v>
      </c>
      <c r="F12" s="106">
        <v>1</v>
      </c>
      <c r="G12" s="106">
        <v>8</v>
      </c>
      <c r="H12" s="8"/>
      <c r="I12" s="8"/>
      <c r="J12" s="8"/>
      <c r="K12" s="2"/>
      <c r="L12" s="24"/>
      <c r="M12" s="2"/>
      <c r="N12" s="24"/>
      <c r="O12" s="2"/>
      <c r="P12" s="2"/>
      <c r="Q12" s="2"/>
      <c r="R12" s="2"/>
      <c r="S12" s="2"/>
      <c r="T12" s="2"/>
      <c r="U12" s="2"/>
      <c r="V12" s="2"/>
      <c r="W12" s="2"/>
      <c r="X12" s="2"/>
      <c r="Y12" s="2"/>
      <c r="Z12" s="2"/>
      <c r="AA12" s="2"/>
    </row>
    <row r="13" spans="1:27" ht="28.5" customHeight="1" thickBot="1">
      <c r="A13" s="107" t="s">
        <v>314</v>
      </c>
      <c r="B13" s="106" t="s">
        <v>317</v>
      </c>
      <c r="C13" s="106" t="s">
        <v>318</v>
      </c>
      <c r="D13" s="106">
        <v>0</v>
      </c>
      <c r="E13" s="106">
        <v>1</v>
      </c>
      <c r="F13" s="106">
        <v>1</v>
      </c>
      <c r="G13" s="106">
        <v>8</v>
      </c>
      <c r="H13" s="8" t="e">
        <f t="array" ref="H13">VLOOKUP(#REF!,[1]Guidelines!$B$4:$E$19,2,FALSE)</f>
        <v>#REF!</v>
      </c>
      <c r="I13" s="8" t="e">
        <f t="array" ref="I13">VLOOKUP(#REF!,[1]Guidelines!$B$4:$E$19,3,FALSE)</f>
        <v>#REF!</v>
      </c>
      <c r="J13" s="8" t="e">
        <f t="array" ref="J13">VLOOKUP(#REF!,[1]Guidelines!$B$4:$E$19,4,FALSE)</f>
        <v>#REF!</v>
      </c>
      <c r="K13" s="2"/>
      <c r="L13" s="114" t="s">
        <v>73</v>
      </c>
      <c r="M13" s="115"/>
      <c r="N13" s="115"/>
      <c r="O13" s="2"/>
      <c r="P13" s="2"/>
      <c r="Q13" s="2"/>
      <c r="R13" s="2"/>
      <c r="S13" s="2"/>
      <c r="T13" s="2"/>
      <c r="U13" s="2"/>
      <c r="V13" s="2"/>
      <c r="W13" s="2"/>
      <c r="X13" s="2"/>
      <c r="Y13" s="2"/>
      <c r="Z13" s="2"/>
      <c r="AA13" s="2"/>
    </row>
    <row r="14" spans="1:27" s="32" customFormat="1" ht="28.5" customHeight="1" thickBot="1">
      <c r="A14" s="107" t="s">
        <v>314</v>
      </c>
      <c r="B14" s="106" t="s">
        <v>319</v>
      </c>
      <c r="C14" s="106" t="s">
        <v>320</v>
      </c>
      <c r="D14" s="106">
        <v>0</v>
      </c>
      <c r="E14" s="106">
        <v>1</v>
      </c>
      <c r="F14" s="106">
        <v>1</v>
      </c>
      <c r="G14" s="106">
        <v>8</v>
      </c>
      <c r="H14" s="31"/>
      <c r="I14" s="31"/>
      <c r="J14" s="31"/>
      <c r="K14" s="28"/>
      <c r="L14" s="9" t="s">
        <v>33</v>
      </c>
      <c r="M14" s="2"/>
      <c r="N14" s="9" t="s">
        <v>34</v>
      </c>
      <c r="O14" s="28"/>
      <c r="P14" s="28"/>
      <c r="Q14" s="28"/>
      <c r="R14" s="28"/>
      <c r="S14" s="28"/>
      <c r="T14" s="28"/>
      <c r="U14" s="28"/>
      <c r="V14" s="28"/>
      <c r="W14" s="28"/>
      <c r="X14" s="28"/>
      <c r="Y14" s="28"/>
      <c r="Z14" s="28"/>
      <c r="AA14" s="28"/>
    </row>
    <row r="15" spans="1:27" s="32" customFormat="1" ht="28.5" customHeight="1" thickBot="1">
      <c r="A15" s="106" t="s">
        <v>321</v>
      </c>
      <c r="B15" s="106"/>
      <c r="C15" s="106"/>
      <c r="D15" s="106"/>
      <c r="E15" s="106"/>
      <c r="G15" s="106"/>
      <c r="H15" s="31"/>
      <c r="I15" s="31"/>
      <c r="J15" s="31"/>
      <c r="K15" s="28"/>
      <c r="L15" s="2" t="s">
        <v>4</v>
      </c>
      <c r="M15" s="2"/>
      <c r="N15" s="2">
        <v>0</v>
      </c>
      <c r="O15" s="28"/>
      <c r="P15" s="28"/>
      <c r="Q15" s="28"/>
      <c r="R15" s="28"/>
      <c r="S15" s="28"/>
      <c r="T15" s="28"/>
      <c r="U15" s="28"/>
      <c r="V15" s="28"/>
      <c r="W15" s="28"/>
      <c r="X15" s="28"/>
      <c r="Y15" s="28"/>
      <c r="Z15" s="28"/>
      <c r="AA15" s="28"/>
    </row>
    <row r="16" spans="1:27" s="32" customFormat="1" ht="28.5" customHeight="1" thickBot="1">
      <c r="B16" s="107"/>
      <c r="C16" s="107"/>
      <c r="D16" s="107"/>
      <c r="E16" s="107"/>
      <c r="F16" s="107"/>
      <c r="G16" s="107"/>
      <c r="H16" s="31"/>
      <c r="I16" s="31"/>
      <c r="J16" s="31"/>
      <c r="K16" s="28"/>
      <c r="L16" s="2" t="s">
        <v>6</v>
      </c>
      <c r="M16" s="2"/>
      <c r="N16" s="2">
        <v>0</v>
      </c>
      <c r="O16" s="28"/>
      <c r="P16" s="28"/>
      <c r="Q16" s="28"/>
      <c r="R16" s="28"/>
      <c r="S16" s="28"/>
      <c r="T16" s="28"/>
      <c r="U16" s="28"/>
      <c r="V16" s="28"/>
      <c r="W16" s="28"/>
      <c r="X16" s="28"/>
      <c r="Y16" s="28"/>
      <c r="Z16" s="28"/>
      <c r="AA16" s="28"/>
    </row>
    <row r="17" spans="1:27" s="32" customFormat="1" ht="28.5" customHeight="1" thickBot="1">
      <c r="A17" s="26"/>
      <c r="B17" s="26"/>
      <c r="C17" s="7"/>
      <c r="D17" s="25"/>
      <c r="E17" s="25"/>
      <c r="F17" s="25"/>
      <c r="G17" s="2"/>
      <c r="H17" s="31"/>
      <c r="I17" s="31"/>
      <c r="J17" s="31"/>
      <c r="K17" s="28"/>
      <c r="L17" s="2"/>
      <c r="M17" s="2"/>
      <c r="N17" s="2"/>
      <c r="O17" s="28"/>
      <c r="P17" s="28"/>
      <c r="Q17" s="28"/>
      <c r="R17" s="28"/>
      <c r="S17" s="28"/>
      <c r="T17" s="28"/>
      <c r="U17" s="28"/>
      <c r="V17" s="28"/>
      <c r="W17" s="28"/>
      <c r="X17" s="28"/>
      <c r="Y17" s="28"/>
      <c r="Z17" s="28"/>
      <c r="AA17" s="28"/>
    </row>
    <row r="18" spans="1:27" s="32" customFormat="1" ht="28.5" customHeight="1" thickBot="1">
      <c r="A18" s="11"/>
      <c r="B18" s="2"/>
      <c r="C18" s="11"/>
      <c r="D18" s="12"/>
      <c r="E18" s="12"/>
      <c r="F18" s="12" t="s">
        <v>74</v>
      </c>
      <c r="G18" s="9">
        <v>10</v>
      </c>
      <c r="H18" s="31"/>
      <c r="I18" s="31"/>
      <c r="J18" s="31"/>
      <c r="K18" s="28"/>
      <c r="L18" s="2" t="s">
        <v>8</v>
      </c>
      <c r="M18" s="2"/>
      <c r="N18" s="2">
        <v>0</v>
      </c>
      <c r="O18" s="28"/>
      <c r="P18" s="28"/>
      <c r="Q18" s="28"/>
      <c r="R18" s="28"/>
      <c r="S18" s="28"/>
      <c r="T18" s="28"/>
      <c r="U18" s="28"/>
      <c r="V18" s="28"/>
      <c r="W18" s="28"/>
      <c r="X18" s="28"/>
      <c r="Y18" s="28"/>
      <c r="Z18" s="28"/>
      <c r="AA18" s="28"/>
    </row>
    <row r="19" spans="1:27" s="32" customFormat="1" ht="28.5" customHeight="1" thickBot="1">
      <c r="A19" s="27"/>
      <c r="B19" s="28"/>
      <c r="C19" s="27"/>
      <c r="D19" s="29"/>
      <c r="E19" s="29"/>
      <c r="F19" s="29"/>
      <c r="G19" s="30"/>
      <c r="H19" s="31"/>
      <c r="I19" s="31"/>
      <c r="J19" s="31"/>
      <c r="K19" s="28"/>
      <c r="L19" s="2" t="s">
        <v>10</v>
      </c>
      <c r="M19" s="2"/>
      <c r="N19" s="2">
        <v>3</v>
      </c>
      <c r="O19" s="28"/>
      <c r="P19" s="28"/>
      <c r="Q19" s="28"/>
      <c r="R19" s="28"/>
      <c r="S19" s="28"/>
      <c r="T19" s="28"/>
      <c r="U19" s="28"/>
      <c r="V19" s="28"/>
      <c r="W19" s="28"/>
      <c r="X19" s="28"/>
      <c r="Y19" s="28"/>
      <c r="Z19" s="28"/>
      <c r="AA19" s="28"/>
    </row>
    <row r="20" spans="1:27" s="32" customFormat="1" ht="28.5" customHeight="1" thickBot="1">
      <c r="A20" s="27"/>
      <c r="B20" s="28"/>
      <c r="C20" s="27"/>
      <c r="D20" s="29"/>
      <c r="E20" s="29"/>
      <c r="F20" s="29"/>
      <c r="G20" s="30"/>
      <c r="H20" s="31"/>
      <c r="I20" s="31"/>
      <c r="J20" s="31"/>
      <c r="K20" s="28"/>
      <c r="L20" s="2" t="s">
        <v>13</v>
      </c>
      <c r="M20" s="2"/>
      <c r="N20" s="2">
        <v>4</v>
      </c>
      <c r="O20" s="28"/>
      <c r="P20" s="28"/>
      <c r="Q20" s="28"/>
      <c r="R20" s="28"/>
      <c r="S20" s="28"/>
      <c r="T20" s="28"/>
      <c r="U20" s="28"/>
      <c r="V20" s="28"/>
      <c r="W20" s="28"/>
      <c r="X20" s="28"/>
      <c r="Y20" s="28"/>
      <c r="Z20" s="28"/>
      <c r="AA20" s="28"/>
    </row>
    <row r="21" spans="1:27" s="32" customFormat="1" ht="28.5" customHeight="1" thickBot="1">
      <c r="A21" s="27"/>
      <c r="B21" s="28"/>
      <c r="C21" s="27"/>
      <c r="D21" s="29"/>
      <c r="E21" s="29"/>
      <c r="F21" s="29"/>
      <c r="G21" s="30"/>
      <c r="H21" s="31"/>
      <c r="I21" s="31"/>
      <c r="J21" s="31"/>
      <c r="K21" s="28"/>
      <c r="L21" s="2"/>
      <c r="M21" s="2"/>
      <c r="N21" s="2"/>
      <c r="O21" s="28"/>
      <c r="P21" s="28"/>
      <c r="Q21" s="28"/>
      <c r="R21" s="28"/>
      <c r="S21" s="28"/>
      <c r="T21" s="28"/>
      <c r="U21" s="28"/>
      <c r="V21" s="28"/>
      <c r="W21" s="28"/>
      <c r="X21" s="28"/>
      <c r="Y21" s="28"/>
      <c r="Z21" s="28"/>
      <c r="AA21" s="28"/>
    </row>
    <row r="22" spans="1:27" ht="12.75" customHeight="1" thickBot="1">
      <c r="A22" s="27"/>
      <c r="B22" s="28"/>
      <c r="C22" s="27"/>
      <c r="D22" s="29"/>
      <c r="E22" s="29"/>
      <c r="F22" s="29"/>
      <c r="G22" s="30"/>
      <c r="H22" s="8" t="e">
        <f t="array" ref="H22">VLOOKUP(#REF!,[1]Guidelines!$B$4:$E$19,2,FALSE)</f>
        <v>#REF!</v>
      </c>
      <c r="I22" s="8" t="e">
        <f t="array" ref="I22">VLOOKUP(#REF!,[1]Guidelines!$B$4:$E$19,3,FALSE)</f>
        <v>#REF!</v>
      </c>
      <c r="J22" s="8" t="e">
        <f t="array" ref="J22">VLOOKUP(#REF!,[1]Guidelines!$B$4:$E$19,4,FALSE)</f>
        <v>#REF!</v>
      </c>
      <c r="K22" s="2"/>
      <c r="L22" s="2" t="s">
        <v>15</v>
      </c>
      <c r="M22" s="2"/>
      <c r="N22" s="2">
        <v>3</v>
      </c>
      <c r="O22" s="2"/>
      <c r="P22" s="2"/>
      <c r="Q22" s="2"/>
      <c r="R22" s="2"/>
      <c r="S22" s="2"/>
      <c r="T22" s="2"/>
      <c r="U22" s="2"/>
      <c r="V22" s="2"/>
      <c r="W22" s="2"/>
      <c r="X22" s="2"/>
      <c r="Y22" s="2"/>
      <c r="Z22" s="2"/>
      <c r="AA22" s="2"/>
    </row>
    <row r="23" spans="1:27" ht="12.75" customHeight="1" thickBot="1">
      <c r="A23" s="27"/>
      <c r="B23" s="28"/>
      <c r="C23" s="27"/>
      <c r="D23" s="29"/>
      <c r="E23" s="29"/>
      <c r="F23" s="29"/>
      <c r="G23" s="30"/>
      <c r="H23" s="2"/>
      <c r="I23" s="2"/>
      <c r="J23" s="2"/>
      <c r="K23" s="2"/>
      <c r="L23" s="2" t="s">
        <v>17</v>
      </c>
      <c r="M23" s="2"/>
      <c r="N23" s="2">
        <v>2</v>
      </c>
      <c r="O23" s="2"/>
      <c r="P23" s="2"/>
      <c r="Q23" s="2"/>
      <c r="R23" s="2"/>
      <c r="S23" s="2"/>
      <c r="T23" s="2"/>
      <c r="U23" s="2"/>
      <c r="V23" s="2"/>
      <c r="W23" s="2"/>
      <c r="X23" s="2"/>
      <c r="Y23" s="2"/>
      <c r="Z23" s="2"/>
      <c r="AA23" s="2"/>
    </row>
    <row r="24" spans="1:27" ht="12.75" customHeight="1" thickBot="1">
      <c r="A24" s="27"/>
      <c r="B24" s="28"/>
      <c r="C24" s="27"/>
      <c r="D24" s="29"/>
      <c r="E24" s="29"/>
      <c r="F24" s="29"/>
      <c r="G24" s="30"/>
      <c r="H24" s="2"/>
      <c r="I24" s="2"/>
      <c r="J24" s="2"/>
      <c r="K24" s="2"/>
      <c r="L24" s="2" t="s">
        <v>19</v>
      </c>
      <c r="M24" s="2"/>
      <c r="N24" s="2">
        <v>1</v>
      </c>
      <c r="O24" s="2"/>
      <c r="P24" s="2"/>
      <c r="Q24" s="2"/>
      <c r="R24" s="2"/>
      <c r="S24" s="2"/>
      <c r="T24" s="2"/>
      <c r="U24" s="2"/>
      <c r="V24" s="2"/>
      <c r="W24" s="2"/>
      <c r="X24" s="2"/>
      <c r="Y24" s="2"/>
      <c r="Z24" s="2"/>
      <c r="AA24" s="2"/>
    </row>
    <row r="25" spans="1:27" ht="12.75" customHeight="1" thickBot="1">
      <c r="A25" s="27"/>
      <c r="B25" s="28"/>
      <c r="C25" s="27"/>
      <c r="D25" s="29"/>
      <c r="E25" s="29"/>
      <c r="F25" s="29"/>
      <c r="G25" s="30"/>
      <c r="H25" s="2"/>
      <c r="I25" s="2"/>
      <c r="J25" s="2"/>
      <c r="K25" s="2"/>
      <c r="L25" s="2" t="s">
        <v>21</v>
      </c>
      <c r="M25" s="2"/>
      <c r="N25" s="2">
        <v>3</v>
      </c>
      <c r="O25" s="2"/>
      <c r="P25" s="2"/>
      <c r="Q25" s="2"/>
      <c r="R25" s="2"/>
      <c r="S25" s="2"/>
      <c r="T25" s="2"/>
      <c r="U25" s="2"/>
      <c r="V25" s="2"/>
      <c r="W25" s="2"/>
      <c r="X25" s="2"/>
      <c r="Y25" s="2"/>
      <c r="Z25" s="2"/>
      <c r="AA25" s="2"/>
    </row>
    <row r="26" spans="1:27" ht="12.75" customHeight="1" thickBot="1">
      <c r="A26" s="27"/>
      <c r="B26" s="28"/>
      <c r="C26" s="27"/>
      <c r="D26" s="29"/>
      <c r="E26" s="29"/>
      <c r="F26" s="29"/>
      <c r="G26" s="30"/>
      <c r="H26" s="2"/>
      <c r="I26" s="2"/>
      <c r="J26" s="2"/>
      <c r="K26" s="2"/>
      <c r="L26" s="2" t="s">
        <v>23</v>
      </c>
      <c r="M26" s="2"/>
      <c r="N26" s="2">
        <v>4</v>
      </c>
      <c r="O26" s="2"/>
      <c r="P26" s="2"/>
      <c r="Q26" s="2"/>
      <c r="R26" s="2"/>
      <c r="S26" s="2"/>
      <c r="T26" s="2"/>
      <c r="U26" s="2"/>
      <c r="V26" s="2"/>
      <c r="W26" s="2"/>
      <c r="X26" s="2"/>
      <c r="Y26" s="2"/>
      <c r="Z26" s="2"/>
      <c r="AA26" s="2"/>
    </row>
    <row r="27" spans="1:27" ht="12.75" customHeight="1" thickBot="1">
      <c r="B27" s="2"/>
      <c r="C27" s="2"/>
      <c r="D27" s="2"/>
      <c r="E27" s="2"/>
      <c r="F27" s="2"/>
      <c r="G27" s="2"/>
      <c r="H27" s="2"/>
      <c r="I27" s="2"/>
      <c r="J27" s="2"/>
      <c r="K27" s="2"/>
      <c r="L27" s="2" t="s">
        <v>26</v>
      </c>
      <c r="M27" s="2"/>
      <c r="N27" s="2">
        <v>4</v>
      </c>
      <c r="O27" s="2"/>
      <c r="P27" s="2"/>
      <c r="Q27" s="2"/>
      <c r="R27" s="2"/>
      <c r="S27" s="2"/>
      <c r="T27" s="2"/>
      <c r="U27" s="2"/>
      <c r="V27" s="2"/>
      <c r="W27" s="2"/>
      <c r="X27" s="2"/>
      <c r="Y27" s="2"/>
      <c r="Z27" s="2"/>
      <c r="AA27" s="2"/>
    </row>
    <row r="28" spans="1:27" ht="12.75" customHeight="1" thickBot="1">
      <c r="A28" s="2"/>
      <c r="B28" s="2"/>
      <c r="C28" s="2"/>
      <c r="D28" s="2"/>
      <c r="E28" s="2"/>
      <c r="F28" s="2"/>
      <c r="G28" s="2"/>
      <c r="H28" s="2"/>
      <c r="I28" s="2"/>
      <c r="J28" s="2"/>
      <c r="K28" s="2"/>
      <c r="L28" s="2" t="s">
        <v>29</v>
      </c>
      <c r="M28" s="2"/>
      <c r="N28" s="2">
        <v>4</v>
      </c>
      <c r="O28" s="2"/>
      <c r="P28" s="2"/>
      <c r="Q28" s="2"/>
      <c r="R28" s="2"/>
      <c r="S28" s="2"/>
      <c r="T28" s="2"/>
      <c r="U28" s="2"/>
      <c r="V28" s="2"/>
      <c r="W28" s="2"/>
      <c r="X28" s="2"/>
      <c r="Y28" s="2"/>
      <c r="Z28" s="2"/>
      <c r="AA28" s="2"/>
    </row>
    <row r="29" spans="1:27" ht="12.75" customHeight="1" thickBot="1">
      <c r="A29" s="2"/>
      <c r="B29" s="2"/>
      <c r="C29" s="11" t="s">
        <v>38</v>
      </c>
      <c r="D29" s="13">
        <v>0.14127300000000001</v>
      </c>
      <c r="E29" s="9" t="e">
        <f t="array" ref="E29">VLOOKUP(D1,'[1]Baseline Productivity '!A4:D8,4,FALSE)</f>
        <v>#N/A</v>
      </c>
      <c r="F29" s="2"/>
      <c r="G29" s="2"/>
      <c r="H29" s="2"/>
      <c r="I29" s="2"/>
      <c r="J29" s="2"/>
      <c r="K29" s="2"/>
      <c r="L29" s="2" t="s">
        <v>32</v>
      </c>
      <c r="M29" s="2"/>
      <c r="N29" s="2">
        <v>4</v>
      </c>
      <c r="O29" s="2"/>
      <c r="P29" s="2"/>
      <c r="Q29" s="2"/>
      <c r="R29" s="2"/>
      <c r="S29" s="2"/>
      <c r="T29" s="2"/>
      <c r="U29" s="2"/>
      <c r="V29" s="2"/>
      <c r="W29" s="2"/>
      <c r="X29" s="2"/>
      <c r="Y29" s="2"/>
      <c r="Z29" s="2"/>
      <c r="AA29" s="2"/>
    </row>
    <row r="30" spans="1:27" ht="12.75" customHeight="1" thickBot="1">
      <c r="A30" s="2"/>
      <c r="B30" s="2"/>
      <c r="C30" s="14" t="s">
        <v>0</v>
      </c>
      <c r="D30" s="15">
        <v>11</v>
      </c>
      <c r="E30" s="16" t="s">
        <v>76</v>
      </c>
      <c r="F30" s="2"/>
      <c r="G30" s="2"/>
      <c r="H30" s="2"/>
      <c r="I30" s="2"/>
      <c r="J30" s="2"/>
      <c r="K30" s="2"/>
      <c r="L30" s="2" t="s">
        <v>35</v>
      </c>
      <c r="M30" s="2"/>
      <c r="N30" s="2">
        <v>4</v>
      </c>
      <c r="O30" s="2"/>
      <c r="P30" s="2"/>
      <c r="Q30" s="2"/>
      <c r="R30" s="2"/>
      <c r="S30" s="2"/>
      <c r="T30" s="2"/>
      <c r="U30" s="2"/>
      <c r="V30" s="2"/>
      <c r="W30" s="2"/>
      <c r="X30" s="2"/>
      <c r="Y30" s="2"/>
      <c r="Z30" s="2"/>
      <c r="AA30" s="2"/>
    </row>
    <row r="31" spans="1:27" ht="12.75" customHeight="1" thickBot="1">
      <c r="A31" s="2"/>
      <c r="B31" s="2"/>
      <c r="C31" s="11" t="s">
        <v>77</v>
      </c>
      <c r="D31" s="17">
        <f>D30/D29</f>
        <v>77.863427548080665</v>
      </c>
      <c r="E31" s="9" t="s">
        <v>78</v>
      </c>
      <c r="F31" s="2"/>
      <c r="G31" s="2"/>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
      <c r="B32" s="2"/>
      <c r="C32" s="11" t="s">
        <v>79</v>
      </c>
      <c r="D32" s="13">
        <f>0.65+0.01*$N$31</f>
        <v>1.01</v>
      </c>
      <c r="E32" s="2"/>
      <c r="F32" s="2"/>
      <c r="G32" s="2"/>
      <c r="H32" s="2"/>
      <c r="I32" s="2"/>
      <c r="J32" s="2"/>
      <c r="K32" s="2"/>
      <c r="L32" s="2"/>
      <c r="M32" s="2"/>
      <c r="N32" s="2"/>
      <c r="O32" s="2"/>
      <c r="P32" s="2"/>
      <c r="Q32" s="2"/>
      <c r="R32" s="2"/>
      <c r="S32" s="2"/>
      <c r="T32" s="2"/>
      <c r="U32" s="2"/>
      <c r="V32" s="2"/>
      <c r="W32" s="2"/>
      <c r="X32" s="2"/>
      <c r="Y32" s="2"/>
      <c r="Z32" s="2"/>
      <c r="AA32" s="2"/>
    </row>
    <row r="33" spans="1:27" ht="12.75" customHeight="1" thickBot="1">
      <c r="A33" s="2"/>
      <c r="B33" s="2"/>
      <c r="C33" s="11" t="s">
        <v>80</v>
      </c>
      <c r="D33" s="18">
        <v>0.05</v>
      </c>
      <c r="E33" s="2"/>
      <c r="F33" s="2"/>
      <c r="G33" s="2"/>
      <c r="H33" s="2"/>
      <c r="I33" s="2"/>
      <c r="J33" s="2"/>
      <c r="K33" s="2"/>
      <c r="L33" s="2"/>
      <c r="M33" s="2"/>
      <c r="N33" s="2"/>
      <c r="O33" s="2"/>
      <c r="P33" s="2"/>
      <c r="Q33" s="2"/>
      <c r="R33" s="2"/>
      <c r="S33" s="2"/>
      <c r="T33" s="2"/>
      <c r="U33" s="2"/>
      <c r="V33" s="2"/>
      <c r="W33" s="2"/>
      <c r="X33" s="2"/>
      <c r="Y33" s="2"/>
      <c r="Z33" s="2"/>
      <c r="AA33" s="2"/>
    </row>
    <row r="34" spans="1:27" ht="12.75" customHeight="1" thickBot="1">
      <c r="A34" s="2"/>
      <c r="B34" s="2"/>
      <c r="C34" s="11" t="s">
        <v>81</v>
      </c>
      <c r="D34" s="18">
        <v>0.1</v>
      </c>
      <c r="E34" s="2"/>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11" t="s">
        <v>82</v>
      </c>
      <c r="D35" s="19">
        <f>((D31*D32)+(D31*D32*D33))+((D31*D32)+(D31*D32*D33))*D34</f>
        <v>90.831581406213516</v>
      </c>
      <c r="E35" s="9" t="s">
        <v>78</v>
      </c>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2" t="s">
        <v>83</v>
      </c>
      <c r="D37" s="20">
        <f>D35+5%*D35</f>
        <v>95.373160476524191</v>
      </c>
      <c r="E37" s="20">
        <f>D35-5%*D35</f>
        <v>86.290002335902841</v>
      </c>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ustomHeight="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ustomHeight="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ustomHeight="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ustomHeight="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ustomHeight="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ustomHeight="1"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thickBot="1">
      <c r="A997" s="2"/>
      <c r="B997" s="2"/>
      <c r="C997" s="2"/>
      <c r="D997" s="2"/>
      <c r="E997" s="2"/>
      <c r="F997" s="2"/>
      <c r="G997" s="2"/>
    </row>
    <row r="998" spans="1:27" thickBot="1">
      <c r="A998" s="2"/>
      <c r="B998" s="2"/>
      <c r="C998" s="2"/>
      <c r="D998" s="2"/>
      <c r="E998" s="2"/>
      <c r="F998" s="2"/>
      <c r="G998" s="2"/>
    </row>
    <row r="999" spans="1:27" thickBot="1">
      <c r="A999" s="2"/>
      <c r="B999" s="2"/>
      <c r="C999" s="2"/>
      <c r="D999" s="2"/>
      <c r="E999" s="2"/>
      <c r="F999" s="2"/>
      <c r="G999" s="2"/>
    </row>
    <row r="1000" spans="1:27" thickBot="1">
      <c r="A1000" s="2"/>
    </row>
    <row r="1001" spans="1:27" thickBot="1">
      <c r="A1001" s="2"/>
    </row>
  </sheetData>
  <mergeCells count="1">
    <mergeCell ref="L13:N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8"/>
  <sheetViews>
    <sheetView topLeftCell="A8" zoomScale="70" zoomScaleNormal="70" workbookViewId="0">
      <selection activeCell="G12" sqref="G12"/>
    </sheetView>
  </sheetViews>
  <sheetFormatPr defaultColWidth="14.36328125" defaultRowHeight="15" thickBottom="1"/>
  <cols>
    <col min="1" max="1" width="24" style="3" customWidth="1"/>
    <col min="2" max="2" width="34.6328125" style="3" customWidth="1"/>
    <col min="3" max="3" width="34.54296875" style="3" customWidth="1"/>
    <col min="4" max="4" width="16.08984375" style="3" customWidth="1"/>
    <col min="5" max="5" width="10.0898437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2.81640625"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104"/>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104"/>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104"/>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104"/>
      <c r="F5" s="104"/>
      <c r="G5" s="4"/>
      <c r="H5" s="103" t="s">
        <v>64</v>
      </c>
      <c r="I5" s="104"/>
      <c r="J5" s="104"/>
      <c r="K5" s="2"/>
      <c r="O5" s="2"/>
      <c r="P5" s="2"/>
      <c r="Q5" s="2"/>
      <c r="R5" s="2"/>
      <c r="S5" s="2"/>
      <c r="T5" s="2"/>
      <c r="U5" s="2"/>
      <c r="V5" s="2"/>
      <c r="W5" s="2"/>
      <c r="X5" s="2"/>
      <c r="Y5" s="2"/>
      <c r="Z5" s="2"/>
      <c r="AA5" s="2"/>
    </row>
    <row r="6" spans="1:27" ht="12.75" customHeight="1" thickBot="1">
      <c r="A6" s="1" t="s">
        <v>65</v>
      </c>
      <c r="B6" s="1" t="s">
        <v>66</v>
      </c>
      <c r="C6" s="1"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1"/>
      <c r="B7" s="1"/>
      <c r="C7" s="1"/>
      <c r="D7" s="1">
        <v>1</v>
      </c>
      <c r="E7" s="1">
        <v>3</v>
      </c>
      <c r="F7" s="1">
        <v>5</v>
      </c>
      <c r="G7" s="1"/>
      <c r="H7" s="6"/>
      <c r="I7" s="6"/>
      <c r="J7" s="6"/>
      <c r="K7" s="2"/>
      <c r="O7" s="2"/>
      <c r="P7" s="2"/>
      <c r="Q7" s="2"/>
      <c r="R7" s="2"/>
      <c r="S7" s="2"/>
      <c r="T7" s="2"/>
      <c r="U7" s="2"/>
      <c r="V7" s="2"/>
      <c r="W7" s="2"/>
      <c r="X7" s="2"/>
      <c r="Y7" s="2"/>
      <c r="Z7" s="2"/>
      <c r="AA7" s="2"/>
    </row>
    <row r="8" spans="1:27" ht="91.15" customHeight="1" thickBot="1">
      <c r="A8" s="107" t="s">
        <v>39</v>
      </c>
      <c r="B8" s="106" t="s">
        <v>3</v>
      </c>
      <c r="C8" s="106" t="s">
        <v>322</v>
      </c>
      <c r="D8" s="106">
        <v>1</v>
      </c>
      <c r="E8" s="106">
        <v>1</v>
      </c>
      <c r="F8" s="106">
        <v>0</v>
      </c>
      <c r="G8" s="106">
        <v>4</v>
      </c>
      <c r="H8" s="8"/>
      <c r="I8" s="8"/>
      <c r="J8" s="8"/>
      <c r="K8" s="2"/>
      <c r="L8" s="24"/>
      <c r="M8" s="2"/>
      <c r="N8" s="24"/>
      <c r="O8" s="2"/>
      <c r="P8" s="2"/>
      <c r="Q8" s="2"/>
      <c r="R8" s="2"/>
      <c r="S8" s="2"/>
      <c r="T8" s="2"/>
      <c r="U8" s="2"/>
      <c r="V8" s="2"/>
      <c r="W8" s="2"/>
      <c r="X8" s="2"/>
      <c r="Y8" s="2"/>
      <c r="Z8" s="2"/>
      <c r="AA8" s="2"/>
    </row>
    <row r="9" spans="1:27" ht="118.9" customHeight="1" thickBot="1">
      <c r="A9" s="107" t="s">
        <v>40</v>
      </c>
      <c r="B9" s="106" t="s">
        <v>41</v>
      </c>
      <c r="C9" s="106" t="s">
        <v>323</v>
      </c>
      <c r="D9" s="106">
        <v>0</v>
      </c>
      <c r="E9" s="106">
        <v>1</v>
      </c>
      <c r="F9" s="106">
        <v>0</v>
      </c>
      <c r="G9" s="106">
        <v>3</v>
      </c>
      <c r="H9" s="8"/>
      <c r="I9" s="8"/>
      <c r="J9" s="8"/>
      <c r="K9" s="2"/>
      <c r="L9" s="24"/>
      <c r="M9" s="2"/>
      <c r="N9" s="24"/>
      <c r="O9" s="2"/>
      <c r="P9" s="2"/>
      <c r="Q9" s="2"/>
      <c r="R9" s="2"/>
      <c r="S9" s="2"/>
      <c r="T9" s="2"/>
      <c r="U9" s="2"/>
      <c r="V9" s="2"/>
      <c r="W9" s="2"/>
      <c r="X9" s="2"/>
      <c r="Y9" s="2"/>
      <c r="Z9" s="2"/>
      <c r="AA9" s="2"/>
    </row>
    <row r="10" spans="1:27" ht="109.9" customHeight="1" thickBot="1">
      <c r="A10" s="107" t="s">
        <v>42</v>
      </c>
      <c r="B10" s="106" t="s">
        <v>324</v>
      </c>
      <c r="C10" s="106" t="s">
        <v>325</v>
      </c>
      <c r="D10" s="106">
        <v>0</v>
      </c>
      <c r="E10" s="106">
        <v>0</v>
      </c>
      <c r="F10" s="106">
        <v>1</v>
      </c>
      <c r="G10" s="106">
        <v>5</v>
      </c>
      <c r="H10" s="8"/>
      <c r="I10" s="8"/>
      <c r="J10" s="8"/>
      <c r="K10" s="2"/>
      <c r="L10" s="24"/>
      <c r="M10" s="2"/>
      <c r="N10" s="24"/>
      <c r="O10" s="2"/>
      <c r="P10" s="2"/>
      <c r="Q10" s="2"/>
      <c r="R10" s="2"/>
      <c r="S10" s="2"/>
      <c r="T10" s="2"/>
      <c r="U10" s="2"/>
      <c r="V10" s="2"/>
      <c r="W10" s="2"/>
      <c r="X10" s="2"/>
      <c r="Y10" s="2"/>
      <c r="Z10" s="2"/>
      <c r="AA10" s="2"/>
    </row>
    <row r="11" spans="1:27" ht="67.5" customHeight="1" thickBot="1">
      <c r="A11" s="106"/>
      <c r="B11" s="106"/>
      <c r="C11" s="106"/>
      <c r="D11" s="106"/>
      <c r="E11" s="106"/>
      <c r="F11" s="106"/>
      <c r="G11" s="106"/>
      <c r="H11" s="8" t="e">
        <f t="array" ref="H11">VLOOKUP(C12,[1]Guidelines!$B$4:$E$19,2,FALSE)</f>
        <v>#N/A</v>
      </c>
      <c r="I11" s="8" t="e">
        <f t="array" ref="I11">VLOOKUP(C12,[1]Guidelines!$B$4:$E$19,3,FALSE)</f>
        <v>#N/A</v>
      </c>
      <c r="J11" s="8" t="e">
        <f t="array" ref="J11">VLOOKUP(C12,[1]Guidelines!$B$4:$E$19,4,FALSE)</f>
        <v>#N/A</v>
      </c>
      <c r="K11" s="2"/>
      <c r="L11" s="24"/>
      <c r="M11" s="2"/>
      <c r="N11" s="24"/>
      <c r="O11" s="2"/>
      <c r="P11" s="2"/>
      <c r="Q11" s="2"/>
      <c r="R11" s="2"/>
      <c r="S11" s="2"/>
      <c r="T11" s="2"/>
      <c r="U11" s="2"/>
      <c r="V11" s="2"/>
      <c r="W11" s="2"/>
      <c r="X11" s="2"/>
      <c r="Y11" s="2"/>
      <c r="Z11" s="2"/>
      <c r="AA11" s="2"/>
    </row>
    <row r="12" spans="1:27" ht="52.15" customHeight="1" thickBot="1">
      <c r="A12" s="107" t="s">
        <v>326</v>
      </c>
      <c r="B12" s="107" t="s">
        <v>327</v>
      </c>
      <c r="C12" s="107" t="s">
        <v>272</v>
      </c>
      <c r="D12" s="107">
        <v>1</v>
      </c>
      <c r="E12" s="107">
        <v>2</v>
      </c>
      <c r="F12" s="107">
        <v>1</v>
      </c>
      <c r="G12" s="107">
        <v>10</v>
      </c>
      <c r="H12" s="8"/>
      <c r="I12" s="8"/>
      <c r="J12" s="8"/>
      <c r="K12" s="2"/>
      <c r="L12" s="24"/>
      <c r="M12" s="2"/>
      <c r="N12" s="24"/>
      <c r="O12" s="2"/>
      <c r="P12" s="2"/>
      <c r="Q12" s="2"/>
      <c r="R12" s="2"/>
      <c r="S12" s="2"/>
      <c r="T12" s="2"/>
      <c r="U12" s="2"/>
      <c r="V12" s="2"/>
      <c r="W12" s="2"/>
      <c r="X12" s="2"/>
      <c r="Y12" s="2"/>
      <c r="Z12" s="2"/>
      <c r="AA12" s="2"/>
    </row>
    <row r="13" spans="1:27" ht="28.5" customHeight="1" thickBot="1">
      <c r="A13" s="24"/>
      <c r="B13" s="24"/>
      <c r="C13" s="10"/>
      <c r="D13" s="25"/>
      <c r="E13" s="25"/>
      <c r="F13" s="25"/>
      <c r="G13" s="2"/>
      <c r="H13" s="8" t="e">
        <f t="array" ref="H13">VLOOKUP(#REF!,[1]Guidelines!$B$4:$E$19,2,FALSE)</f>
        <v>#REF!</v>
      </c>
      <c r="I13" s="8" t="e">
        <f t="array" ref="I13">VLOOKUP(#REF!,[1]Guidelines!$B$4:$E$19,3,FALSE)</f>
        <v>#REF!</v>
      </c>
      <c r="J13" s="8" t="e">
        <f t="array" ref="J13">VLOOKUP(#REF!,[1]Guidelines!$B$4:$E$19,4,FALSE)</f>
        <v>#REF!</v>
      </c>
      <c r="K13" s="2"/>
      <c r="L13" s="114" t="s">
        <v>73</v>
      </c>
      <c r="M13" s="115"/>
      <c r="N13" s="115"/>
      <c r="O13" s="2"/>
      <c r="P13" s="2"/>
      <c r="Q13" s="2"/>
      <c r="R13" s="2"/>
      <c r="S13" s="2"/>
      <c r="T13" s="2"/>
      <c r="U13" s="2"/>
      <c r="V13" s="2"/>
      <c r="W13" s="2"/>
      <c r="X13" s="2"/>
      <c r="Y13" s="2"/>
      <c r="Z13" s="2"/>
      <c r="AA13" s="2"/>
    </row>
    <row r="14" spans="1:27" s="32" customFormat="1" ht="28.5" customHeight="1" thickBot="1">
      <c r="A14" s="26" t="s">
        <v>84</v>
      </c>
      <c r="B14" s="26" t="s">
        <v>86</v>
      </c>
      <c r="C14" s="7"/>
      <c r="D14" s="25"/>
      <c r="E14" s="25"/>
      <c r="F14" s="25"/>
      <c r="G14" s="2"/>
      <c r="H14" s="31"/>
      <c r="I14" s="31"/>
      <c r="J14" s="31"/>
      <c r="K14" s="28"/>
      <c r="L14" s="9" t="s">
        <v>33</v>
      </c>
      <c r="M14" s="2"/>
      <c r="N14" s="9" t="s">
        <v>34</v>
      </c>
      <c r="O14" s="28"/>
      <c r="P14" s="28"/>
      <c r="Q14" s="28"/>
      <c r="R14" s="28"/>
      <c r="S14" s="28"/>
      <c r="T14" s="28"/>
      <c r="U14" s="28"/>
      <c r="V14" s="28"/>
      <c r="W14" s="28"/>
      <c r="X14" s="28"/>
      <c r="Y14" s="28"/>
      <c r="Z14" s="28"/>
      <c r="AA14" s="28"/>
    </row>
    <row r="15" spans="1:27" s="32" customFormat="1" ht="28.5" customHeight="1" thickBot="1">
      <c r="A15" s="11"/>
      <c r="B15" s="2"/>
      <c r="C15" s="11"/>
      <c r="D15" s="12"/>
      <c r="E15" s="12"/>
      <c r="F15" s="12" t="s">
        <v>74</v>
      </c>
      <c r="G15" s="9">
        <v>10</v>
      </c>
      <c r="H15" s="31"/>
      <c r="I15" s="31"/>
      <c r="J15" s="31"/>
      <c r="K15" s="28"/>
      <c r="L15" s="2" t="s">
        <v>4</v>
      </c>
      <c r="M15" s="2"/>
      <c r="N15" s="2">
        <v>0</v>
      </c>
      <c r="O15" s="28"/>
      <c r="P15" s="28"/>
      <c r="Q15" s="28"/>
      <c r="R15" s="28"/>
      <c r="S15" s="28"/>
      <c r="T15" s="28"/>
      <c r="U15" s="28"/>
      <c r="V15" s="28"/>
      <c r="W15" s="28"/>
      <c r="X15" s="28"/>
      <c r="Y15" s="28"/>
      <c r="Z15" s="28"/>
      <c r="AA15" s="28"/>
    </row>
    <row r="16" spans="1:27" s="32" customFormat="1" ht="28.5" customHeight="1" thickBot="1">
      <c r="A16" s="27"/>
      <c r="B16" s="28"/>
      <c r="C16" s="27"/>
      <c r="D16" s="29"/>
      <c r="E16" s="29"/>
      <c r="F16" s="29"/>
      <c r="G16" s="30"/>
      <c r="H16" s="31"/>
      <c r="I16" s="31"/>
      <c r="J16" s="31"/>
      <c r="K16" s="28"/>
      <c r="L16" s="2" t="s">
        <v>6</v>
      </c>
      <c r="M16" s="2"/>
      <c r="N16" s="2">
        <v>0</v>
      </c>
      <c r="O16" s="28"/>
      <c r="P16" s="28"/>
      <c r="Q16" s="28"/>
      <c r="R16" s="28"/>
      <c r="S16" s="28"/>
      <c r="T16" s="28"/>
      <c r="U16" s="28"/>
      <c r="V16" s="28"/>
      <c r="W16" s="28"/>
      <c r="X16" s="28"/>
      <c r="Y16" s="28"/>
      <c r="Z16" s="28"/>
      <c r="AA16" s="28"/>
    </row>
    <row r="17" spans="1:27" s="32" customFormat="1" ht="28.5" customHeight="1" thickBot="1">
      <c r="A17" s="27"/>
      <c r="B17" s="28"/>
      <c r="C17" s="27"/>
      <c r="D17" s="29"/>
      <c r="E17" s="29"/>
      <c r="F17" s="29"/>
      <c r="G17" s="30"/>
      <c r="H17" s="31"/>
      <c r="I17" s="31"/>
      <c r="J17" s="31"/>
      <c r="K17" s="28"/>
      <c r="L17" s="2"/>
      <c r="M17" s="2"/>
      <c r="N17" s="2"/>
      <c r="O17" s="28"/>
      <c r="P17" s="28"/>
      <c r="Q17" s="28"/>
      <c r="R17" s="28"/>
      <c r="S17" s="28"/>
      <c r="T17" s="28"/>
      <c r="U17" s="28"/>
      <c r="V17" s="28"/>
      <c r="W17" s="28"/>
      <c r="X17" s="28"/>
      <c r="Y17" s="28"/>
      <c r="Z17" s="28"/>
      <c r="AA17" s="28"/>
    </row>
    <row r="18" spans="1:27" s="32" customFormat="1" ht="28.5" customHeight="1" thickBot="1">
      <c r="A18" s="27"/>
      <c r="B18" s="28"/>
      <c r="C18" s="27"/>
      <c r="D18" s="29"/>
      <c r="E18" s="29"/>
      <c r="F18" s="29"/>
      <c r="G18" s="30"/>
      <c r="H18" s="31"/>
      <c r="I18" s="31"/>
      <c r="J18" s="31"/>
      <c r="K18" s="28"/>
      <c r="L18" s="2" t="s">
        <v>8</v>
      </c>
      <c r="M18" s="2"/>
      <c r="N18" s="2">
        <v>0</v>
      </c>
      <c r="O18" s="28"/>
      <c r="P18" s="28"/>
      <c r="Q18" s="28"/>
      <c r="R18" s="28"/>
      <c r="S18" s="28"/>
      <c r="T18" s="28"/>
      <c r="U18" s="28"/>
      <c r="V18" s="28"/>
      <c r="W18" s="28"/>
      <c r="X18" s="28"/>
      <c r="Y18" s="28"/>
      <c r="Z18" s="28"/>
      <c r="AA18" s="28"/>
    </row>
    <row r="19" spans="1:27" s="32" customFormat="1" ht="28.5" customHeight="1" thickBot="1">
      <c r="A19" s="27"/>
      <c r="B19" s="28"/>
      <c r="C19" s="27"/>
      <c r="D19" s="29"/>
      <c r="E19" s="29"/>
      <c r="F19" s="29"/>
      <c r="G19" s="30"/>
      <c r="H19" s="31"/>
      <c r="I19" s="31"/>
      <c r="J19" s="31"/>
      <c r="K19" s="28"/>
      <c r="L19" s="2" t="s">
        <v>10</v>
      </c>
      <c r="M19" s="2"/>
      <c r="N19" s="2">
        <v>3</v>
      </c>
      <c r="O19" s="28"/>
      <c r="P19" s="28"/>
      <c r="Q19" s="28"/>
      <c r="R19" s="28"/>
      <c r="S19" s="28"/>
      <c r="T19" s="28"/>
      <c r="U19" s="28"/>
      <c r="V19" s="28"/>
      <c r="W19" s="28"/>
      <c r="X19" s="28"/>
      <c r="Y19" s="28"/>
      <c r="Z19" s="28"/>
      <c r="AA19" s="28"/>
    </row>
    <row r="20" spans="1:27" s="32" customFormat="1" ht="28.5" customHeight="1" thickBot="1">
      <c r="A20" s="27"/>
      <c r="B20" s="28"/>
      <c r="C20" s="27"/>
      <c r="D20" s="29"/>
      <c r="E20" s="29"/>
      <c r="F20" s="29"/>
      <c r="G20" s="30"/>
      <c r="H20" s="31"/>
      <c r="I20" s="31"/>
      <c r="J20" s="31"/>
      <c r="K20" s="28"/>
      <c r="L20" s="2" t="s">
        <v>13</v>
      </c>
      <c r="M20" s="2"/>
      <c r="N20" s="2">
        <v>4</v>
      </c>
      <c r="O20" s="28"/>
      <c r="P20" s="28"/>
      <c r="Q20" s="28"/>
      <c r="R20" s="28"/>
      <c r="S20" s="28"/>
      <c r="T20" s="28"/>
      <c r="U20" s="28"/>
      <c r="V20" s="28"/>
      <c r="W20" s="28"/>
      <c r="X20" s="28"/>
      <c r="Y20" s="28"/>
      <c r="Z20" s="28"/>
      <c r="AA20" s="28"/>
    </row>
    <row r="21" spans="1:27" s="32" customFormat="1" ht="28.5" customHeight="1" thickBot="1">
      <c r="A21" s="27"/>
      <c r="B21" s="28"/>
      <c r="C21" s="27"/>
      <c r="D21" s="29"/>
      <c r="E21" s="29"/>
      <c r="F21" s="29"/>
      <c r="G21" s="30"/>
      <c r="H21" s="31"/>
      <c r="I21" s="31"/>
      <c r="J21" s="31"/>
      <c r="K21" s="28"/>
      <c r="L21" s="2"/>
      <c r="M21" s="2"/>
      <c r="N21" s="2"/>
      <c r="O21" s="28"/>
      <c r="P21" s="28"/>
      <c r="Q21" s="28"/>
      <c r="R21" s="28"/>
      <c r="S21" s="28"/>
      <c r="T21" s="28"/>
      <c r="U21" s="28"/>
      <c r="V21" s="28"/>
      <c r="W21" s="28"/>
      <c r="X21" s="28"/>
      <c r="Y21" s="28"/>
      <c r="Z21" s="28"/>
      <c r="AA21" s="28"/>
    </row>
    <row r="22" spans="1:27" ht="12.75" customHeight="1" thickBot="1">
      <c r="A22" s="27"/>
      <c r="B22" s="28"/>
      <c r="C22" s="27"/>
      <c r="D22" s="29"/>
      <c r="E22" s="29"/>
      <c r="F22" s="29"/>
      <c r="G22" s="30"/>
      <c r="H22" s="8" t="e">
        <f t="array" ref="H22">VLOOKUP(#REF!,[1]Guidelines!$B$4:$E$19,2,FALSE)</f>
        <v>#REF!</v>
      </c>
      <c r="I22" s="8" t="e">
        <f t="array" ref="I22">VLOOKUP(#REF!,[1]Guidelines!$B$4:$E$19,3,FALSE)</f>
        <v>#REF!</v>
      </c>
      <c r="J22" s="8" t="e">
        <f t="array" ref="J22">VLOOKUP(#REF!,[1]Guidelines!$B$4:$E$19,4,FALSE)</f>
        <v>#REF!</v>
      </c>
      <c r="K22" s="2"/>
      <c r="L22" s="2" t="s">
        <v>15</v>
      </c>
      <c r="M22" s="2"/>
      <c r="N22" s="2">
        <v>3</v>
      </c>
      <c r="O22" s="2"/>
      <c r="P22" s="2"/>
      <c r="Q22" s="2"/>
      <c r="R22" s="2"/>
      <c r="S22" s="2"/>
      <c r="T22" s="2"/>
      <c r="U22" s="2"/>
      <c r="V22" s="2"/>
      <c r="W22" s="2"/>
      <c r="X22" s="2"/>
      <c r="Y22" s="2"/>
      <c r="Z22" s="2"/>
      <c r="AA22" s="2"/>
    </row>
    <row r="23" spans="1:27" ht="12.75" customHeight="1" thickBot="1">
      <c r="A23" s="27"/>
      <c r="B23" s="28"/>
      <c r="C23" s="27"/>
      <c r="D23" s="29"/>
      <c r="E23" s="29"/>
      <c r="F23" s="29"/>
      <c r="G23" s="30"/>
      <c r="H23" s="2"/>
      <c r="I23" s="2"/>
      <c r="J23" s="2"/>
      <c r="K23" s="2"/>
      <c r="L23" s="2" t="s">
        <v>17</v>
      </c>
      <c r="M23" s="2"/>
      <c r="N23" s="2">
        <v>2</v>
      </c>
      <c r="O23" s="2"/>
      <c r="P23" s="2"/>
      <c r="Q23" s="2"/>
      <c r="R23" s="2"/>
      <c r="S23" s="2"/>
      <c r="T23" s="2"/>
      <c r="U23" s="2"/>
      <c r="V23" s="2"/>
      <c r="W23" s="2"/>
      <c r="X23" s="2"/>
      <c r="Y23" s="2"/>
      <c r="Z23" s="2"/>
      <c r="AA23" s="2"/>
    </row>
    <row r="24" spans="1:27" ht="12.75" customHeight="1" thickBot="1">
      <c r="B24" s="2"/>
      <c r="C24" s="2"/>
      <c r="D24" s="2"/>
      <c r="E24" s="2"/>
      <c r="F24" s="2"/>
      <c r="G24" s="2"/>
      <c r="H24" s="2"/>
      <c r="I24" s="2"/>
      <c r="J24" s="2"/>
      <c r="K24" s="2"/>
      <c r="L24" s="2" t="s">
        <v>19</v>
      </c>
      <c r="M24" s="2"/>
      <c r="N24" s="2">
        <v>1</v>
      </c>
      <c r="O24" s="2"/>
      <c r="P24" s="2"/>
      <c r="Q24" s="2"/>
      <c r="R24" s="2"/>
      <c r="S24" s="2"/>
      <c r="T24" s="2"/>
      <c r="U24" s="2"/>
      <c r="V24" s="2"/>
      <c r="W24" s="2"/>
      <c r="X24" s="2"/>
      <c r="Y24" s="2"/>
      <c r="Z24" s="2"/>
      <c r="AA24" s="2"/>
    </row>
    <row r="25" spans="1:27" ht="12.75" customHeight="1" thickBot="1">
      <c r="A25" s="2"/>
      <c r="B25" s="2"/>
      <c r="C25" s="2"/>
      <c r="D25" s="2"/>
      <c r="E25" s="2"/>
      <c r="F25" s="2"/>
      <c r="G25" s="2"/>
      <c r="H25" s="2"/>
      <c r="I25" s="2"/>
      <c r="J25" s="2"/>
      <c r="K25" s="2"/>
      <c r="L25" s="2" t="s">
        <v>21</v>
      </c>
      <c r="M25" s="2"/>
      <c r="N25" s="2">
        <v>3</v>
      </c>
      <c r="O25" s="2"/>
      <c r="P25" s="2"/>
      <c r="Q25" s="2"/>
      <c r="R25" s="2"/>
      <c r="S25" s="2"/>
      <c r="T25" s="2"/>
      <c r="U25" s="2"/>
      <c r="V25" s="2"/>
      <c r="W25" s="2"/>
      <c r="X25" s="2"/>
      <c r="Y25" s="2"/>
      <c r="Z25" s="2"/>
      <c r="AA25" s="2"/>
    </row>
    <row r="26" spans="1:27" ht="12.75" customHeight="1" thickBot="1">
      <c r="A26" s="2"/>
      <c r="B26" s="2"/>
      <c r="C26" s="11" t="s">
        <v>38</v>
      </c>
      <c r="D26" s="13">
        <v>0.14127300000000001</v>
      </c>
      <c r="E26" s="9" t="e">
        <f t="array" ref="E26">VLOOKUP(D1,'[1]Baseline Productivity '!A4:D8,4,FALSE)</f>
        <v>#N/A</v>
      </c>
      <c r="F26" s="2"/>
      <c r="G26" s="2"/>
      <c r="H26" s="2"/>
      <c r="I26" s="2"/>
      <c r="J26" s="2"/>
      <c r="K26" s="2"/>
      <c r="L26" s="2" t="s">
        <v>23</v>
      </c>
      <c r="M26" s="2"/>
      <c r="N26" s="2">
        <v>4</v>
      </c>
      <c r="O26" s="2"/>
      <c r="P26" s="2"/>
      <c r="Q26" s="2"/>
      <c r="R26" s="2"/>
      <c r="S26" s="2"/>
      <c r="T26" s="2"/>
      <c r="U26" s="2"/>
      <c r="V26" s="2"/>
      <c r="W26" s="2"/>
      <c r="X26" s="2"/>
      <c r="Y26" s="2"/>
      <c r="Z26" s="2"/>
      <c r="AA26" s="2"/>
    </row>
    <row r="27" spans="1:27" ht="12.75" customHeight="1" thickBot="1">
      <c r="A27" s="2"/>
      <c r="B27" s="2"/>
      <c r="C27" s="14" t="s">
        <v>0</v>
      </c>
      <c r="D27" s="15">
        <v>10</v>
      </c>
      <c r="E27" s="16" t="s">
        <v>76</v>
      </c>
      <c r="F27" s="2"/>
      <c r="G27" s="2"/>
      <c r="H27" s="2"/>
      <c r="I27" s="2"/>
      <c r="J27" s="2"/>
      <c r="K27" s="2"/>
      <c r="L27" s="2" t="s">
        <v>26</v>
      </c>
      <c r="M27" s="2"/>
      <c r="N27" s="2">
        <v>4</v>
      </c>
      <c r="O27" s="2"/>
      <c r="P27" s="2"/>
      <c r="Q27" s="2"/>
      <c r="R27" s="2"/>
      <c r="S27" s="2"/>
      <c r="T27" s="2"/>
      <c r="U27" s="2"/>
      <c r="V27" s="2"/>
      <c r="W27" s="2"/>
      <c r="X27" s="2"/>
      <c r="Y27" s="2"/>
      <c r="Z27" s="2"/>
      <c r="AA27" s="2"/>
    </row>
    <row r="28" spans="1:27" ht="12.75" customHeight="1" thickBot="1">
      <c r="A28" s="2"/>
      <c r="B28" s="2"/>
      <c r="C28" s="11" t="s">
        <v>77</v>
      </c>
      <c r="D28" s="17">
        <f>D27/D26</f>
        <v>70.78493413461878</v>
      </c>
      <c r="E28" s="9" t="s">
        <v>78</v>
      </c>
      <c r="F28" s="2"/>
      <c r="G28" s="2"/>
      <c r="H28" s="2"/>
      <c r="I28" s="2"/>
      <c r="J28" s="2"/>
      <c r="K28" s="2"/>
      <c r="L28" s="2" t="s">
        <v>29</v>
      </c>
      <c r="M28" s="2"/>
      <c r="N28" s="2">
        <v>4</v>
      </c>
      <c r="O28" s="2"/>
      <c r="P28" s="2"/>
      <c r="Q28" s="2"/>
      <c r="R28" s="2"/>
      <c r="S28" s="2"/>
      <c r="T28" s="2"/>
      <c r="U28" s="2"/>
      <c r="V28" s="2"/>
      <c r="W28" s="2"/>
      <c r="X28" s="2"/>
      <c r="Y28" s="2"/>
      <c r="Z28" s="2"/>
      <c r="AA28" s="2"/>
    </row>
    <row r="29" spans="1:27" ht="12.75" customHeight="1" thickBot="1">
      <c r="A29" s="2"/>
      <c r="B29" s="2"/>
      <c r="C29" s="11" t="s">
        <v>79</v>
      </c>
      <c r="D29" s="13">
        <f>0.65+0.01*$N$31</f>
        <v>1.01</v>
      </c>
      <c r="E29" s="2"/>
      <c r="F29" s="2"/>
      <c r="G29" s="2"/>
      <c r="H29" s="2"/>
      <c r="I29" s="2"/>
      <c r="J29" s="2"/>
      <c r="K29" s="2"/>
      <c r="L29" s="2" t="s">
        <v>32</v>
      </c>
      <c r="M29" s="2"/>
      <c r="N29" s="2">
        <v>4</v>
      </c>
      <c r="O29" s="2"/>
      <c r="P29" s="2"/>
      <c r="Q29" s="2"/>
      <c r="R29" s="2"/>
      <c r="S29" s="2"/>
      <c r="T29" s="2"/>
      <c r="U29" s="2"/>
      <c r="V29" s="2"/>
      <c r="W29" s="2"/>
      <c r="X29" s="2"/>
      <c r="Y29" s="2"/>
      <c r="Z29" s="2"/>
      <c r="AA29" s="2"/>
    </row>
    <row r="30" spans="1:27" ht="12.75" customHeight="1" thickBot="1">
      <c r="A30" s="2"/>
      <c r="B30" s="2"/>
      <c r="C30" s="11" t="s">
        <v>80</v>
      </c>
      <c r="D30" s="18">
        <v>0.05</v>
      </c>
      <c r="E30" s="2"/>
      <c r="F30" s="2"/>
      <c r="G30" s="2"/>
      <c r="H30" s="2"/>
      <c r="I30" s="2"/>
      <c r="J30" s="2"/>
      <c r="K30" s="2"/>
      <c r="L30" s="2" t="s">
        <v>35</v>
      </c>
      <c r="M30" s="2"/>
      <c r="N30" s="2">
        <v>4</v>
      </c>
      <c r="O30" s="2"/>
      <c r="P30" s="2"/>
      <c r="Q30" s="2"/>
      <c r="R30" s="2"/>
      <c r="S30" s="2"/>
      <c r="T30" s="2"/>
      <c r="U30" s="2"/>
      <c r="V30" s="2"/>
      <c r="W30" s="2"/>
      <c r="X30" s="2"/>
      <c r="Y30" s="2"/>
      <c r="Z30" s="2"/>
      <c r="AA30" s="2"/>
    </row>
    <row r="31" spans="1:27" ht="12.75" customHeight="1" thickBot="1">
      <c r="A31" s="2"/>
      <c r="B31" s="2"/>
      <c r="C31" s="11" t="s">
        <v>81</v>
      </c>
      <c r="D31" s="18">
        <v>0.1</v>
      </c>
      <c r="E31" s="2"/>
      <c r="F31" s="2"/>
      <c r="G31" s="2"/>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
      <c r="B32" s="2"/>
      <c r="C32" s="11" t="s">
        <v>82</v>
      </c>
      <c r="D32" s="19">
        <f>((D28*D29)+(D28*D29*D30))+((D28*D29)+(D28*D29*D30))*D31</f>
        <v>82.574164914739541</v>
      </c>
      <c r="E32" s="9" t="s">
        <v>78</v>
      </c>
      <c r="F32" s="2"/>
      <c r="G32" s="2"/>
      <c r="H32" s="2"/>
      <c r="I32" s="2"/>
      <c r="J32" s="2"/>
      <c r="K32" s="2"/>
      <c r="L32" s="2"/>
      <c r="M32" s="2"/>
      <c r="N32" s="2"/>
      <c r="O32" s="2"/>
      <c r="P32" s="2"/>
      <c r="Q32" s="2"/>
      <c r="R32" s="2"/>
      <c r="S32" s="2"/>
      <c r="T32" s="2"/>
      <c r="U32" s="2"/>
      <c r="V32" s="2"/>
      <c r="W32" s="2"/>
      <c r="X32" s="2"/>
      <c r="Y32" s="2"/>
      <c r="Z32" s="2"/>
      <c r="AA32" s="2"/>
    </row>
    <row r="33" spans="1:27" ht="12.75" customHeight="1" thickBo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ustomHeight="1" thickBot="1">
      <c r="A34" s="2"/>
      <c r="B34" s="2"/>
      <c r="C34" s="2" t="s">
        <v>83</v>
      </c>
      <c r="D34" s="20">
        <f>D32+5%*D32</f>
        <v>86.702873160476514</v>
      </c>
      <c r="E34" s="20">
        <f>D32-5%*D32</f>
        <v>78.445456669002567</v>
      </c>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ustomHeight="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ustomHeight="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ustomHeight="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ustomHeight="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ustomHeight="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ustomHeight="1"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thickBot="1">
      <c r="A997" s="2"/>
    </row>
    <row r="998" spans="1:27" thickBot="1">
      <c r="A998" s="2"/>
    </row>
  </sheetData>
  <mergeCells count="1">
    <mergeCell ref="L13:N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8"/>
  <sheetViews>
    <sheetView topLeftCell="A15" zoomScale="70" zoomScaleNormal="70" workbookViewId="0">
      <selection activeCell="D27" sqref="D27"/>
    </sheetView>
  </sheetViews>
  <sheetFormatPr defaultColWidth="14.36328125" defaultRowHeight="15" thickBottom="1"/>
  <cols>
    <col min="1" max="1" width="24" style="3" customWidth="1"/>
    <col min="2" max="2" width="34.6328125" style="3" customWidth="1"/>
    <col min="3" max="3" width="34.54296875" style="3" customWidth="1"/>
    <col min="4" max="4" width="16.08984375" style="3" customWidth="1"/>
    <col min="5" max="5" width="10.08984375" style="3" customWidth="1"/>
    <col min="6" max="6" width="15.81640625" style="3" customWidth="1"/>
    <col min="7" max="7" width="7.36328125" style="3" customWidth="1"/>
    <col min="8" max="8" width="12.81640625" style="3" hidden="1" customWidth="1"/>
    <col min="9" max="9" width="14.36328125" style="3" hidden="1" customWidth="1"/>
    <col min="10" max="10" width="14.08984375" style="3" hidden="1" customWidth="1"/>
    <col min="11" max="11" width="8.7265625" style="3" customWidth="1"/>
    <col min="12" max="12" width="22.81640625" style="3" customWidth="1"/>
    <col min="13" max="13" width="8.984375E-2" style="3" customWidth="1"/>
    <col min="14" max="14" width="10.08984375" style="3" customWidth="1"/>
    <col min="15" max="27" width="8.7265625" style="3" customWidth="1"/>
    <col min="28" max="16384" width="14.36328125" style="3"/>
  </cols>
  <sheetData>
    <row r="1" spans="1:27" ht="14.25" customHeight="1" thickBot="1">
      <c r="A1" s="1"/>
      <c r="B1" s="1" t="s">
        <v>59</v>
      </c>
      <c r="C1" s="104"/>
      <c r="D1" s="2" t="s">
        <v>60</v>
      </c>
      <c r="E1" s="2"/>
      <c r="F1" s="2"/>
      <c r="G1" s="2"/>
      <c r="H1" s="2"/>
      <c r="I1" s="2"/>
      <c r="J1" s="2"/>
      <c r="K1" s="2"/>
      <c r="L1" s="2"/>
      <c r="M1" s="2"/>
      <c r="N1" s="2"/>
      <c r="O1" s="2"/>
      <c r="P1" s="2"/>
      <c r="Q1" s="2"/>
      <c r="R1" s="2"/>
      <c r="S1" s="2"/>
      <c r="T1" s="2"/>
      <c r="U1" s="2"/>
      <c r="V1" s="2"/>
      <c r="W1" s="2"/>
      <c r="X1" s="2"/>
      <c r="Y1" s="2"/>
      <c r="Z1" s="2"/>
      <c r="AA1" s="2"/>
    </row>
    <row r="2" spans="1:27" ht="14.25" customHeight="1" thickBot="1">
      <c r="A2" s="1"/>
      <c r="B2" s="1" t="s">
        <v>61</v>
      </c>
      <c r="C2" s="104"/>
      <c r="D2" s="2"/>
      <c r="E2" s="2"/>
      <c r="F2" s="2"/>
      <c r="G2" s="2"/>
      <c r="H2" s="2"/>
      <c r="I2" s="2"/>
      <c r="J2" s="2"/>
      <c r="K2" s="2"/>
      <c r="L2" s="2"/>
      <c r="M2" s="2"/>
      <c r="N2" s="2"/>
      <c r="O2" s="2"/>
      <c r="P2" s="2"/>
      <c r="Q2" s="2"/>
      <c r="R2" s="2"/>
      <c r="S2" s="2"/>
      <c r="T2" s="2"/>
      <c r="U2" s="2"/>
      <c r="V2" s="2"/>
      <c r="W2" s="2"/>
      <c r="X2" s="2"/>
      <c r="Y2" s="2"/>
      <c r="Z2" s="2"/>
      <c r="AA2" s="2"/>
    </row>
    <row r="3" spans="1:27" ht="14.25" customHeight="1" thickBot="1">
      <c r="A3" s="1"/>
      <c r="B3" s="1" t="s">
        <v>62</v>
      </c>
      <c r="C3" s="104"/>
      <c r="D3" s="2"/>
      <c r="E3" s="2"/>
      <c r="F3" s="2"/>
      <c r="G3" s="2"/>
      <c r="H3" s="2"/>
      <c r="I3" s="2"/>
      <c r="J3" s="2"/>
      <c r="K3" s="2"/>
      <c r="L3" s="2"/>
      <c r="M3" s="2"/>
      <c r="N3" s="2"/>
      <c r="O3" s="2"/>
      <c r="P3" s="2"/>
      <c r="Q3" s="2"/>
      <c r="R3" s="2"/>
      <c r="S3" s="2"/>
      <c r="T3" s="2"/>
      <c r="U3" s="2"/>
      <c r="V3" s="2"/>
      <c r="W3" s="2"/>
      <c r="X3" s="2"/>
      <c r="Y3" s="2"/>
      <c r="Z3" s="2"/>
      <c r="AA3" s="2"/>
    </row>
    <row r="4" spans="1:27" ht="12.75" customHeight="1" thickBot="1">
      <c r="A4" s="2"/>
      <c r="B4" s="2"/>
      <c r="C4" s="2"/>
      <c r="D4" s="2"/>
      <c r="E4" s="2"/>
      <c r="F4" s="2"/>
      <c r="G4" s="2"/>
      <c r="H4" s="2"/>
      <c r="I4" s="2"/>
      <c r="J4" s="2"/>
      <c r="K4" s="2"/>
      <c r="L4" s="2"/>
      <c r="M4" s="2"/>
      <c r="N4" s="2"/>
      <c r="O4" s="2"/>
      <c r="P4" s="2"/>
      <c r="Q4" s="2"/>
      <c r="R4" s="2"/>
      <c r="S4" s="2"/>
      <c r="T4" s="2"/>
      <c r="U4" s="2"/>
      <c r="V4" s="2"/>
      <c r="W4" s="2"/>
      <c r="X4" s="2"/>
      <c r="Y4" s="2"/>
      <c r="Z4" s="2"/>
      <c r="AA4" s="2"/>
    </row>
    <row r="5" spans="1:27" ht="12.75" customHeight="1" thickBot="1">
      <c r="A5" s="2"/>
      <c r="B5" s="2"/>
      <c r="C5" s="2"/>
      <c r="D5" s="22" t="s">
        <v>63</v>
      </c>
      <c r="E5" s="104"/>
      <c r="F5" s="104"/>
      <c r="G5" s="4"/>
      <c r="H5" s="103" t="s">
        <v>64</v>
      </c>
      <c r="I5" s="104"/>
      <c r="J5" s="104"/>
      <c r="K5" s="2"/>
      <c r="O5" s="2"/>
      <c r="P5" s="2"/>
      <c r="Q5" s="2"/>
      <c r="R5" s="2"/>
      <c r="S5" s="2"/>
      <c r="T5" s="2"/>
      <c r="U5" s="2"/>
      <c r="V5" s="2"/>
      <c r="W5" s="2"/>
      <c r="X5" s="2"/>
      <c r="Y5" s="2"/>
      <c r="Z5" s="2"/>
      <c r="AA5" s="2"/>
    </row>
    <row r="6" spans="1:27" ht="12.75" customHeight="1" thickBot="1">
      <c r="A6" s="1" t="s">
        <v>65</v>
      </c>
      <c r="B6" s="1" t="s">
        <v>66</v>
      </c>
      <c r="C6" s="1" t="s">
        <v>67</v>
      </c>
      <c r="D6" s="1" t="s">
        <v>68</v>
      </c>
      <c r="E6" s="1" t="s">
        <v>69</v>
      </c>
      <c r="F6" s="1" t="s">
        <v>70</v>
      </c>
      <c r="G6" s="1" t="s">
        <v>71</v>
      </c>
      <c r="H6" s="5" t="s">
        <v>68</v>
      </c>
      <c r="I6" s="5" t="s">
        <v>69</v>
      </c>
      <c r="J6" s="5" t="s">
        <v>70</v>
      </c>
      <c r="K6" s="2"/>
      <c r="O6" s="2"/>
      <c r="P6" s="2"/>
      <c r="Q6" s="2"/>
      <c r="R6" s="2"/>
      <c r="S6" s="2"/>
      <c r="T6" s="2"/>
      <c r="U6" s="2"/>
      <c r="V6" s="2"/>
      <c r="W6" s="2"/>
      <c r="X6" s="2"/>
      <c r="Y6" s="2"/>
      <c r="Z6" s="2"/>
      <c r="AA6" s="2"/>
    </row>
    <row r="7" spans="1:27" ht="12.75" customHeight="1" thickBot="1">
      <c r="A7" s="1"/>
      <c r="B7" s="1"/>
      <c r="C7" s="1"/>
      <c r="D7" s="1">
        <v>1</v>
      </c>
      <c r="E7" s="1">
        <v>3</v>
      </c>
      <c r="F7" s="1">
        <v>5</v>
      </c>
      <c r="G7" s="1"/>
      <c r="H7" s="6"/>
      <c r="I7" s="6"/>
      <c r="J7" s="6"/>
      <c r="K7" s="2"/>
      <c r="O7" s="2"/>
      <c r="P7" s="2"/>
      <c r="Q7" s="2"/>
      <c r="R7" s="2"/>
      <c r="S7" s="2"/>
      <c r="T7" s="2"/>
      <c r="U7" s="2"/>
      <c r="V7" s="2"/>
      <c r="W7" s="2"/>
      <c r="X7" s="2"/>
      <c r="Y7" s="2"/>
      <c r="Z7" s="2"/>
      <c r="AA7" s="2"/>
    </row>
    <row r="8" spans="1:27" ht="91.15" customHeight="1" thickBot="1">
      <c r="A8" s="107" t="s">
        <v>43</v>
      </c>
      <c r="B8" s="106" t="s">
        <v>328</v>
      </c>
      <c r="C8" s="106" t="s">
        <v>329</v>
      </c>
      <c r="D8" s="106">
        <v>1</v>
      </c>
      <c r="E8" s="106">
        <v>2</v>
      </c>
      <c r="F8" s="106">
        <v>0</v>
      </c>
      <c r="G8" s="106">
        <v>7</v>
      </c>
      <c r="H8" s="8"/>
      <c r="I8" s="8"/>
      <c r="J8" s="8"/>
      <c r="K8" s="2"/>
      <c r="L8" s="24"/>
      <c r="M8" s="2"/>
      <c r="N8" s="24"/>
      <c r="O8" s="2"/>
      <c r="P8" s="2"/>
      <c r="Q8" s="2"/>
      <c r="R8" s="2"/>
      <c r="S8" s="2"/>
      <c r="T8" s="2"/>
      <c r="U8" s="2"/>
      <c r="V8" s="2"/>
      <c r="W8" s="2"/>
      <c r="X8" s="2"/>
      <c r="Y8" s="2"/>
      <c r="Z8" s="2"/>
      <c r="AA8" s="2"/>
    </row>
    <row r="9" spans="1:27" ht="118.9" customHeight="1" thickBot="1">
      <c r="A9" s="107" t="s">
        <v>43</v>
      </c>
      <c r="B9" s="106" t="s">
        <v>330</v>
      </c>
      <c r="C9" s="106" t="s">
        <v>331</v>
      </c>
      <c r="D9" s="106">
        <v>0</v>
      </c>
      <c r="E9" s="106">
        <v>2</v>
      </c>
      <c r="F9" s="106">
        <v>1</v>
      </c>
      <c r="G9" s="106">
        <v>11</v>
      </c>
      <c r="H9" s="8"/>
      <c r="I9" s="8"/>
      <c r="J9" s="8"/>
      <c r="K9" s="2"/>
      <c r="L9" s="24"/>
      <c r="M9" s="2"/>
      <c r="N9" s="24"/>
      <c r="O9" s="2"/>
      <c r="P9" s="2"/>
      <c r="Q9" s="2"/>
      <c r="R9" s="2"/>
      <c r="S9" s="2"/>
      <c r="T9" s="2"/>
      <c r="U9" s="2"/>
      <c r="V9" s="2"/>
      <c r="W9" s="2"/>
      <c r="X9" s="2"/>
      <c r="Y9" s="2"/>
      <c r="Z9" s="2"/>
      <c r="AA9" s="2"/>
    </row>
    <row r="10" spans="1:27" ht="109.9" customHeight="1" thickBot="1">
      <c r="A10" s="107" t="s">
        <v>43</v>
      </c>
      <c r="B10" s="106" t="s">
        <v>332</v>
      </c>
      <c r="C10" s="106" t="s">
        <v>333</v>
      </c>
      <c r="D10" s="106">
        <v>1</v>
      </c>
      <c r="E10" s="106">
        <v>2</v>
      </c>
      <c r="F10" s="106">
        <v>0</v>
      </c>
      <c r="G10" s="106">
        <v>7</v>
      </c>
      <c r="H10" s="8"/>
      <c r="I10" s="8"/>
      <c r="J10" s="8"/>
      <c r="K10" s="2"/>
      <c r="L10" s="24"/>
      <c r="M10" s="2"/>
      <c r="N10" s="24"/>
      <c r="O10" s="2"/>
      <c r="P10" s="2"/>
      <c r="Q10" s="2"/>
      <c r="R10" s="2"/>
      <c r="S10" s="2"/>
      <c r="T10" s="2"/>
      <c r="U10" s="2"/>
      <c r="V10" s="2"/>
      <c r="W10" s="2"/>
      <c r="X10" s="2"/>
      <c r="Y10" s="2"/>
      <c r="Z10" s="2"/>
      <c r="AA10" s="2"/>
    </row>
    <row r="11" spans="1:27" ht="67.5" customHeight="1" thickBot="1">
      <c r="A11" s="107" t="s">
        <v>43</v>
      </c>
      <c r="B11" s="106" t="s">
        <v>334</v>
      </c>
      <c r="C11" s="106" t="s">
        <v>333</v>
      </c>
      <c r="D11" s="106">
        <v>1</v>
      </c>
      <c r="E11" s="106">
        <v>2</v>
      </c>
      <c r="F11" s="106">
        <v>0</v>
      </c>
      <c r="G11" s="106">
        <v>7</v>
      </c>
      <c r="H11" s="8" t="e">
        <f t="array" ref="H11">VLOOKUP(C19,[1]Guidelines!$B$4:$E$19,2,FALSE)</f>
        <v>#VALUE!</v>
      </c>
      <c r="I11" s="8" t="e">
        <f t="array" ref="I11">VLOOKUP(C19,[1]Guidelines!$B$4:$E$19,3,FALSE)</f>
        <v>#VALUE!</v>
      </c>
      <c r="J11" s="8" t="e">
        <f t="array" ref="J11">VLOOKUP(C19,[1]Guidelines!$B$4:$E$19,4,FALSE)</f>
        <v>#VALUE!</v>
      </c>
      <c r="K11" s="2"/>
      <c r="L11" s="24"/>
      <c r="M11" s="2"/>
      <c r="N11" s="24"/>
      <c r="O11" s="2"/>
      <c r="P11" s="2"/>
      <c r="Q11" s="2"/>
      <c r="R11" s="2"/>
      <c r="S11" s="2"/>
      <c r="T11" s="2"/>
      <c r="U11" s="2"/>
      <c r="V11" s="2"/>
      <c r="W11" s="2"/>
      <c r="X11" s="2"/>
      <c r="Y11" s="2"/>
      <c r="Z11" s="2"/>
      <c r="AA11" s="2"/>
    </row>
    <row r="12" spans="1:27" ht="52.15" customHeight="1" thickBot="1">
      <c r="A12" s="107" t="s">
        <v>44</v>
      </c>
      <c r="B12" s="106" t="s">
        <v>335</v>
      </c>
      <c r="C12" s="106" t="s">
        <v>336</v>
      </c>
      <c r="D12" s="106">
        <v>0</v>
      </c>
      <c r="E12" s="106">
        <v>2</v>
      </c>
      <c r="F12" s="106">
        <v>1</v>
      </c>
      <c r="G12" s="106">
        <v>11</v>
      </c>
      <c r="H12" s="8"/>
      <c r="I12" s="8"/>
      <c r="J12" s="8"/>
      <c r="K12" s="2"/>
      <c r="L12" s="24"/>
      <c r="M12" s="2"/>
      <c r="N12" s="24"/>
      <c r="O12" s="2"/>
      <c r="P12" s="2"/>
      <c r="Q12" s="2"/>
      <c r="R12" s="2"/>
      <c r="S12" s="2"/>
      <c r="T12" s="2"/>
      <c r="U12" s="2"/>
      <c r="V12" s="2"/>
      <c r="W12" s="2"/>
      <c r="X12" s="2"/>
      <c r="Y12" s="2"/>
      <c r="Z12" s="2"/>
      <c r="AA12" s="2"/>
    </row>
    <row r="13" spans="1:27" ht="28.5" customHeight="1" thickBot="1">
      <c r="A13" s="107" t="s">
        <v>44</v>
      </c>
      <c r="B13" s="106" t="s">
        <v>337</v>
      </c>
      <c r="C13" s="106" t="s">
        <v>338</v>
      </c>
      <c r="D13" s="106">
        <v>1</v>
      </c>
      <c r="E13" s="106">
        <v>2</v>
      </c>
      <c r="F13" s="106">
        <v>0</v>
      </c>
      <c r="G13" s="106">
        <v>7</v>
      </c>
      <c r="H13" s="8" t="e">
        <f t="array" ref="H13">VLOOKUP(#REF!,[1]Guidelines!$B$4:$E$19,2,FALSE)</f>
        <v>#REF!</v>
      </c>
      <c r="I13" s="8" t="e">
        <f t="array" ref="I13">VLOOKUP(#REF!,[1]Guidelines!$B$4:$E$19,3,FALSE)</f>
        <v>#REF!</v>
      </c>
      <c r="J13" s="8" t="e">
        <f t="array" ref="J13">VLOOKUP(#REF!,[1]Guidelines!$B$4:$E$19,4,FALSE)</f>
        <v>#REF!</v>
      </c>
      <c r="K13" s="2"/>
      <c r="L13" s="114" t="s">
        <v>73</v>
      </c>
      <c r="M13" s="115"/>
      <c r="N13" s="115"/>
      <c r="O13" s="2"/>
      <c r="P13" s="2"/>
      <c r="Q13" s="2"/>
      <c r="R13" s="2"/>
      <c r="S13" s="2"/>
      <c r="T13" s="2"/>
      <c r="U13" s="2"/>
      <c r="V13" s="2"/>
      <c r="W13" s="2"/>
      <c r="X13" s="2"/>
      <c r="Y13" s="2"/>
      <c r="Z13" s="2"/>
      <c r="AA13" s="2"/>
    </row>
    <row r="14" spans="1:27" s="32" customFormat="1" ht="28.5" customHeight="1" thickBot="1">
      <c r="A14" s="107" t="s">
        <v>44</v>
      </c>
      <c r="B14" s="106" t="s">
        <v>339</v>
      </c>
      <c r="C14" s="106" t="s">
        <v>338</v>
      </c>
      <c r="D14" s="106">
        <v>1</v>
      </c>
      <c r="E14" s="106">
        <v>2</v>
      </c>
      <c r="F14" s="106">
        <v>0</v>
      </c>
      <c r="G14" s="106">
        <v>7</v>
      </c>
      <c r="H14" s="31"/>
      <c r="I14" s="31"/>
      <c r="J14" s="31"/>
      <c r="K14" s="28"/>
      <c r="L14" s="9" t="s">
        <v>33</v>
      </c>
      <c r="M14" s="2"/>
      <c r="N14" s="9" t="s">
        <v>34</v>
      </c>
      <c r="O14" s="28"/>
      <c r="P14" s="28"/>
      <c r="Q14" s="28"/>
      <c r="R14" s="28"/>
      <c r="S14" s="28"/>
      <c r="T14" s="28"/>
      <c r="U14" s="28"/>
      <c r="V14" s="28"/>
      <c r="W14" s="28"/>
      <c r="X14" s="28"/>
      <c r="Y14" s="28"/>
      <c r="Z14" s="28"/>
      <c r="AA14" s="28"/>
    </row>
    <row r="15" spans="1:27" s="32" customFormat="1" ht="28.5" customHeight="1" thickBot="1">
      <c r="A15" s="107" t="s">
        <v>44</v>
      </c>
      <c r="B15" s="106" t="s">
        <v>340</v>
      </c>
      <c r="C15" s="106" t="s">
        <v>341</v>
      </c>
      <c r="D15" s="106">
        <v>0</v>
      </c>
      <c r="E15" s="106">
        <v>2</v>
      </c>
      <c r="F15" s="106">
        <v>0</v>
      </c>
      <c r="G15" s="106">
        <v>6</v>
      </c>
      <c r="H15" s="31"/>
      <c r="I15" s="31"/>
      <c r="J15" s="31"/>
      <c r="K15" s="28"/>
      <c r="L15" s="2" t="s">
        <v>4</v>
      </c>
      <c r="M15" s="2"/>
      <c r="N15" s="2">
        <v>0</v>
      </c>
      <c r="O15" s="28"/>
      <c r="P15" s="28"/>
      <c r="Q15" s="28"/>
      <c r="R15" s="28"/>
      <c r="S15" s="28"/>
      <c r="T15" s="28"/>
      <c r="U15" s="28"/>
      <c r="V15" s="28"/>
      <c r="W15" s="28"/>
      <c r="X15" s="28"/>
      <c r="Y15" s="28"/>
      <c r="Z15" s="28"/>
      <c r="AA15" s="28"/>
    </row>
    <row r="16" spans="1:27" s="32" customFormat="1" ht="28.5" customHeight="1" thickBot="1">
      <c r="A16" s="107" t="s">
        <v>45</v>
      </c>
      <c r="B16" s="106" t="s">
        <v>342</v>
      </c>
      <c r="C16" s="106" t="s">
        <v>343</v>
      </c>
      <c r="D16" s="106">
        <v>1</v>
      </c>
      <c r="E16" s="106">
        <v>1</v>
      </c>
      <c r="F16" s="106">
        <v>1</v>
      </c>
      <c r="G16" s="106">
        <v>8</v>
      </c>
      <c r="H16" s="31"/>
      <c r="I16" s="31"/>
      <c r="J16" s="31"/>
      <c r="K16" s="28"/>
      <c r="L16" s="2" t="s">
        <v>6</v>
      </c>
      <c r="M16" s="2"/>
      <c r="N16" s="2">
        <v>0</v>
      </c>
      <c r="O16" s="28"/>
      <c r="P16" s="28"/>
      <c r="Q16" s="28"/>
      <c r="R16" s="28"/>
      <c r="S16" s="28"/>
      <c r="T16" s="28"/>
      <c r="U16" s="28"/>
      <c r="V16" s="28"/>
      <c r="W16" s="28"/>
      <c r="X16" s="28"/>
      <c r="Y16" s="28"/>
      <c r="Z16" s="28"/>
      <c r="AA16" s="28"/>
    </row>
    <row r="17" spans="1:27" s="32" customFormat="1" ht="28.5" customHeight="1" thickBot="1">
      <c r="A17" s="107" t="s">
        <v>46</v>
      </c>
      <c r="B17" s="106" t="s">
        <v>344</v>
      </c>
      <c r="C17" s="106" t="s">
        <v>345</v>
      </c>
      <c r="D17" s="106">
        <v>0</v>
      </c>
      <c r="E17" s="106">
        <v>1</v>
      </c>
      <c r="F17" s="106">
        <v>1</v>
      </c>
      <c r="G17" s="106">
        <v>8</v>
      </c>
      <c r="H17" s="31"/>
      <c r="I17" s="31"/>
      <c r="J17" s="31"/>
      <c r="K17" s="28"/>
      <c r="L17" s="2"/>
      <c r="M17" s="2"/>
      <c r="N17" s="2"/>
      <c r="O17" s="28"/>
      <c r="P17" s="28"/>
      <c r="Q17" s="28"/>
      <c r="R17" s="28"/>
      <c r="S17" s="28"/>
      <c r="T17" s="28"/>
      <c r="U17" s="28"/>
      <c r="V17" s="28"/>
      <c r="W17" s="28"/>
      <c r="X17" s="28"/>
      <c r="Y17" s="28"/>
      <c r="Z17" s="28"/>
      <c r="AA17" s="28"/>
    </row>
    <row r="18" spans="1:27" s="32" customFormat="1" ht="28.5" customHeight="1" thickBot="1">
      <c r="A18" s="107" t="s">
        <v>46</v>
      </c>
      <c r="B18" s="106" t="s">
        <v>346</v>
      </c>
      <c r="C18" s="106" t="s">
        <v>347</v>
      </c>
      <c r="D18" s="106">
        <v>0</v>
      </c>
      <c r="E18" s="106">
        <v>1</v>
      </c>
      <c r="F18" s="106">
        <v>0</v>
      </c>
      <c r="G18" s="106">
        <v>3</v>
      </c>
      <c r="H18" s="31"/>
      <c r="I18" s="31"/>
      <c r="J18" s="31"/>
      <c r="K18" s="28"/>
      <c r="L18" s="2" t="s">
        <v>8</v>
      </c>
      <c r="M18" s="2"/>
      <c r="N18" s="2">
        <v>0</v>
      </c>
      <c r="O18" s="28"/>
      <c r="P18" s="28"/>
      <c r="Q18" s="28"/>
      <c r="R18" s="28"/>
      <c r="S18" s="28"/>
      <c r="T18" s="28"/>
      <c r="U18" s="28"/>
      <c r="V18" s="28"/>
      <c r="W18" s="28"/>
      <c r="X18" s="28"/>
      <c r="Y18" s="28"/>
      <c r="Z18" s="28"/>
      <c r="AA18" s="28"/>
    </row>
    <row r="19" spans="1:27" s="32" customFormat="1" ht="28.5" customHeight="1" thickBot="1">
      <c r="A19" s="107" t="s">
        <v>47</v>
      </c>
      <c r="B19" s="106" t="s">
        <v>348</v>
      </c>
      <c r="C19" s="106" t="s">
        <v>349</v>
      </c>
      <c r="D19" s="106">
        <v>0</v>
      </c>
      <c r="E19" s="106">
        <v>1</v>
      </c>
      <c r="F19" s="106">
        <v>1</v>
      </c>
      <c r="G19" s="106">
        <v>8</v>
      </c>
      <c r="H19" s="31"/>
      <c r="I19" s="31"/>
      <c r="J19" s="31"/>
      <c r="K19" s="28"/>
      <c r="L19" s="2" t="s">
        <v>10</v>
      </c>
      <c r="M19" s="2"/>
      <c r="N19" s="2">
        <v>3</v>
      </c>
      <c r="O19" s="28"/>
      <c r="P19" s="28"/>
      <c r="Q19" s="28"/>
      <c r="R19" s="28"/>
      <c r="S19" s="28"/>
      <c r="T19" s="28"/>
      <c r="U19" s="28"/>
      <c r="V19" s="28"/>
      <c r="W19" s="28"/>
      <c r="X19" s="28"/>
      <c r="Y19" s="28"/>
      <c r="Z19" s="28"/>
      <c r="AA19" s="28"/>
    </row>
    <row r="20" spans="1:27" s="32" customFormat="1" ht="28.5" customHeight="1" thickBot="1">
      <c r="A20" s="107" t="s">
        <v>48</v>
      </c>
      <c r="B20" s="106" t="s">
        <v>350</v>
      </c>
      <c r="C20" s="106" t="s">
        <v>351</v>
      </c>
      <c r="D20" s="106">
        <v>0</v>
      </c>
      <c r="E20" s="106">
        <v>0</v>
      </c>
      <c r="F20" s="106">
        <v>1</v>
      </c>
      <c r="G20" s="106">
        <v>5</v>
      </c>
      <c r="H20" s="31"/>
      <c r="I20" s="31"/>
      <c r="J20" s="31"/>
      <c r="K20" s="28"/>
      <c r="L20" s="2" t="s">
        <v>13</v>
      </c>
      <c r="M20" s="2"/>
      <c r="N20" s="2">
        <v>4</v>
      </c>
      <c r="O20" s="28"/>
      <c r="P20" s="28"/>
      <c r="Q20" s="28"/>
      <c r="R20" s="28"/>
      <c r="S20" s="28"/>
      <c r="T20" s="28"/>
      <c r="U20" s="28"/>
      <c r="V20" s="28"/>
      <c r="W20" s="28"/>
      <c r="X20" s="28"/>
      <c r="Y20" s="28"/>
      <c r="Z20" s="28"/>
      <c r="AA20" s="28"/>
    </row>
    <row r="21" spans="1:27" s="32" customFormat="1" ht="28.5" customHeight="1" thickBot="1">
      <c r="A21" s="107" t="s">
        <v>46</v>
      </c>
      <c r="B21" s="106" t="s">
        <v>352</v>
      </c>
      <c r="C21" s="106" t="s">
        <v>353</v>
      </c>
      <c r="D21" s="106">
        <v>0</v>
      </c>
      <c r="E21" s="106">
        <v>1</v>
      </c>
      <c r="F21" s="106">
        <v>0</v>
      </c>
      <c r="G21" s="106">
        <v>3</v>
      </c>
      <c r="H21" s="31"/>
      <c r="I21" s="31"/>
      <c r="J21" s="31"/>
      <c r="K21" s="28"/>
      <c r="L21" s="2"/>
      <c r="M21" s="2"/>
      <c r="N21" s="2"/>
      <c r="O21" s="28"/>
      <c r="P21" s="28"/>
      <c r="Q21" s="28"/>
      <c r="R21" s="28"/>
      <c r="S21" s="28"/>
      <c r="T21" s="28"/>
      <c r="U21" s="28"/>
      <c r="V21" s="28"/>
      <c r="W21" s="28"/>
      <c r="X21" s="28"/>
      <c r="Y21" s="28"/>
      <c r="Z21" s="28"/>
      <c r="AA21" s="28"/>
    </row>
    <row r="22" spans="1:27" ht="12.75" customHeight="1" thickBot="1">
      <c r="A22" s="107" t="s">
        <v>44</v>
      </c>
      <c r="B22" s="106" t="s">
        <v>354</v>
      </c>
      <c r="C22" s="106" t="s">
        <v>355</v>
      </c>
      <c r="D22" s="106">
        <v>0</v>
      </c>
      <c r="E22" s="106">
        <v>1</v>
      </c>
      <c r="F22" s="106">
        <v>0</v>
      </c>
      <c r="G22" s="106">
        <v>3</v>
      </c>
      <c r="H22" s="8" t="e">
        <f t="array" ref="H22">VLOOKUP(#REF!,[1]Guidelines!$B$4:$E$19,2,FALSE)</f>
        <v>#REF!</v>
      </c>
      <c r="I22" s="8" t="e">
        <f t="array" ref="I22">VLOOKUP(#REF!,[1]Guidelines!$B$4:$E$19,3,FALSE)</f>
        <v>#REF!</v>
      </c>
      <c r="J22" s="8" t="e">
        <f t="array" ref="J22">VLOOKUP(#REF!,[1]Guidelines!$B$4:$E$19,4,FALSE)</f>
        <v>#REF!</v>
      </c>
      <c r="K22" s="2"/>
      <c r="L22" s="2" t="s">
        <v>15</v>
      </c>
      <c r="M22" s="2"/>
      <c r="N22" s="2">
        <v>3</v>
      </c>
      <c r="O22" s="2"/>
      <c r="P22" s="2"/>
      <c r="Q22" s="2"/>
      <c r="R22" s="2"/>
      <c r="S22" s="2"/>
      <c r="T22" s="2"/>
      <c r="U22" s="2"/>
      <c r="V22" s="2"/>
      <c r="W22" s="2"/>
      <c r="X22" s="2"/>
      <c r="Y22" s="2"/>
      <c r="Z22" s="2"/>
      <c r="AA22" s="2"/>
    </row>
    <row r="23" spans="1:27" ht="12.75" customHeight="1" thickBot="1">
      <c r="A23" s="106"/>
      <c r="B23" s="106"/>
      <c r="C23" s="106"/>
      <c r="D23" s="106"/>
      <c r="E23" s="106"/>
      <c r="F23" s="106"/>
      <c r="G23" s="106"/>
      <c r="H23" s="2"/>
      <c r="I23" s="2"/>
      <c r="J23" s="2"/>
      <c r="K23" s="2"/>
      <c r="L23" s="2" t="s">
        <v>17</v>
      </c>
      <c r="M23" s="2"/>
      <c r="N23" s="2">
        <v>2</v>
      </c>
      <c r="O23" s="2"/>
      <c r="P23" s="2"/>
      <c r="Q23" s="2"/>
      <c r="R23" s="2"/>
      <c r="S23" s="2"/>
      <c r="T23" s="2"/>
      <c r="U23" s="2"/>
      <c r="V23" s="2"/>
      <c r="W23" s="2"/>
      <c r="X23" s="2"/>
      <c r="Y23" s="2"/>
      <c r="Z23" s="2"/>
      <c r="AA23" s="2"/>
    </row>
    <row r="24" spans="1:27" ht="12.75" customHeight="1" thickBot="1">
      <c r="A24" s="107" t="s">
        <v>356</v>
      </c>
      <c r="B24" s="107" t="s">
        <v>357</v>
      </c>
      <c r="C24" s="107" t="s">
        <v>272</v>
      </c>
      <c r="D24" s="107">
        <v>7</v>
      </c>
      <c r="E24" s="107">
        <v>24</v>
      </c>
      <c r="F24" s="107">
        <v>6</v>
      </c>
      <c r="G24" s="107">
        <v>81</v>
      </c>
      <c r="H24" s="2"/>
      <c r="I24" s="2"/>
      <c r="J24" s="2"/>
      <c r="K24" s="2"/>
      <c r="L24" s="2" t="s">
        <v>19</v>
      </c>
      <c r="M24" s="2"/>
      <c r="N24" s="2">
        <v>1</v>
      </c>
      <c r="O24" s="2"/>
      <c r="P24" s="2"/>
      <c r="Q24" s="2"/>
      <c r="R24" s="2"/>
      <c r="S24" s="2"/>
      <c r="T24" s="2"/>
      <c r="U24" s="2"/>
      <c r="V24" s="2"/>
      <c r="W24" s="2"/>
      <c r="X24" s="2"/>
      <c r="Y24" s="2"/>
      <c r="Z24" s="2"/>
      <c r="AA24" s="2"/>
    </row>
    <row r="25" spans="1:27" ht="12.75" customHeight="1" thickBot="1">
      <c r="A25" s="11"/>
      <c r="B25" s="2"/>
      <c r="C25" s="11"/>
      <c r="D25" s="12"/>
      <c r="E25" s="12"/>
      <c r="F25" s="12" t="s">
        <v>74</v>
      </c>
      <c r="G25" s="9">
        <v>81</v>
      </c>
      <c r="H25" s="2"/>
      <c r="I25" s="2"/>
      <c r="J25" s="2"/>
      <c r="K25" s="2"/>
      <c r="L25" s="2" t="s">
        <v>21</v>
      </c>
      <c r="M25" s="2"/>
      <c r="N25" s="2">
        <v>3</v>
      </c>
      <c r="O25" s="2"/>
      <c r="P25" s="2"/>
      <c r="Q25" s="2"/>
      <c r="R25" s="2"/>
      <c r="S25" s="2"/>
      <c r="T25" s="2"/>
      <c r="U25" s="2"/>
      <c r="V25" s="2"/>
      <c r="W25" s="2"/>
      <c r="X25" s="2"/>
      <c r="Y25" s="2"/>
      <c r="Z25" s="2"/>
      <c r="AA25" s="2"/>
    </row>
    <row r="26" spans="1:27" ht="12.75" customHeight="1" thickBot="1">
      <c r="A26" s="27"/>
      <c r="B26" s="28"/>
      <c r="C26" s="27"/>
      <c r="D26" s="29"/>
      <c r="E26" s="29"/>
      <c r="F26" s="29"/>
      <c r="G26" s="30"/>
      <c r="H26" s="2"/>
      <c r="I26" s="2"/>
      <c r="J26" s="2"/>
      <c r="K26" s="2"/>
      <c r="L26" s="2" t="s">
        <v>23</v>
      </c>
      <c r="M26" s="2"/>
      <c r="N26" s="2">
        <v>4</v>
      </c>
      <c r="O26" s="2"/>
      <c r="P26" s="2"/>
      <c r="Q26" s="2"/>
      <c r="R26" s="2"/>
      <c r="S26" s="2"/>
      <c r="T26" s="2"/>
      <c r="U26" s="2"/>
      <c r="V26" s="2"/>
      <c r="W26" s="2"/>
      <c r="X26" s="2"/>
      <c r="Y26" s="2"/>
      <c r="Z26" s="2"/>
      <c r="AA26" s="2"/>
    </row>
    <row r="27" spans="1:27" ht="12.75" customHeight="1" thickBot="1">
      <c r="A27" s="27"/>
      <c r="B27" s="28"/>
      <c r="C27" s="27"/>
      <c r="D27" s="29"/>
      <c r="E27" s="29"/>
      <c r="F27" s="29"/>
      <c r="G27" s="30"/>
      <c r="H27" s="2"/>
      <c r="I27" s="2"/>
      <c r="J27" s="2"/>
      <c r="K27" s="2"/>
      <c r="L27" s="2" t="s">
        <v>26</v>
      </c>
      <c r="M27" s="2"/>
      <c r="N27" s="2">
        <v>4</v>
      </c>
      <c r="O27" s="2"/>
      <c r="P27" s="2"/>
      <c r="Q27" s="2"/>
      <c r="R27" s="2"/>
      <c r="S27" s="2"/>
      <c r="T27" s="2"/>
      <c r="U27" s="2"/>
      <c r="V27" s="2"/>
      <c r="W27" s="2"/>
      <c r="X27" s="2"/>
      <c r="Y27" s="2"/>
      <c r="Z27" s="2"/>
      <c r="AA27" s="2"/>
    </row>
    <row r="28" spans="1:27" ht="12.75" customHeight="1" thickBot="1">
      <c r="A28" s="27"/>
      <c r="B28" s="28"/>
      <c r="C28" s="27"/>
      <c r="D28" s="29"/>
      <c r="E28" s="29"/>
      <c r="F28" s="29"/>
      <c r="G28" s="30"/>
      <c r="H28" s="2"/>
      <c r="I28" s="2"/>
      <c r="J28" s="2"/>
      <c r="K28" s="2"/>
      <c r="L28" s="2" t="s">
        <v>29</v>
      </c>
      <c r="M28" s="2"/>
      <c r="N28" s="2">
        <v>4</v>
      </c>
      <c r="O28" s="2"/>
      <c r="P28" s="2"/>
      <c r="Q28" s="2"/>
      <c r="R28" s="2"/>
      <c r="S28" s="2"/>
      <c r="T28" s="2"/>
      <c r="U28" s="2"/>
      <c r="V28" s="2"/>
      <c r="W28" s="2"/>
      <c r="X28" s="2"/>
      <c r="Y28" s="2"/>
      <c r="Z28" s="2"/>
      <c r="AA28" s="2"/>
    </row>
    <row r="29" spans="1:27" ht="12.75" customHeight="1" thickBot="1">
      <c r="A29" s="27"/>
      <c r="B29" s="28"/>
      <c r="C29" s="27"/>
      <c r="D29" s="29"/>
      <c r="E29" s="29"/>
      <c r="F29" s="29"/>
      <c r="G29" s="30"/>
      <c r="H29" s="2"/>
      <c r="I29" s="2"/>
      <c r="J29" s="2"/>
      <c r="K29" s="2"/>
      <c r="L29" s="2" t="s">
        <v>32</v>
      </c>
      <c r="M29" s="2"/>
      <c r="N29" s="2">
        <v>4</v>
      </c>
      <c r="O29" s="2"/>
      <c r="P29" s="2"/>
      <c r="Q29" s="2"/>
      <c r="R29" s="2"/>
      <c r="S29" s="2"/>
      <c r="T29" s="2"/>
      <c r="U29" s="2"/>
      <c r="V29" s="2"/>
      <c r="W29" s="2"/>
      <c r="X29" s="2"/>
      <c r="Y29" s="2"/>
      <c r="Z29" s="2"/>
      <c r="AA29" s="2"/>
    </row>
    <row r="30" spans="1:27" ht="12.75" customHeight="1" thickBot="1">
      <c r="A30" s="27"/>
      <c r="B30" s="28"/>
      <c r="C30" s="27"/>
      <c r="D30" s="29"/>
      <c r="E30" s="29"/>
      <c r="F30" s="29"/>
      <c r="G30" s="30"/>
      <c r="H30" s="2"/>
      <c r="I30" s="2"/>
      <c r="J30" s="2"/>
      <c r="K30" s="2"/>
      <c r="L30" s="2" t="s">
        <v>35</v>
      </c>
      <c r="M30" s="2"/>
      <c r="N30" s="2">
        <v>4</v>
      </c>
      <c r="O30" s="2"/>
      <c r="P30" s="2"/>
      <c r="Q30" s="2"/>
      <c r="R30" s="2"/>
      <c r="S30" s="2"/>
      <c r="T30" s="2"/>
      <c r="U30" s="2"/>
      <c r="V30" s="2"/>
      <c r="W30" s="2"/>
      <c r="X30" s="2"/>
      <c r="Y30" s="2"/>
      <c r="Z30" s="2"/>
      <c r="AA30" s="2"/>
    </row>
    <row r="31" spans="1:27" ht="12.75" customHeight="1" thickBot="1">
      <c r="A31" s="27"/>
      <c r="B31" s="28"/>
      <c r="C31" s="27"/>
      <c r="D31" s="29"/>
      <c r="E31" s="29"/>
      <c r="F31" s="29"/>
      <c r="G31" s="30"/>
      <c r="H31" s="2"/>
      <c r="I31" s="2"/>
      <c r="J31" s="2"/>
      <c r="K31" s="2"/>
      <c r="L31" s="9" t="s">
        <v>75</v>
      </c>
      <c r="M31" s="9"/>
      <c r="N31" s="9">
        <f>SUM(N15:N30)</f>
        <v>36</v>
      </c>
      <c r="O31" s="2"/>
      <c r="P31" s="2"/>
      <c r="Q31" s="2"/>
      <c r="R31" s="2"/>
      <c r="S31" s="2"/>
      <c r="T31" s="2"/>
      <c r="U31" s="2"/>
      <c r="V31" s="2"/>
      <c r="W31" s="2"/>
      <c r="X31" s="2"/>
      <c r="Y31" s="2"/>
      <c r="Z31" s="2"/>
      <c r="AA31" s="2"/>
    </row>
    <row r="32" spans="1:27" ht="12.75" customHeight="1" thickBot="1">
      <c r="A32" s="27"/>
      <c r="B32" s="28"/>
      <c r="C32" s="27"/>
      <c r="D32" s="29"/>
      <c r="E32" s="29"/>
      <c r="F32" s="29"/>
      <c r="G32" s="30"/>
      <c r="H32" s="2"/>
      <c r="I32" s="2"/>
      <c r="J32" s="2"/>
      <c r="K32" s="2"/>
      <c r="L32" s="2"/>
      <c r="M32" s="2"/>
      <c r="N32" s="2"/>
      <c r="O32" s="2"/>
      <c r="P32" s="2"/>
      <c r="Q32" s="2"/>
      <c r="R32" s="2"/>
      <c r="S32" s="2"/>
      <c r="T32" s="2"/>
      <c r="U32" s="2"/>
      <c r="V32" s="2"/>
      <c r="W32" s="2"/>
      <c r="X32" s="2"/>
      <c r="Y32" s="2"/>
      <c r="Z32" s="2"/>
      <c r="AA32" s="2"/>
    </row>
    <row r="33" spans="1:27" ht="12.75" customHeight="1" thickBot="1">
      <c r="A33" s="27"/>
      <c r="B33" s="28"/>
      <c r="C33" s="27"/>
      <c r="D33" s="29"/>
      <c r="E33" s="29"/>
      <c r="F33" s="29"/>
      <c r="G33" s="30"/>
      <c r="H33" s="2"/>
      <c r="I33" s="2"/>
      <c r="J33" s="2"/>
      <c r="K33" s="2"/>
      <c r="L33" s="2"/>
      <c r="M33" s="2"/>
      <c r="N33" s="2"/>
      <c r="O33" s="2"/>
      <c r="P33" s="2"/>
      <c r="Q33" s="2"/>
      <c r="R33" s="2"/>
      <c r="S33" s="2"/>
      <c r="T33" s="2"/>
      <c r="U33" s="2"/>
      <c r="V33" s="2"/>
      <c r="W33" s="2"/>
      <c r="X33" s="2"/>
      <c r="Y33" s="2"/>
      <c r="Z33" s="2"/>
      <c r="AA33" s="2"/>
    </row>
    <row r="34" spans="1:27" ht="12.75" customHeight="1" thickBot="1">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ustomHeight="1" thickBo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ustomHeight="1" thickBot="1">
      <c r="A36" s="2"/>
      <c r="B36" s="2"/>
      <c r="C36" s="11" t="s">
        <v>38</v>
      </c>
      <c r="D36" s="13">
        <v>0.14127300000000001</v>
      </c>
      <c r="E36" s="9" t="e">
        <f t="array" ref="E36">VLOOKUP(D1,'[1]Baseline Productivity '!A4:D8,4,FALSE)</f>
        <v>#N/A</v>
      </c>
      <c r="F36" s="2"/>
      <c r="G36" s="2"/>
      <c r="H36" s="2"/>
      <c r="I36" s="2"/>
      <c r="J36" s="2"/>
      <c r="K36" s="2"/>
      <c r="L36" s="2"/>
      <c r="M36" s="2"/>
      <c r="N36" s="2"/>
      <c r="O36" s="2"/>
      <c r="P36" s="2"/>
      <c r="Q36" s="2"/>
      <c r="R36" s="2"/>
      <c r="S36" s="2"/>
      <c r="T36" s="2"/>
      <c r="U36" s="2"/>
      <c r="V36" s="2"/>
      <c r="W36" s="2"/>
      <c r="X36" s="2"/>
      <c r="Y36" s="2"/>
      <c r="Z36" s="2"/>
      <c r="AA36" s="2"/>
    </row>
    <row r="37" spans="1:27" ht="12.75" customHeight="1" thickBot="1">
      <c r="A37" s="2"/>
      <c r="B37" s="2"/>
      <c r="C37" s="14" t="s">
        <v>0</v>
      </c>
      <c r="D37" s="15">
        <v>81</v>
      </c>
      <c r="E37" s="16" t="s">
        <v>76</v>
      </c>
      <c r="F37" s="2"/>
      <c r="G37" s="2"/>
      <c r="H37" s="2"/>
      <c r="I37" s="2"/>
      <c r="J37" s="2"/>
      <c r="K37" s="2"/>
      <c r="L37" s="2"/>
      <c r="M37" s="2"/>
      <c r="N37" s="2"/>
      <c r="O37" s="2"/>
      <c r="P37" s="2"/>
      <c r="Q37" s="2"/>
      <c r="R37" s="2"/>
      <c r="S37" s="2"/>
      <c r="T37" s="2"/>
      <c r="U37" s="2"/>
      <c r="V37" s="2"/>
      <c r="W37" s="2"/>
      <c r="X37" s="2"/>
      <c r="Y37" s="2"/>
      <c r="Z37" s="2"/>
      <c r="AA37" s="2"/>
    </row>
    <row r="38" spans="1:27" ht="12.75" customHeight="1" thickBot="1">
      <c r="A38" s="2"/>
      <c r="B38" s="2"/>
      <c r="C38" s="11" t="s">
        <v>77</v>
      </c>
      <c r="D38" s="17">
        <f>D37/D36</f>
        <v>573.3579664904122</v>
      </c>
      <c r="E38" s="9" t="s">
        <v>78</v>
      </c>
      <c r="F38" s="2"/>
      <c r="G38" s="2"/>
      <c r="H38" s="2"/>
      <c r="I38" s="2"/>
      <c r="J38" s="2"/>
      <c r="K38" s="2"/>
      <c r="L38" s="2"/>
      <c r="M38" s="2"/>
      <c r="N38" s="2"/>
      <c r="O38" s="2"/>
      <c r="P38" s="2"/>
      <c r="Q38" s="2"/>
      <c r="R38" s="2"/>
      <c r="S38" s="2"/>
      <c r="T38" s="2"/>
      <c r="U38" s="2"/>
      <c r="V38" s="2"/>
      <c r="W38" s="2"/>
      <c r="X38" s="2"/>
      <c r="Y38" s="2"/>
      <c r="Z38" s="2"/>
      <c r="AA38" s="2"/>
    </row>
    <row r="39" spans="1:27" ht="12.75" customHeight="1" thickBot="1">
      <c r="A39" s="2"/>
      <c r="B39" s="2"/>
      <c r="C39" s="11" t="s">
        <v>79</v>
      </c>
      <c r="D39" s="13">
        <f>0.65+0.01*$N$31</f>
        <v>1.01</v>
      </c>
      <c r="E39" s="2"/>
      <c r="F39" s="2"/>
      <c r="G39" s="2"/>
      <c r="H39" s="2"/>
      <c r="I39" s="2"/>
      <c r="J39" s="2"/>
      <c r="K39" s="2"/>
      <c r="L39" s="2"/>
      <c r="M39" s="2"/>
      <c r="N39" s="2"/>
      <c r="O39" s="2"/>
      <c r="P39" s="2"/>
      <c r="Q39" s="2"/>
      <c r="R39" s="2"/>
      <c r="S39" s="2"/>
      <c r="T39" s="2"/>
      <c r="U39" s="2"/>
      <c r="V39" s="2"/>
      <c r="W39" s="2"/>
      <c r="X39" s="2"/>
      <c r="Y39" s="2"/>
      <c r="Z39" s="2"/>
      <c r="AA39" s="2"/>
    </row>
    <row r="40" spans="1:27" ht="12.75" customHeight="1" thickBot="1">
      <c r="A40" s="2"/>
      <c r="B40" s="2"/>
      <c r="C40" s="11" t="s">
        <v>80</v>
      </c>
      <c r="D40" s="18">
        <v>0.05</v>
      </c>
      <c r="E40" s="2"/>
      <c r="F40" s="2"/>
      <c r="G40" s="2"/>
      <c r="H40" s="2"/>
      <c r="I40" s="2"/>
      <c r="J40" s="2"/>
      <c r="K40" s="2"/>
      <c r="L40" s="2"/>
      <c r="M40" s="2"/>
      <c r="N40" s="2"/>
      <c r="O40" s="2"/>
      <c r="P40" s="2"/>
      <c r="Q40" s="2"/>
      <c r="R40" s="2"/>
      <c r="S40" s="2"/>
      <c r="T40" s="2"/>
      <c r="U40" s="2"/>
      <c r="V40" s="2"/>
      <c r="W40" s="2"/>
      <c r="X40" s="2"/>
      <c r="Y40" s="2"/>
      <c r="Z40" s="2"/>
      <c r="AA40" s="2"/>
    </row>
    <row r="41" spans="1:27" ht="12.75" customHeight="1" thickBot="1">
      <c r="A41" s="2"/>
      <c r="B41" s="2"/>
      <c r="C41" s="11" t="s">
        <v>81</v>
      </c>
      <c r="D41" s="18">
        <v>0.1</v>
      </c>
      <c r="E41" s="2"/>
      <c r="F41" s="2"/>
      <c r="G41" s="2"/>
      <c r="H41" s="2"/>
      <c r="I41" s="2"/>
      <c r="J41" s="2"/>
      <c r="K41" s="2"/>
      <c r="L41" s="2"/>
      <c r="M41" s="2"/>
      <c r="N41" s="2"/>
      <c r="O41" s="2"/>
      <c r="P41" s="2"/>
      <c r="Q41" s="2"/>
      <c r="R41" s="2"/>
      <c r="S41" s="2"/>
      <c r="T41" s="2"/>
      <c r="U41" s="2"/>
      <c r="V41" s="2"/>
      <c r="W41" s="2"/>
      <c r="X41" s="2"/>
      <c r="Y41" s="2"/>
      <c r="Z41" s="2"/>
      <c r="AA41" s="2"/>
    </row>
    <row r="42" spans="1:27" ht="12.75" customHeight="1" thickBot="1">
      <c r="A42" s="2"/>
      <c r="B42" s="2"/>
      <c r="C42" s="11" t="s">
        <v>82</v>
      </c>
      <c r="D42" s="19">
        <f>((D38*D39)+(D38*D39*D40))+((D38*D39)+(D38*D39*D40))*D41</f>
        <v>668.85073580939036</v>
      </c>
      <c r="E42" s="9" t="s">
        <v>78</v>
      </c>
      <c r="F42" s="2"/>
      <c r="G42" s="2"/>
      <c r="H42" s="2"/>
      <c r="I42" s="2"/>
      <c r="J42" s="2"/>
      <c r="K42" s="2"/>
      <c r="L42" s="2"/>
      <c r="M42" s="2"/>
      <c r="N42" s="2"/>
      <c r="O42" s="2"/>
      <c r="P42" s="2"/>
      <c r="Q42" s="2"/>
      <c r="R42" s="2"/>
      <c r="S42" s="2"/>
      <c r="T42" s="2"/>
      <c r="U42" s="2"/>
      <c r="V42" s="2"/>
      <c r="W42" s="2"/>
      <c r="X42" s="2"/>
      <c r="Y42" s="2"/>
      <c r="Z42" s="2"/>
      <c r="AA42" s="2"/>
    </row>
    <row r="43" spans="1:27" ht="12.75" customHeight="1" thickBo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thickBot="1">
      <c r="A44" s="2"/>
      <c r="B44" s="2"/>
      <c r="C44" s="2" t="s">
        <v>83</v>
      </c>
      <c r="D44" s="20">
        <f>D42+5%*D42</f>
        <v>702.29327259985985</v>
      </c>
      <c r="E44" s="20">
        <f>D42-5%*D42</f>
        <v>635.40819901892087</v>
      </c>
      <c r="F44" s="2"/>
      <c r="G44" s="2"/>
      <c r="H44" s="2"/>
      <c r="I44" s="2"/>
      <c r="J44" s="2"/>
      <c r="K44" s="2"/>
      <c r="L44" s="2"/>
      <c r="M44" s="2"/>
      <c r="N44" s="2"/>
      <c r="O44" s="2"/>
      <c r="P44" s="2"/>
      <c r="Q44" s="2"/>
      <c r="R44" s="2"/>
      <c r="S44" s="2"/>
      <c r="T44" s="2"/>
      <c r="U44" s="2"/>
      <c r="V44" s="2"/>
      <c r="W44" s="2"/>
      <c r="X44" s="2"/>
      <c r="Y44" s="2"/>
      <c r="Z44" s="2"/>
      <c r="AA44" s="2"/>
    </row>
    <row r="45" spans="1:27" ht="12.75" customHeight="1" thickBo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thickBo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thickBo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thickBo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thickBo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thickBo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thickBo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thickBo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thickBo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thickBo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thickBo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thickBo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thickBo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thickBo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thickBo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thickBo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thickBo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thickBo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thickBo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thickBo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thickBo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thickBo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ustomHeight="1"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ustomHeight="1"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ustomHeight="1"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ustomHeight="1"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ustomHeight="1"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ustomHeight="1"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ustomHeight="1"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ustomHeight="1"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ustomHeight="1"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ustomHeight="1"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ustomHeight="1"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ustomHeight="1"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ustomHeight="1"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ustomHeight="1"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ustomHeight="1"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ustomHeight="1"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ustomHeight="1"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ustomHeight="1"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ustomHeight="1"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ustomHeight="1"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ustomHeight="1"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ustomHeight="1"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ustomHeight="1"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ustomHeight="1"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ustomHeight="1"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ustomHeight="1"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ustomHeight="1"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ustomHeight="1"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ustomHeight="1"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ustomHeight="1"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ustomHeight="1"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ustomHeight="1"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ustomHeight="1"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ustomHeight="1"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ustomHeight="1"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ustomHeight="1"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ustomHeight="1"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ustomHeight="1"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ustomHeight="1"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ustomHeight="1"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ustomHeight="1"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ustomHeight="1"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ustomHeight="1"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ustomHeight="1"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ustomHeight="1"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ustomHeight="1"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ustomHeight="1"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ustomHeight="1"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ustomHeight="1"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ustomHeight="1"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ustomHeight="1"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ustomHeight="1"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ustomHeight="1"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ustomHeight="1"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ustomHeight="1"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ustomHeight="1"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ustomHeight="1"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ustomHeight="1"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ustomHeight="1"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ustomHeight="1"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ustomHeight="1"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ustomHeight="1"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ustomHeight="1"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ustomHeight="1"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ustomHeight="1"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ustomHeight="1"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ustomHeight="1"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ustomHeight="1"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ustomHeight="1"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ustomHeight="1"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ustomHeight="1"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ustomHeight="1"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ustomHeight="1"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ustomHeight="1"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ustomHeight="1"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ustomHeight="1"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ustomHeight="1"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ustomHeight="1"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ustomHeight="1"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ustomHeight="1"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ustomHeight="1"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ustomHeight="1"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ustomHeight="1"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ustomHeight="1"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ustomHeight="1"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ustomHeight="1"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ustomHeight="1"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ustomHeight="1"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ustomHeight="1"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ustomHeight="1"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ustomHeight="1"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ustomHeight="1"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ustomHeight="1"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ustomHeight="1"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ustomHeight="1"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ustomHeight="1"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ustomHeight="1"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ustomHeight="1"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ustomHeight="1"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ustomHeight="1"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ustomHeight="1"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thickBot="1">
      <c r="A997" s="2"/>
      <c r="B997" s="2"/>
      <c r="C997" s="2"/>
      <c r="D997" s="2"/>
      <c r="E997" s="2"/>
      <c r="F997" s="2"/>
      <c r="G997" s="2"/>
    </row>
    <row r="998" spans="1:27" thickBot="1">
      <c r="A998" s="2"/>
      <c r="B998" s="2"/>
      <c r="C998" s="2"/>
      <c r="D998" s="2"/>
      <c r="E998" s="2"/>
      <c r="F998" s="2"/>
      <c r="G998" s="2"/>
    </row>
    <row r="999" spans="1:27" thickBot="1">
      <c r="A999" s="2"/>
      <c r="B999" s="2"/>
      <c r="C999" s="2"/>
      <c r="D999" s="2"/>
      <c r="E999" s="2"/>
      <c r="F999" s="2"/>
      <c r="G999" s="2"/>
    </row>
    <row r="1000" spans="1:27" thickBot="1">
      <c r="A1000" s="2"/>
      <c r="B1000" s="2"/>
      <c r="C1000" s="2"/>
      <c r="D1000" s="2"/>
      <c r="E1000" s="2"/>
      <c r="F1000" s="2"/>
      <c r="G1000" s="2"/>
    </row>
    <row r="1001" spans="1:27" thickBot="1">
      <c r="A1001" s="2"/>
      <c r="B1001" s="2"/>
      <c r="C1001" s="2"/>
      <c r="D1001" s="2"/>
      <c r="E1001" s="2"/>
      <c r="F1001" s="2"/>
      <c r="G1001" s="2"/>
    </row>
    <row r="1002" spans="1:27" thickBot="1">
      <c r="A1002" s="2"/>
      <c r="B1002" s="2"/>
      <c r="C1002" s="2"/>
      <c r="D1002" s="2"/>
      <c r="E1002" s="2"/>
      <c r="F1002" s="2"/>
      <c r="G1002" s="2"/>
    </row>
    <row r="1003" spans="1:27" thickBot="1">
      <c r="A1003" s="2"/>
      <c r="B1003" s="2"/>
      <c r="C1003" s="2"/>
      <c r="D1003" s="2"/>
      <c r="E1003" s="2"/>
      <c r="F1003" s="2"/>
      <c r="G1003" s="2"/>
    </row>
    <row r="1004" spans="1:27" thickBot="1">
      <c r="A1004" s="2"/>
      <c r="B1004" s="2"/>
      <c r="C1004" s="2"/>
      <c r="D1004" s="2"/>
      <c r="E1004" s="2"/>
      <c r="F1004" s="2"/>
      <c r="G1004" s="2"/>
    </row>
    <row r="1005" spans="1:27" thickBot="1">
      <c r="A1005" s="2"/>
      <c r="B1005" s="2"/>
      <c r="C1005" s="2"/>
      <c r="D1005" s="2"/>
      <c r="E1005" s="2"/>
      <c r="F1005" s="2"/>
      <c r="G1005" s="2"/>
    </row>
    <row r="1006" spans="1:27" thickBot="1">
      <c r="A1006" s="2"/>
      <c r="B1006" s="2"/>
      <c r="C1006" s="2"/>
      <c r="D1006" s="2"/>
      <c r="E1006" s="2"/>
      <c r="F1006" s="2"/>
      <c r="G1006" s="2"/>
    </row>
    <row r="1007" spans="1:27" thickBot="1">
      <c r="A1007" s="2"/>
    </row>
    <row r="1008" spans="1:27" thickBot="1">
      <c r="A1008" s="2"/>
    </row>
  </sheetData>
  <mergeCells count="1">
    <mergeCell ref="L13:N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[2]Master!#REF!</xm:f>
          </x14:formula1>
          <xm:sqref>N15:N30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Guidelines</vt:lpstr>
      <vt:lpstr>Version History</vt:lpstr>
      <vt:lpstr>Master</vt:lpstr>
      <vt:lpstr>Baseline Productivity </vt:lpstr>
      <vt:lpstr>FHTC Estimation</vt:lpstr>
      <vt:lpstr>O&amp;M Estimation</vt:lpstr>
      <vt:lpstr>Bharosa Estimation</vt:lpstr>
      <vt:lpstr>DHARA CR Estimation</vt:lpstr>
      <vt:lpstr>MASTER CR Estimation</vt:lpstr>
      <vt:lpstr>NIRMAL CR Estimation</vt:lpstr>
      <vt:lpstr>Sahbhagita CR</vt:lpstr>
      <vt:lpstr>Sopan CR</vt:lpstr>
      <vt:lpstr>Code_element</vt:lpstr>
      <vt:lpstr>Development</vt:lpstr>
      <vt:lpstr>Enhancement_and_customization</vt:lpstr>
      <vt:lpstr>Infra_Setup</vt:lpstr>
      <vt:lpstr>Ingestion</vt:lpstr>
      <vt:lpstr>MSI</vt:lpstr>
      <vt:lpstr>New_Development</vt:lpstr>
      <vt:lpstr>Reports</vt:lpstr>
      <vt:lpstr>Screen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2025-12-09T08:10:08Z</dcterms:created>
  <dcterms:modified xsi:type="dcterms:W3CDTF">2026-02-24T07:30:24Z</dcterms:modified>
</cp:coreProperties>
</file>