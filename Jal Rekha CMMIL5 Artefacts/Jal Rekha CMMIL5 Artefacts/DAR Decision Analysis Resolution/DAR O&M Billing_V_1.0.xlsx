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DAR\"/>
    </mc:Choice>
  </mc:AlternateContent>
  <bookViews>
    <workbookView xWindow="0" yWindow="0" windowWidth="15530" windowHeight="7180"/>
  </bookViews>
  <sheets>
    <sheet name="O&amp;N Billing" sheetId="3"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9" i="3" l="1"/>
  <c r="E29" i="3"/>
  <c r="C29" i="3"/>
  <c r="G28" i="3"/>
  <c r="E28" i="3"/>
  <c r="C28" i="3"/>
  <c r="A28" i="3"/>
  <c r="G27" i="3"/>
  <c r="E27" i="3"/>
  <c r="C27" i="3"/>
  <c r="A27" i="3"/>
  <c r="G26" i="3"/>
  <c r="E26" i="3"/>
  <c r="C26" i="3"/>
  <c r="A26" i="3"/>
  <c r="G25" i="3"/>
  <c r="E25" i="3"/>
  <c r="C25" i="3"/>
  <c r="A25" i="3"/>
  <c r="G24" i="3"/>
  <c r="E24" i="3"/>
  <c r="C24" i="3"/>
  <c r="A24" i="3"/>
  <c r="G23" i="3"/>
  <c r="E23" i="3"/>
  <c r="C23" i="3"/>
  <c r="A23" i="3"/>
  <c r="G22" i="3"/>
  <c r="E22" i="3"/>
  <c r="C22" i="3"/>
  <c r="A22" i="3"/>
  <c r="F20" i="3"/>
  <c r="D20" i="3"/>
  <c r="B20" i="3"/>
  <c r="G30" i="3" l="1"/>
  <c r="E30" i="3"/>
  <c r="C30" i="3"/>
  <c r="A33" i="3"/>
  <c r="A34" i="3"/>
  <c r="A35" i="3"/>
  <c r="D35" i="3" l="1"/>
  <c r="G35" i="3" s="1"/>
  <c r="D34" i="3"/>
  <c r="G34" i="3" s="1"/>
  <c r="D33" i="3"/>
  <c r="G33" i="3" s="1"/>
</calcChain>
</file>

<file path=xl/sharedStrings.xml><?xml version="1.0" encoding="utf-8"?>
<sst xmlns="http://schemas.openxmlformats.org/spreadsheetml/2006/main" count="68" uniqueCount="60">
  <si>
    <t>DAR Form</t>
  </si>
  <si>
    <t>Group Name</t>
  </si>
  <si>
    <t>Project Name</t>
  </si>
  <si>
    <t>Decision Seeker</t>
  </si>
  <si>
    <t>Evaluation Date</t>
  </si>
  <si>
    <t>Problem Statement</t>
  </si>
  <si>
    <t>Scope of DAR</t>
  </si>
  <si>
    <t>DAR Team Members</t>
  </si>
  <si>
    <t>Alternatives</t>
  </si>
  <si>
    <t>Source of Alternatives</t>
  </si>
  <si>
    <t>Remarks</t>
  </si>
  <si>
    <t>Criteria for Evaluation</t>
  </si>
  <si>
    <t>Rationale for Criteria and Weightage Selection</t>
  </si>
  <si>
    <t>Score</t>
  </si>
  <si>
    <t>Weighted Score</t>
  </si>
  <si>
    <t>Average Weighted Score</t>
  </si>
  <si>
    <t>Score Range (1 - 5) :  ( 1 = Minimum rating and 5 = Maximum rating)</t>
  </si>
  <si>
    <t>Result</t>
  </si>
  <si>
    <t>Solution Decision 
(Decision Authority)</t>
  </si>
  <si>
    <t>Risk anticipated</t>
  </si>
  <si>
    <t>Assumptions</t>
  </si>
  <si>
    <t>Decision Authority</t>
  </si>
  <si>
    <t>Date</t>
  </si>
  <si>
    <t>Weightage 
 (1 = Least important and 5 = Most important)</t>
  </si>
  <si>
    <t>Order (1 = Highest, 4 = Lowest)</t>
  </si>
  <si>
    <t>Process Automation &amp; Efficiency</t>
  </si>
  <si>
    <t>Availability of Technical &amp; Operational Resources</t>
  </si>
  <si>
    <t>Operational Risk Reduction</t>
  </si>
  <si>
    <t>Jal Rekha – O&amp;M Billing Module</t>
  </si>
  <si>
    <t>Project Steering Committee / Department of Water Resources / Jal Nigam</t>
  </si>
  <si>
    <t>Manual and semi-digital processes are currently used for O&amp;M billing under Jal Rekha projects, leading to calculation errors, delays in bill generation, lack of transparency, and increased dependency on manual verification. There is a need for a centralized, automated, and auditable O&amp;M Billing Module to handle end-to-end billing calculations and bill generation for all Jal Rekha projects.</t>
  </si>
  <si>
    <t>Evaluation of available alternatives for implementing an O&amp;M Billing Module in Jal Rekha to automate project-wise billing calculations, bill creation, approval workflow, and reporting.</t>
  </si>
  <si>
    <t>Entire Project &amp; Technical Team</t>
  </si>
  <si>
    <t>A1 – Continue Existing Manual / Semi-Digital Billing
O&amp;M bills are calculated manually using spreadsheets and physical records, with manual approval and submission.</t>
  </si>
  <si>
    <t>A2 – Partial Digital Billing Module
Basic billing calculation and bill generation done through Jal Rekha portal, but approvals, corrections, and validations remain manual.</t>
  </si>
  <si>
    <t>A3 – Full Digital O&amp;M Billing Module
End-to-end automated billing calculation, bill creation, approval workflow, audit trail, and MIS reporting through Jal Rekha system.</t>
  </si>
  <si>
    <t>Existing Jal Rekha billing practice and field-level operations</t>
  </si>
  <si>
    <t>Internal discussions and feasibility assessment</t>
  </si>
  <si>
    <t>Digital Governance guidelines, stakeholder consultation, and Jal Rekha system capabilities</t>
  </si>
  <si>
    <t>High dependency on manual effort</t>
  </si>
  <si>
    <t>Limited automation</t>
  </si>
  <si>
    <t>Recommended option</t>
  </si>
  <si>
    <t>Legal &amp; Financial Compliance</t>
  </si>
  <si>
    <t>Accuracy of Billing Calculations</t>
  </si>
  <si>
    <t>Data Security &amp; Audit Trail</t>
  </si>
  <si>
    <t>Scalability Across Projects</t>
  </si>
  <si>
    <t>Ease of Use for Field &amp; Finance Staff</t>
  </si>
  <si>
    <t>Billing must comply with financial and audit rules</t>
  </si>
  <si>
    <t>Critical to avoid revenue loss or disputes</t>
  </si>
  <si>
    <t>Faster bill generation and approvals</t>
  </si>
  <si>
    <t>Financial data integrity and audit readiness</t>
  </si>
  <si>
    <t>Feasibility of implementation</t>
  </si>
  <si>
    <t>Applicability for all Jal Rekha projects</t>
  </si>
  <si>
    <t>Smooth adoption</t>
  </si>
  <si>
    <t>Reduced manual errors and disputes</t>
  </si>
  <si>
    <t>The decision is to implement a Full Digital O&amp;M Billing Module for the Jal Rekha project, enabling automated billing calculations, project-wise bill generation, approval workflows, audit trails, and MIS reporting. This solution ensures accuracy, transparency, compliance, and scalability across all Jal Rekha projects.</t>
  </si>
  <si>
    <t>Initial data migration challenges from legacy billing records
Dependency on accurate project and contract master data
Change management issues for field and finance users
Initial increase in support requirements during rollout</t>
  </si>
  <si>
    <t>Financial rules and billing formulas are clearly defined and approved
Required approvals for digital billing and electronic records are in place
Adequate infrastructure and connectivity are available
Users will be trained prior to rollout</t>
  </si>
  <si>
    <t>The proposed Full Digital O&amp;M Billing Module aligns with Digital Governance objectives and strengthens financial transparency, operational efficiency, and accountability in Jal Rekha project execution. It significantly reduces manual effort, billing errors, and audit risks while enabling real-time monitoring and reporting.</t>
  </si>
  <si>
    <t>Office of the Chief Engineer / Jal Nigam, in consultation with MPSEDC and the Project Steering Committee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</si>
</sst>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Arial"/>
      <family val="2"/>
    </font>
    <font>
      <sz val="9"/>
      <color theme="1"/>
      <name val="Arial"/>
      <family val="2"/>
    </font>
    <font>
      <b/>
      <sz val="8"/>
      <color theme="1"/>
      <name val="Arial"/>
      <family val="2"/>
    </font>
    <font>
      <sz val="8"/>
      <color theme="1"/>
      <name val="Arial"/>
      <family val="2"/>
    </font>
    <font>
      <b/>
      <sz val="8"/>
      <name val="Arial"/>
      <family val="2"/>
    </font>
    <font>
      <sz val="8"/>
      <name val="Arial"/>
      <family val="2"/>
    </font>
    <font>
      <b/>
      <sz val="8"/>
      <name val="Arial Bold"/>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4" fillId="0" borderId="9" xfId="0" applyFont="1" applyBorder="1" applyAlignment="1" applyProtection="1">
      <alignment horizontal="center" vertical="top"/>
      <protection locked="0"/>
    </xf>
    <xf numFmtId="0" fontId="1" fillId="0" borderId="0" xfId="0" applyFont="1" applyAlignment="1">
      <alignment vertical="top"/>
    </xf>
    <xf numFmtId="0" fontId="3" fillId="2" borderId="4" xfId="0" applyFont="1" applyFill="1" applyBorder="1" applyAlignment="1" applyProtection="1">
      <alignment vertical="top"/>
      <protection locked="0"/>
    </xf>
    <xf numFmtId="0" fontId="3" fillId="2" borderId="5" xfId="0" applyFont="1" applyFill="1" applyBorder="1" applyAlignment="1" applyProtection="1">
      <alignment vertical="top"/>
      <protection locked="0"/>
    </xf>
    <xf numFmtId="0" fontId="3" fillId="2" borderId="9" xfId="0" applyFont="1" applyFill="1" applyBorder="1" applyAlignment="1">
      <alignment horizontal="left" vertical="top"/>
    </xf>
    <xf numFmtId="0" fontId="3" fillId="2" borderId="9" xfId="0" applyFont="1" applyFill="1" applyBorder="1" applyAlignment="1">
      <alignment vertical="top"/>
    </xf>
    <xf numFmtId="0" fontId="3" fillId="2" borderId="13" xfId="0" applyFont="1" applyFill="1" applyBorder="1" applyAlignment="1">
      <alignment horizontal="left" vertical="top" wrapText="1"/>
    </xf>
    <xf numFmtId="0" fontId="3" fillId="2" borderId="9" xfId="0" applyFont="1" applyFill="1" applyBorder="1" applyAlignment="1">
      <alignment horizontal="center" vertical="top" wrapText="1"/>
    </xf>
    <xf numFmtId="0" fontId="5" fillId="2" borderId="9" xfId="0" applyFont="1" applyFill="1" applyBorder="1" applyAlignment="1">
      <alignment horizontal="center" vertical="top" wrapText="1"/>
    </xf>
    <xf numFmtId="0" fontId="4" fillId="3" borderId="9" xfId="0" applyFont="1" applyFill="1" applyBorder="1" applyAlignment="1">
      <alignment horizontal="center" vertical="top"/>
    </xf>
    <xf numFmtId="2" fontId="3" fillId="3" borderId="9" xfId="0" applyNumberFormat="1" applyFont="1" applyFill="1" applyBorder="1" applyAlignment="1">
      <alignment horizontal="center" vertical="top"/>
    </xf>
    <xf numFmtId="0" fontId="3" fillId="2" borderId="9" xfId="0" applyFont="1" applyFill="1" applyBorder="1" applyAlignment="1">
      <alignment horizontal="center" vertical="top"/>
    </xf>
    <xf numFmtId="0" fontId="2" fillId="0" borderId="0" xfId="0" applyFont="1" applyAlignment="1">
      <alignment vertical="top"/>
    </xf>
    <xf numFmtId="0" fontId="6" fillId="3" borderId="9" xfId="0" applyFont="1" applyFill="1" applyBorder="1" applyAlignment="1">
      <alignment horizontal="left" vertical="top" wrapText="1"/>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4" fillId="0" borderId="6" xfId="0" applyFont="1" applyBorder="1" applyAlignment="1" applyProtection="1">
      <alignment horizontal="center" vertical="top"/>
      <protection locked="0"/>
    </xf>
    <xf numFmtId="0" fontId="4" fillId="0" borderId="7" xfId="0" applyFont="1" applyBorder="1" applyAlignment="1" applyProtection="1">
      <alignment horizontal="center" vertical="top"/>
      <protection locked="0"/>
    </xf>
    <xf numFmtId="0" fontId="4" fillId="0" borderId="8" xfId="0" applyFont="1" applyBorder="1" applyAlignment="1" applyProtection="1">
      <alignment horizontal="center" vertical="top"/>
      <protection locked="0"/>
    </xf>
    <xf numFmtId="0" fontId="4" fillId="0" borderId="10" xfId="0" applyFont="1" applyBorder="1" applyAlignment="1" applyProtection="1">
      <alignment horizontal="center" vertical="top"/>
      <protection locked="0"/>
    </xf>
    <xf numFmtId="0" fontId="4" fillId="0" borderId="11" xfId="0" applyFont="1" applyBorder="1" applyAlignment="1" applyProtection="1">
      <alignment horizontal="center" vertical="top"/>
      <protection locked="0"/>
    </xf>
    <xf numFmtId="0" fontId="4" fillId="0" borderId="12" xfId="0" applyFont="1" applyBorder="1" applyAlignment="1" applyProtection="1">
      <alignment horizontal="center" vertical="top"/>
      <protection locked="0"/>
    </xf>
    <xf numFmtId="0" fontId="3" fillId="2" borderId="10" xfId="0" applyFont="1" applyFill="1" applyBorder="1" applyAlignment="1" applyProtection="1">
      <alignment horizontal="left" vertical="top"/>
      <protection locked="0"/>
    </xf>
    <xf numFmtId="0" fontId="3" fillId="2" borderId="12" xfId="0" applyFont="1" applyFill="1" applyBorder="1" applyAlignment="1" applyProtection="1">
      <alignment horizontal="left" vertical="top"/>
      <protection locked="0"/>
    </xf>
    <xf numFmtId="14" fontId="4" fillId="0" borderId="10" xfId="0" applyNumberFormat="1" applyFont="1" applyBorder="1" applyAlignment="1" applyProtection="1">
      <alignment horizontal="center" vertical="top"/>
      <protection locked="0"/>
    </xf>
    <xf numFmtId="0" fontId="4"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4" fillId="0" borderId="10" xfId="0" applyFont="1" applyBorder="1" applyAlignment="1" applyProtection="1">
      <alignment horizontal="left" vertical="top"/>
      <protection locked="0"/>
    </xf>
    <xf numFmtId="0" fontId="4" fillId="0" borderId="11" xfId="0" applyFont="1" applyBorder="1" applyAlignment="1" applyProtection="1">
      <alignment horizontal="left" vertical="top"/>
      <protection locked="0"/>
    </xf>
    <xf numFmtId="0" fontId="4" fillId="0" borderId="12" xfId="0" applyFont="1" applyBorder="1" applyAlignment="1" applyProtection="1">
      <alignment horizontal="left" vertical="top"/>
      <protection locked="0"/>
    </xf>
    <xf numFmtId="0" fontId="3" fillId="2" borderId="9" xfId="0" applyFont="1" applyFill="1" applyBorder="1" applyAlignment="1">
      <alignment horizontal="center" vertical="top" wrapText="1"/>
    </xf>
    <xf numFmtId="0" fontId="4" fillId="0" borderId="9" xfId="0" applyFont="1" applyBorder="1" applyAlignment="1" applyProtection="1">
      <alignment horizontal="left" vertical="top" wrapText="1"/>
      <protection locked="0"/>
    </xf>
    <xf numFmtId="0" fontId="4" fillId="0" borderId="9" xfId="0" applyFont="1" applyBorder="1" applyAlignment="1" applyProtection="1">
      <alignment horizontal="center" vertical="top"/>
      <protection locked="0"/>
    </xf>
    <xf numFmtId="0" fontId="4" fillId="0" borderId="9" xfId="0" applyFont="1" applyBorder="1" applyAlignment="1" applyProtection="1">
      <alignment horizontal="left" vertical="top"/>
      <protection locked="0"/>
    </xf>
    <xf numFmtId="0" fontId="5" fillId="2" borderId="9" xfId="0" applyFont="1" applyFill="1" applyBorder="1" applyAlignment="1">
      <alignment horizontal="center" vertical="top" wrapText="1"/>
    </xf>
    <xf numFmtId="0" fontId="4" fillId="0" borderId="9" xfId="0" applyFont="1" applyBorder="1" applyAlignment="1" applyProtection="1">
      <alignment horizontal="center" vertical="top" wrapText="1"/>
      <protection locked="0"/>
    </xf>
    <xf numFmtId="0" fontId="5" fillId="2" borderId="9" xfId="0" applyFont="1" applyFill="1" applyBorder="1" applyAlignment="1">
      <alignment horizontal="center" vertical="top"/>
    </xf>
    <xf numFmtId="0" fontId="5" fillId="4" borderId="9" xfId="0" applyFont="1" applyFill="1" applyBorder="1" applyAlignment="1">
      <alignment horizontal="center" vertical="top" wrapText="1"/>
    </xf>
    <xf numFmtId="0" fontId="5" fillId="4" borderId="9" xfId="0" applyFont="1" applyFill="1" applyBorder="1" applyAlignment="1">
      <alignment horizontal="center" vertical="top"/>
    </xf>
    <xf numFmtId="0" fontId="4" fillId="3" borderId="9" xfId="0" applyFont="1" applyFill="1" applyBorder="1" applyAlignment="1">
      <alignment horizontal="left" vertical="top" wrapText="1"/>
    </xf>
    <xf numFmtId="0" fontId="4" fillId="3" borderId="9" xfId="0" applyFont="1" applyFill="1" applyBorder="1" applyAlignment="1">
      <alignment horizontal="center" vertical="top"/>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10" xfId="0" applyFont="1" applyFill="1" applyBorder="1" applyAlignment="1">
      <alignment horizontal="center" vertical="top"/>
    </xf>
    <xf numFmtId="0" fontId="4" fillId="3" borderId="11" xfId="0" applyFont="1" applyFill="1" applyBorder="1" applyAlignment="1">
      <alignment horizontal="center" vertical="top"/>
    </xf>
    <xf numFmtId="0" fontId="4" fillId="3" borderId="12" xfId="0" applyFont="1" applyFill="1" applyBorder="1" applyAlignment="1">
      <alignment horizontal="center" vertical="top"/>
    </xf>
    <xf numFmtId="0" fontId="7" fillId="2" borderId="9" xfId="0" applyFont="1" applyFill="1" applyBorder="1" applyAlignment="1">
      <alignment horizontal="left" vertical="top" wrapText="1"/>
    </xf>
    <xf numFmtId="0" fontId="7" fillId="2" borderId="9"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tabSelected="1" topLeftCell="B1" workbookViewId="0">
      <selection activeCell="G8" sqref="G8:I8"/>
    </sheetView>
  </sheetViews>
  <sheetFormatPr defaultColWidth="21.81640625" defaultRowHeight="14" x14ac:dyDescent="0.35"/>
  <cols>
    <col min="1" max="3" width="21.81640625" style="2"/>
    <col min="4" max="4" width="11.81640625" style="2" customWidth="1"/>
    <col min="5" max="16384" width="21.81640625" style="2"/>
  </cols>
  <sheetData>
    <row r="1" spans="1:9" ht="19.5" customHeight="1" thickBot="1" x14ac:dyDescent="0.4">
      <c r="A1" s="15" t="s">
        <v>0</v>
      </c>
      <c r="B1" s="16"/>
      <c r="C1" s="16"/>
      <c r="D1" s="16"/>
      <c r="E1" s="16"/>
      <c r="F1" s="16"/>
      <c r="G1" s="16"/>
      <c r="H1" s="16"/>
      <c r="I1" s="17"/>
    </row>
    <row r="2" spans="1:9" ht="19.5" customHeight="1" x14ac:dyDescent="0.35">
      <c r="A2" s="3" t="s">
        <v>1</v>
      </c>
      <c r="B2" s="18"/>
      <c r="C2" s="19"/>
      <c r="D2" s="20"/>
      <c r="E2" s="3" t="s">
        <v>2</v>
      </c>
      <c r="F2" s="4"/>
      <c r="G2" s="18" t="s">
        <v>28</v>
      </c>
      <c r="H2" s="19"/>
      <c r="I2" s="20"/>
    </row>
    <row r="3" spans="1:9" ht="19.5" customHeight="1" x14ac:dyDescent="0.35">
      <c r="A3" s="5" t="s">
        <v>3</v>
      </c>
      <c r="B3" s="21" t="s">
        <v>29</v>
      </c>
      <c r="C3" s="22"/>
      <c r="D3" s="23"/>
      <c r="E3" s="24" t="s">
        <v>4</v>
      </c>
      <c r="F3" s="25"/>
      <c r="G3" s="26">
        <v>45980</v>
      </c>
      <c r="H3" s="22"/>
      <c r="I3" s="23"/>
    </row>
    <row r="4" spans="1:9" ht="19.5" customHeight="1" x14ac:dyDescent="0.35">
      <c r="A4" s="5" t="s">
        <v>5</v>
      </c>
      <c r="B4" s="27" t="s">
        <v>30</v>
      </c>
      <c r="C4" s="28"/>
      <c r="D4" s="28"/>
      <c r="E4" s="28"/>
      <c r="F4" s="28"/>
      <c r="G4" s="28"/>
      <c r="H4" s="28"/>
      <c r="I4" s="29"/>
    </row>
    <row r="5" spans="1:9" ht="19.5" customHeight="1" x14ac:dyDescent="0.35">
      <c r="A5" s="6" t="s">
        <v>6</v>
      </c>
      <c r="B5" s="30" t="s">
        <v>31</v>
      </c>
      <c r="C5" s="31"/>
      <c r="D5" s="31"/>
      <c r="E5" s="31"/>
      <c r="F5" s="31"/>
      <c r="G5" s="31"/>
      <c r="H5" s="31"/>
      <c r="I5" s="32"/>
    </row>
    <row r="6" spans="1:9" ht="19.5" customHeight="1" x14ac:dyDescent="0.35">
      <c r="A6" s="7" t="s">
        <v>7</v>
      </c>
      <c r="B6" s="30" t="s">
        <v>32</v>
      </c>
      <c r="C6" s="31"/>
      <c r="D6" s="31"/>
      <c r="E6" s="31"/>
      <c r="F6" s="31"/>
      <c r="G6" s="31"/>
      <c r="H6" s="31"/>
      <c r="I6" s="32"/>
    </row>
    <row r="7" spans="1:9" ht="19.5" customHeight="1" x14ac:dyDescent="0.35">
      <c r="A7" s="33" t="s">
        <v>8</v>
      </c>
      <c r="B7" s="33"/>
      <c r="C7" s="33"/>
      <c r="D7" s="33" t="s">
        <v>9</v>
      </c>
      <c r="E7" s="33"/>
      <c r="F7" s="33"/>
      <c r="G7" s="33" t="s">
        <v>10</v>
      </c>
      <c r="H7" s="33"/>
      <c r="I7" s="33"/>
    </row>
    <row r="8" spans="1:9" ht="44.4" customHeight="1" x14ac:dyDescent="0.35">
      <c r="A8" s="34" t="s">
        <v>33</v>
      </c>
      <c r="B8" s="34"/>
      <c r="C8" s="34"/>
      <c r="D8" s="34" t="s">
        <v>36</v>
      </c>
      <c r="E8" s="34"/>
      <c r="F8" s="34"/>
      <c r="G8" s="35" t="s">
        <v>39</v>
      </c>
      <c r="H8" s="35"/>
      <c r="I8" s="35"/>
    </row>
    <row r="9" spans="1:9" ht="44.4" customHeight="1" x14ac:dyDescent="0.35">
      <c r="A9" s="34" t="s">
        <v>34</v>
      </c>
      <c r="B9" s="34"/>
      <c r="C9" s="34"/>
      <c r="D9" s="34" t="s">
        <v>37</v>
      </c>
      <c r="E9" s="34"/>
      <c r="F9" s="34"/>
      <c r="G9" s="35" t="s">
        <v>40</v>
      </c>
      <c r="H9" s="35"/>
      <c r="I9" s="35"/>
    </row>
    <row r="10" spans="1:9" ht="44.4" customHeight="1" x14ac:dyDescent="0.35">
      <c r="A10" s="34" t="s">
        <v>35</v>
      </c>
      <c r="B10" s="36"/>
      <c r="C10" s="36"/>
      <c r="D10" s="34" t="s">
        <v>38</v>
      </c>
      <c r="E10" s="34"/>
      <c r="F10" s="34"/>
      <c r="G10" s="35" t="s">
        <v>41</v>
      </c>
      <c r="H10" s="35"/>
      <c r="I10" s="35"/>
    </row>
    <row r="11" spans="1:9" ht="19.5" customHeight="1" x14ac:dyDescent="0.35">
      <c r="A11" s="37" t="s">
        <v>11</v>
      </c>
      <c r="B11" s="37"/>
      <c r="C11" s="37" t="s">
        <v>23</v>
      </c>
      <c r="D11" s="37"/>
      <c r="E11" s="37" t="s">
        <v>12</v>
      </c>
      <c r="F11" s="37"/>
      <c r="G11" s="37"/>
      <c r="H11" s="37"/>
      <c r="I11" s="37"/>
    </row>
    <row r="12" spans="1:9" ht="19.5" customHeight="1" x14ac:dyDescent="0.35">
      <c r="A12" s="34" t="s">
        <v>42</v>
      </c>
      <c r="B12" s="34"/>
      <c r="C12" s="38">
        <v>5</v>
      </c>
      <c r="D12" s="38"/>
      <c r="E12" s="34" t="s">
        <v>47</v>
      </c>
      <c r="F12" s="34"/>
      <c r="G12" s="34"/>
      <c r="H12" s="34"/>
      <c r="I12" s="34"/>
    </row>
    <row r="13" spans="1:9" ht="19.5" customHeight="1" x14ac:dyDescent="0.35">
      <c r="A13" s="34" t="s">
        <v>43</v>
      </c>
      <c r="B13" s="34"/>
      <c r="C13" s="38">
        <v>5</v>
      </c>
      <c r="D13" s="38"/>
      <c r="E13" s="34" t="s">
        <v>48</v>
      </c>
      <c r="F13" s="34"/>
      <c r="G13" s="34"/>
      <c r="H13" s="34"/>
      <c r="I13" s="34"/>
    </row>
    <row r="14" spans="1:9" ht="19.5" customHeight="1" x14ac:dyDescent="0.35">
      <c r="A14" s="34" t="s">
        <v>25</v>
      </c>
      <c r="B14" s="34"/>
      <c r="C14" s="38">
        <v>4</v>
      </c>
      <c r="D14" s="38"/>
      <c r="E14" s="34" t="s">
        <v>49</v>
      </c>
      <c r="F14" s="34"/>
      <c r="G14" s="34"/>
      <c r="H14" s="34"/>
      <c r="I14" s="34"/>
    </row>
    <row r="15" spans="1:9" ht="19.5" customHeight="1" x14ac:dyDescent="0.35">
      <c r="A15" s="34" t="s">
        <v>44</v>
      </c>
      <c r="B15" s="34"/>
      <c r="C15" s="38">
        <v>5</v>
      </c>
      <c r="D15" s="38"/>
      <c r="E15" s="34" t="s">
        <v>50</v>
      </c>
      <c r="F15" s="34"/>
      <c r="G15" s="34"/>
      <c r="H15" s="34"/>
      <c r="I15" s="34"/>
    </row>
    <row r="16" spans="1:9" ht="19.5" customHeight="1" x14ac:dyDescent="0.35">
      <c r="A16" s="34" t="s">
        <v>26</v>
      </c>
      <c r="B16" s="34"/>
      <c r="C16" s="38">
        <v>4</v>
      </c>
      <c r="D16" s="38"/>
      <c r="E16" s="34" t="s">
        <v>51</v>
      </c>
      <c r="F16" s="34"/>
      <c r="G16" s="34"/>
      <c r="H16" s="34"/>
      <c r="I16" s="34"/>
    </row>
    <row r="17" spans="1:9" ht="19.5" customHeight="1" x14ac:dyDescent="0.35">
      <c r="A17" s="34" t="s">
        <v>45</v>
      </c>
      <c r="B17" s="34"/>
      <c r="C17" s="38">
        <v>4</v>
      </c>
      <c r="D17" s="38"/>
      <c r="E17" s="34" t="s">
        <v>52</v>
      </c>
      <c r="F17" s="34"/>
      <c r="G17" s="34"/>
      <c r="H17" s="34"/>
      <c r="I17" s="34"/>
    </row>
    <row r="18" spans="1:9" ht="19.5" customHeight="1" x14ac:dyDescent="0.35">
      <c r="A18" s="34" t="s">
        <v>46</v>
      </c>
      <c r="B18" s="34"/>
      <c r="C18" s="38">
        <v>3</v>
      </c>
      <c r="D18" s="38"/>
      <c r="E18" s="34" t="s">
        <v>53</v>
      </c>
      <c r="F18" s="34"/>
      <c r="G18" s="34"/>
      <c r="H18" s="34"/>
      <c r="I18" s="34"/>
    </row>
    <row r="19" spans="1:9" ht="19.5" customHeight="1" x14ac:dyDescent="0.35">
      <c r="A19" s="34" t="s">
        <v>27</v>
      </c>
      <c r="B19" s="34"/>
      <c r="C19" s="38">
        <v>4</v>
      </c>
      <c r="D19" s="38"/>
      <c r="E19" s="34" t="s">
        <v>54</v>
      </c>
      <c r="F19" s="34"/>
      <c r="G19" s="34"/>
      <c r="H19" s="34"/>
      <c r="I19" s="34"/>
    </row>
    <row r="20" spans="1:9" ht="19.5" customHeight="1" x14ac:dyDescent="0.35">
      <c r="A20" s="37" t="s">
        <v>11</v>
      </c>
      <c r="B20" s="39" t="str">
        <f>IF(NOT(ISBLANK(A8)),A8,"NA")</f>
        <v>A1 – Continue Existing Manual / Semi-Digital Billing
O&amp;M bills are calculated manually using spreadsheets and physical records, with manual approval and submission.</v>
      </c>
      <c r="C20" s="39"/>
      <c r="D20" s="39" t="str">
        <f>IF(NOT(ISBLANK(A9)),A9,"NA")</f>
        <v>A2 – Partial Digital Billing Module
Basic billing calculation and bill generation done through Jal Rekha portal, but approvals, corrections, and validations remain manual.</v>
      </c>
      <c r="E20" s="39"/>
      <c r="F20" s="39" t="str">
        <f>IF(NOT(ISBLANK(A10)),A10,"NA")</f>
        <v>A3 – Full Digital O&amp;M Billing Module
End-to-end automated billing calculation, bill creation, approval workflow, audit trail, and MIS reporting through Jal Rekha system.</v>
      </c>
      <c r="G20" s="39"/>
    </row>
    <row r="21" spans="1:9" ht="19.5" customHeight="1" x14ac:dyDescent="0.35">
      <c r="A21" s="37"/>
      <c r="B21" s="9" t="s">
        <v>13</v>
      </c>
      <c r="C21" s="9" t="s">
        <v>14</v>
      </c>
      <c r="D21" s="9" t="s">
        <v>13</v>
      </c>
      <c r="E21" s="9" t="s">
        <v>14</v>
      </c>
      <c r="F21" s="9" t="s">
        <v>13</v>
      </c>
      <c r="G21" s="9" t="s">
        <v>14</v>
      </c>
    </row>
    <row r="22" spans="1:9" ht="19.5" customHeight="1" x14ac:dyDescent="0.35">
      <c r="A22" s="14" t="str">
        <f>IF(NOT(ISBLANK(A12)),A12,"")</f>
        <v>Legal &amp; Financial Compliance</v>
      </c>
      <c r="B22" s="1">
        <v>2</v>
      </c>
      <c r="C22" s="10">
        <f t="shared" ref="C22:C29" si="0">IF(NOT(ISBLANK(A12)),B22*C12,"")</f>
        <v>10</v>
      </c>
      <c r="D22" s="1">
        <v>1</v>
      </c>
      <c r="E22" s="10">
        <f t="shared" ref="E22:E29" si="1">IF(NOT(ISBLANK(A12)),D22*C12,"")</f>
        <v>5</v>
      </c>
      <c r="F22" s="1">
        <v>3</v>
      </c>
      <c r="G22" s="10">
        <f t="shared" ref="G22:G29" si="2">IF(NOT(ISBLANK(A12)),F22*C12,"")</f>
        <v>15</v>
      </c>
    </row>
    <row r="23" spans="1:9" ht="19.5" customHeight="1" x14ac:dyDescent="0.35">
      <c r="A23" s="14" t="str">
        <f t="shared" ref="A23:A28" si="3">IF(NOT(ISBLANK(A13)),A13,"")</f>
        <v>Accuracy of Billing Calculations</v>
      </c>
      <c r="B23" s="1">
        <v>5</v>
      </c>
      <c r="C23" s="10">
        <f t="shared" si="0"/>
        <v>25</v>
      </c>
      <c r="D23" s="1">
        <v>4</v>
      </c>
      <c r="E23" s="10">
        <f t="shared" si="1"/>
        <v>20</v>
      </c>
      <c r="F23" s="1">
        <v>4</v>
      </c>
      <c r="G23" s="10">
        <f t="shared" si="2"/>
        <v>20</v>
      </c>
    </row>
    <row r="24" spans="1:9" ht="19.5" customHeight="1" x14ac:dyDescent="0.35">
      <c r="A24" s="14" t="str">
        <f t="shared" si="3"/>
        <v>Process Automation &amp; Efficiency</v>
      </c>
      <c r="B24" s="1">
        <v>3</v>
      </c>
      <c r="C24" s="10">
        <f t="shared" si="0"/>
        <v>12</v>
      </c>
      <c r="D24" s="1">
        <v>4</v>
      </c>
      <c r="E24" s="10">
        <f t="shared" si="1"/>
        <v>16</v>
      </c>
      <c r="F24" s="1">
        <v>5</v>
      </c>
      <c r="G24" s="10">
        <f t="shared" si="2"/>
        <v>20</v>
      </c>
    </row>
    <row r="25" spans="1:9" ht="19.5" customHeight="1" x14ac:dyDescent="0.35">
      <c r="A25" s="14" t="str">
        <f t="shared" si="3"/>
        <v>Data Security &amp; Audit Trail</v>
      </c>
      <c r="B25" s="1">
        <v>3</v>
      </c>
      <c r="C25" s="10">
        <f t="shared" si="0"/>
        <v>15</v>
      </c>
      <c r="D25" s="1">
        <v>4</v>
      </c>
      <c r="E25" s="10">
        <f t="shared" si="1"/>
        <v>20</v>
      </c>
      <c r="F25" s="1">
        <v>4</v>
      </c>
      <c r="G25" s="10">
        <f t="shared" si="2"/>
        <v>20</v>
      </c>
    </row>
    <row r="26" spans="1:9" ht="19.5" customHeight="1" x14ac:dyDescent="0.35">
      <c r="A26" s="14" t="str">
        <f t="shared" si="3"/>
        <v>Availability of Technical &amp; Operational Resources</v>
      </c>
      <c r="B26" s="1">
        <v>1</v>
      </c>
      <c r="C26" s="10">
        <f t="shared" si="0"/>
        <v>4</v>
      </c>
      <c r="D26" s="1">
        <v>4</v>
      </c>
      <c r="E26" s="10">
        <f t="shared" si="1"/>
        <v>16</v>
      </c>
      <c r="F26" s="1">
        <v>4</v>
      </c>
      <c r="G26" s="10">
        <f t="shared" si="2"/>
        <v>16</v>
      </c>
    </row>
    <row r="27" spans="1:9" ht="19.5" customHeight="1" x14ac:dyDescent="0.35">
      <c r="A27" s="14" t="str">
        <f t="shared" si="3"/>
        <v>Scalability Across Projects</v>
      </c>
      <c r="B27" s="1">
        <v>2</v>
      </c>
      <c r="C27" s="10">
        <f t="shared" si="0"/>
        <v>8</v>
      </c>
      <c r="D27" s="1">
        <v>4</v>
      </c>
      <c r="E27" s="10">
        <f t="shared" si="1"/>
        <v>16</v>
      </c>
      <c r="F27" s="1">
        <v>4</v>
      </c>
      <c r="G27" s="10">
        <f t="shared" si="2"/>
        <v>16</v>
      </c>
    </row>
    <row r="28" spans="1:9" ht="19.5" customHeight="1" x14ac:dyDescent="0.35">
      <c r="A28" s="14" t="str">
        <f t="shared" si="3"/>
        <v>Ease of Use for Field &amp; Finance Staff</v>
      </c>
      <c r="B28" s="1">
        <v>3</v>
      </c>
      <c r="C28" s="10">
        <f t="shared" si="0"/>
        <v>9</v>
      </c>
      <c r="D28" s="1">
        <v>3</v>
      </c>
      <c r="E28" s="10">
        <f t="shared" si="1"/>
        <v>9</v>
      </c>
      <c r="F28" s="1">
        <v>3</v>
      </c>
      <c r="G28" s="10">
        <f t="shared" si="2"/>
        <v>9</v>
      </c>
    </row>
    <row r="29" spans="1:9" ht="19.5" customHeight="1" x14ac:dyDescent="0.35">
      <c r="A29" s="14" t="s">
        <v>27</v>
      </c>
      <c r="B29" s="1">
        <v>2</v>
      </c>
      <c r="C29" s="10">
        <f t="shared" si="0"/>
        <v>8</v>
      </c>
      <c r="D29" s="1"/>
      <c r="E29" s="10">
        <f t="shared" si="1"/>
        <v>0</v>
      </c>
      <c r="F29" s="1"/>
      <c r="G29" s="10">
        <f t="shared" si="2"/>
        <v>0</v>
      </c>
    </row>
    <row r="30" spans="1:9" ht="19.5" customHeight="1" x14ac:dyDescent="0.35">
      <c r="A30" s="8" t="s">
        <v>15</v>
      </c>
      <c r="B30" s="1"/>
      <c r="C30" s="11">
        <f>IF(B20="NA","",AVERAGE(C22:C29))</f>
        <v>11.375</v>
      </c>
      <c r="D30" s="1"/>
      <c r="E30" s="11">
        <f>IF(D20="NA","",AVERAGE(E22:E29))</f>
        <v>12.75</v>
      </c>
      <c r="F30" s="1"/>
      <c r="G30" s="11">
        <f>IF(F20="NA","",AVERAGE(G22:G29))</f>
        <v>14.5</v>
      </c>
    </row>
    <row r="31" spans="1:9" ht="19.5" customHeight="1" x14ac:dyDescent="0.35">
      <c r="A31" s="40" t="s">
        <v>16</v>
      </c>
      <c r="B31" s="41"/>
      <c r="C31" s="41"/>
      <c r="D31" s="41"/>
      <c r="E31" s="41"/>
      <c r="F31" s="41"/>
      <c r="G31" s="41"/>
      <c r="H31" s="41"/>
      <c r="I31" s="41"/>
    </row>
    <row r="32" spans="1:9" ht="19.5" customHeight="1" x14ac:dyDescent="0.35">
      <c r="A32" s="33" t="s">
        <v>8</v>
      </c>
      <c r="B32" s="33"/>
      <c r="C32" s="33"/>
      <c r="D32" s="33" t="s">
        <v>24</v>
      </c>
      <c r="E32" s="33"/>
      <c r="F32" s="33"/>
      <c r="G32" s="33" t="s">
        <v>17</v>
      </c>
      <c r="H32" s="33"/>
      <c r="I32" s="33"/>
    </row>
    <row r="33" spans="1:9" ht="48" customHeight="1" x14ac:dyDescent="0.35">
      <c r="A33" s="42" t="str">
        <f>IF(B20="NA","",A8)</f>
        <v>A1 – Continue Existing Manual / Semi-Digital Billing
O&amp;M bills are calculated manually using spreadsheets and physical records, with manual approval and submission.</v>
      </c>
      <c r="B33" s="42"/>
      <c r="C33" s="42"/>
      <c r="D33" s="43">
        <f>IF(B20="NA","",RANK(C30,$C$30:$G$30,0))</f>
        <v>3</v>
      </c>
      <c r="E33" s="43"/>
      <c r="F33" s="43"/>
      <c r="G33" s="43" t="str">
        <f>IF(AND(NOT(ISBLANK(D33)),ISNUMBER(D33)),IF(D33=1,"Accept","Reject"),"")</f>
        <v>Reject</v>
      </c>
      <c r="H33" s="43"/>
      <c r="I33" s="43"/>
    </row>
    <row r="34" spans="1:9" ht="48" customHeight="1" x14ac:dyDescent="0.35">
      <c r="A34" s="44" t="str">
        <f>IF(D20="NA","",A9)</f>
        <v>A2 – Partial Digital Billing Module
Basic billing calculation and bill generation done through Jal Rekha portal, but approvals, corrections, and validations remain manual.</v>
      </c>
      <c r="B34" s="45"/>
      <c r="C34" s="46"/>
      <c r="D34" s="47">
        <f>IF(D20="NA","",RANK(E30,$C$30:$G$30,0))</f>
        <v>2</v>
      </c>
      <c r="E34" s="48"/>
      <c r="F34" s="49"/>
      <c r="G34" s="47" t="str">
        <f>IF(AND(NOT(ISBLANK(D34)),ISNUMBER(D34)),IF(D34=1,"Accept","Reject"),"")</f>
        <v>Reject</v>
      </c>
      <c r="H34" s="48"/>
      <c r="I34" s="49"/>
    </row>
    <row r="35" spans="1:9" ht="48" customHeight="1" x14ac:dyDescent="0.35">
      <c r="A35" s="42" t="str">
        <f>IF(F20="NA","",A10)</f>
        <v>A3 – Full Digital O&amp;M Billing Module
End-to-end automated billing calculation, bill creation, approval workflow, audit trail, and MIS reporting through Jal Rekha system.</v>
      </c>
      <c r="B35" s="42"/>
      <c r="C35" s="42"/>
      <c r="D35" s="43">
        <f>IF(F20="NA","",RANK(G30,$C$30:$G$30,0))</f>
        <v>1</v>
      </c>
      <c r="E35" s="43"/>
      <c r="F35" s="43"/>
      <c r="G35" s="43" t="str">
        <f>IF(AND(NOT(ISBLANK(D35)),ISNUMBER(D35)),IF(D35=1,"Accept","Reject"),"")</f>
        <v>Accept</v>
      </c>
      <c r="H35" s="43"/>
      <c r="I35" s="43"/>
    </row>
    <row r="36" spans="1:9" ht="67.75" customHeight="1" x14ac:dyDescent="0.35">
      <c r="A36" s="50" t="s">
        <v>18</v>
      </c>
      <c r="B36" s="50"/>
      <c r="C36" s="34" t="s">
        <v>55</v>
      </c>
      <c r="D36" s="36"/>
      <c r="E36" s="36"/>
      <c r="F36" s="36"/>
      <c r="G36" s="36"/>
      <c r="H36" s="36"/>
      <c r="I36" s="36"/>
    </row>
    <row r="37" spans="1:9" ht="84" customHeight="1" x14ac:dyDescent="0.35">
      <c r="A37" s="50" t="s">
        <v>19</v>
      </c>
      <c r="B37" s="50"/>
      <c r="C37" s="27" t="s">
        <v>56</v>
      </c>
      <c r="D37" s="31"/>
      <c r="E37" s="31"/>
      <c r="F37" s="31"/>
      <c r="G37" s="31"/>
      <c r="H37" s="31"/>
      <c r="I37" s="32"/>
    </row>
    <row r="38" spans="1:9" ht="82.25" customHeight="1" x14ac:dyDescent="0.35">
      <c r="A38" s="50" t="s">
        <v>20</v>
      </c>
      <c r="B38" s="50"/>
      <c r="C38" s="34" t="s">
        <v>57</v>
      </c>
      <c r="D38" s="36"/>
      <c r="E38" s="36"/>
      <c r="F38" s="36"/>
      <c r="G38" s="36"/>
      <c r="H38" s="36"/>
      <c r="I38" s="36"/>
    </row>
    <row r="39" spans="1:9" ht="45" customHeight="1" x14ac:dyDescent="0.35">
      <c r="A39" s="51" t="s">
        <v>10</v>
      </c>
      <c r="B39" s="51"/>
      <c r="C39" s="34" t="s">
        <v>58</v>
      </c>
      <c r="D39" s="34"/>
      <c r="E39" s="34"/>
      <c r="F39" s="34"/>
      <c r="G39" s="34"/>
      <c r="H39" s="34"/>
      <c r="I39" s="34"/>
    </row>
    <row r="40" spans="1:9" ht="19.5" customHeight="1" x14ac:dyDescent="0.35">
      <c r="A40" s="51" t="s">
        <v>21</v>
      </c>
      <c r="B40" s="51"/>
      <c r="C40" s="27" t="s">
        <v>59</v>
      </c>
      <c r="D40" s="28"/>
      <c r="E40" s="28"/>
      <c r="F40" s="29"/>
      <c r="G40" s="12" t="s">
        <v>22</v>
      </c>
      <c r="H40" s="26">
        <v>45980</v>
      </c>
      <c r="I40" s="23"/>
    </row>
    <row r="41" spans="1:9" ht="19.5" customHeight="1" x14ac:dyDescent="0.35">
      <c r="A41" s="13"/>
      <c r="B41" s="13"/>
      <c r="C41" s="13"/>
      <c r="D41" s="13"/>
      <c r="E41" s="13"/>
      <c r="F41" s="13"/>
      <c r="G41" s="13"/>
      <c r="H41" s="13"/>
      <c r="I41" s="13"/>
    </row>
    <row r="42" spans="1:9" ht="19.5" customHeight="1" x14ac:dyDescent="0.35">
      <c r="A42" s="13"/>
      <c r="B42" s="13"/>
      <c r="C42" s="13"/>
      <c r="D42" s="13"/>
      <c r="E42" s="13"/>
      <c r="F42" s="13"/>
      <c r="G42" s="13"/>
      <c r="H42" s="13"/>
      <c r="I42" s="13"/>
    </row>
    <row r="43" spans="1:9" ht="19.5" customHeight="1" x14ac:dyDescent="0.35">
      <c r="A43" s="13"/>
      <c r="B43" s="13"/>
      <c r="C43" s="13"/>
      <c r="D43" s="13"/>
      <c r="E43" s="13"/>
      <c r="F43" s="13"/>
      <c r="G43" s="13"/>
      <c r="H43" s="13"/>
      <c r="I43" s="13"/>
    </row>
    <row r="44" spans="1:9" ht="19.5" customHeight="1" x14ac:dyDescent="0.35">
      <c r="A44" s="13"/>
      <c r="B44" s="13"/>
      <c r="C44" s="13"/>
      <c r="D44" s="13"/>
      <c r="E44" s="13"/>
      <c r="F44" s="13"/>
      <c r="G44" s="13"/>
      <c r="H44" s="13"/>
      <c r="I44" s="13"/>
    </row>
  </sheetData>
  <mergeCells count="76">
    <mergeCell ref="A39:B39"/>
    <mergeCell ref="C39:I39"/>
    <mergeCell ref="A40:B40"/>
    <mergeCell ref="C40:F40"/>
    <mergeCell ref="H40:I40"/>
    <mergeCell ref="A36:B36"/>
    <mergeCell ref="C36:I36"/>
    <mergeCell ref="A37:B37"/>
    <mergeCell ref="C37:I37"/>
    <mergeCell ref="A38:B38"/>
    <mergeCell ref="C38:I38"/>
    <mergeCell ref="A35:C35"/>
    <mergeCell ref="D35:F35"/>
    <mergeCell ref="G35:I35"/>
    <mergeCell ref="A33:C33"/>
    <mergeCell ref="D33:F33"/>
    <mergeCell ref="G33:I33"/>
    <mergeCell ref="A34:C34"/>
    <mergeCell ref="D34:F34"/>
    <mergeCell ref="G34:I34"/>
    <mergeCell ref="A32:C32"/>
    <mergeCell ref="D32:F32"/>
    <mergeCell ref="G32:I32"/>
    <mergeCell ref="A18:B18"/>
    <mergeCell ref="C18:D18"/>
    <mergeCell ref="E18:I18"/>
    <mergeCell ref="A19:B19"/>
    <mergeCell ref="C19:D19"/>
    <mergeCell ref="E19:I19"/>
    <mergeCell ref="A20:A21"/>
    <mergeCell ref="B20:C20"/>
    <mergeCell ref="D20:E20"/>
    <mergeCell ref="F20:G20"/>
    <mergeCell ref="A31:I31"/>
    <mergeCell ref="A16:B16"/>
    <mergeCell ref="C16:D16"/>
    <mergeCell ref="E16:I16"/>
    <mergeCell ref="A17:B17"/>
    <mergeCell ref="C17:D17"/>
    <mergeCell ref="E17:I17"/>
    <mergeCell ref="A14:B14"/>
    <mergeCell ref="C14:D14"/>
    <mergeCell ref="E14:I14"/>
    <mergeCell ref="A15:B15"/>
    <mergeCell ref="C15:D15"/>
    <mergeCell ref="E15:I15"/>
    <mergeCell ref="A12:B12"/>
    <mergeCell ref="C12:D12"/>
    <mergeCell ref="E12:I12"/>
    <mergeCell ref="A13:B13"/>
    <mergeCell ref="C13:D13"/>
    <mergeCell ref="E13:I13"/>
    <mergeCell ref="A10:C10"/>
    <mergeCell ref="D10:F10"/>
    <mergeCell ref="G10:I10"/>
    <mergeCell ref="A11:B11"/>
    <mergeCell ref="C11:D11"/>
    <mergeCell ref="E11:I11"/>
    <mergeCell ref="A8:C8"/>
    <mergeCell ref="D8:F8"/>
    <mergeCell ref="G8:I8"/>
    <mergeCell ref="A9:C9"/>
    <mergeCell ref="D9:F9"/>
    <mergeCell ref="G9:I9"/>
    <mergeCell ref="B4:I4"/>
    <mergeCell ref="B5:I5"/>
    <mergeCell ref="B6:I6"/>
    <mergeCell ref="A7:C7"/>
    <mergeCell ref="D7:F7"/>
    <mergeCell ref="G7:I7"/>
    <mergeCell ref="A1:I1"/>
    <mergeCell ref="B2:D2"/>
    <mergeCell ref="G2:I2"/>
    <mergeCell ref="B3:D3"/>
    <mergeCell ref="E3:F3"/>
    <mergeCell ref="G3:I3"/>
  </mergeCells>
  <dataValidations count="1">
    <dataValidation type="list" allowBlank="1" showInputMessage="1" showErrorMessage="1" sqref="B22:B29 D22:D29 F22:F29">
      <formula1>"1,2,3, 4,5"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D21E2ABB2D2C4FB0E5A91234516DC0" ma:contentTypeVersion="9" ma:contentTypeDescription="Create a new document." ma:contentTypeScope="" ma:versionID="192d560c40dc385836dce96eb2990053">
  <xsd:schema xmlns:xsd="http://www.w3.org/2001/XMLSchema" xmlns:xs="http://www.w3.org/2001/XMLSchema" xmlns:p="http://schemas.microsoft.com/office/2006/metadata/properties" xmlns:ns2="0525709d-83f5-4aa2-b8f1-014358ba5028" targetNamespace="http://schemas.microsoft.com/office/2006/metadata/properties" ma:root="true" ma:fieldsID="5dbf577e7226612504307fbbc6adde4b" ns2:_="">
    <xsd:import namespace="0525709d-83f5-4aa2-b8f1-014358ba502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25709d-83f5-4aa2-b8f1-014358ba50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DA1FD4-F437-465C-B64F-25997A5A9900}">
  <ds:schemaRefs>
    <ds:schemaRef ds:uri="http://www.w3.org/XML/1998/namespace"/>
    <ds:schemaRef ds:uri="http://purl.org/dc/term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0525709d-83f5-4aa2-b8f1-014358ba5028"/>
  </ds:schemaRefs>
</ds:datastoreItem>
</file>

<file path=customXml/itemProps2.xml><?xml version="1.0" encoding="utf-8"?>
<ds:datastoreItem xmlns:ds="http://schemas.openxmlformats.org/officeDocument/2006/customXml" ds:itemID="{317B7AA0-62AC-4EAE-A274-8B16CF1188C8}">
  <ds:schemaRefs>
    <ds:schemaRef ds:uri="http://schemas.microsoft.com/sharepoint/v3/contenttype/forms"/>
  </ds:schemaRefs>
</ds:datastoreItem>
</file>

<file path=customXml/itemProps3.xml><?xml version="1.0" encoding="utf-8"?>
<ds:datastoreItem xmlns:ds="http://schemas.openxmlformats.org/officeDocument/2006/customXml" ds:itemID="{A89C17FC-3259-4607-9330-EEE0EF487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25709d-83f5-4aa2-b8f1-014358ba5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O&amp;N Billing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 Maheshwari</dc:creator>
  <cp:lastModifiedBy>hp</cp:lastModifiedBy>
  <dcterms:created xsi:type="dcterms:W3CDTF">2017-11-13T13:56:00Z</dcterms:created>
  <dcterms:modified xsi:type="dcterms:W3CDTF">2026-01-26T13:20:05Z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0x0101008ED21E2ABB2D2C4FB0E5A91234516DC0</vt:lpwstr>
  </property>
</Properties>
</file>