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DAR\"/>
    </mc:Choice>
  </mc:AlternateContent>
  <bookViews>
    <workbookView xWindow="0" yWindow="0" windowWidth="15530" windowHeight="7190"/>
  </bookViews>
  <sheets>
    <sheet name="Sheet1" sheetId="3"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9" i="3" l="1"/>
  <c r="E29" i="3"/>
  <c r="C29" i="3"/>
  <c r="G28" i="3"/>
  <c r="E28" i="3"/>
  <c r="C28" i="3"/>
  <c r="A28" i="3"/>
  <c r="G27" i="3"/>
  <c r="E27" i="3"/>
  <c r="C27" i="3"/>
  <c r="A27" i="3"/>
  <c r="G26" i="3"/>
  <c r="E26" i="3"/>
  <c r="C26" i="3"/>
  <c r="A26" i="3"/>
  <c r="G25" i="3"/>
  <c r="E25" i="3"/>
  <c r="C25" i="3"/>
  <c r="A25" i="3"/>
  <c r="G24" i="3"/>
  <c r="E24" i="3"/>
  <c r="C24" i="3"/>
  <c r="A24" i="3"/>
  <c r="G23" i="3"/>
  <c r="E23" i="3"/>
  <c r="C23" i="3"/>
  <c r="A23" i="3"/>
  <c r="G22" i="3"/>
  <c r="E22" i="3"/>
  <c r="C22" i="3"/>
  <c r="A22" i="3"/>
  <c r="F20" i="3"/>
  <c r="D20" i="3"/>
  <c r="B20" i="3"/>
  <c r="G30" i="3" l="1"/>
  <c r="E30" i="3"/>
  <c r="C30" i="3"/>
  <c r="A33" i="3"/>
  <c r="A34" i="3"/>
  <c r="A35" i="3"/>
  <c r="D35" i="3" l="1"/>
  <c r="G35" i="3" s="1"/>
  <c r="D34" i="3"/>
  <c r="G34" i="3" s="1"/>
  <c r="D33" i="3"/>
  <c r="G33" i="3" s="1"/>
</calcChain>
</file>

<file path=xl/sharedStrings.xml><?xml version="1.0" encoding="utf-8"?>
<sst xmlns="http://schemas.openxmlformats.org/spreadsheetml/2006/main" count="68" uniqueCount="60">
  <si>
    <t>DAR Form</t>
  </si>
  <si>
    <t>Group Name</t>
  </si>
  <si>
    <t>Project Name</t>
  </si>
  <si>
    <t>Decision Seeker</t>
  </si>
  <si>
    <t>Evaluation Date</t>
  </si>
  <si>
    <t>Problem Statement</t>
  </si>
  <si>
    <t>Scope of DAR</t>
  </si>
  <si>
    <t>DAR Team Members</t>
  </si>
  <si>
    <t>Alternatives</t>
  </si>
  <si>
    <t>Source of Alternatives</t>
  </si>
  <si>
    <t>Remarks</t>
  </si>
  <si>
    <t>Criteria for Evaluation</t>
  </si>
  <si>
    <t>Rationale for Criteria and Weightage Selection</t>
  </si>
  <si>
    <t>Score</t>
  </si>
  <si>
    <t>Weighted Score</t>
  </si>
  <si>
    <t>Average Weighted Score</t>
  </si>
  <si>
    <t>Score Range (1 - 5) :  ( 1 = Minimum rating and 5 = Maximum rating)</t>
  </si>
  <si>
    <t>Result</t>
  </si>
  <si>
    <t>Solution Decision 
(Decision Authority)</t>
  </si>
  <si>
    <t>Risk anticipated</t>
  </si>
  <si>
    <t>Assumptions</t>
  </si>
  <si>
    <t>Decision Authority</t>
  </si>
  <si>
    <t>Date</t>
  </si>
  <si>
    <t>Weightage 
 (1 = Least important and 5 = Most important)</t>
  </si>
  <si>
    <t>Order (1 = Highest, 4 = Lowest)</t>
  </si>
  <si>
    <t>Legal &amp; Regulatory Compliance</t>
  </si>
  <si>
    <t>Process Automation &amp; Efficiency</t>
  </si>
  <si>
    <t>Data Security &amp; Document Integrity</t>
  </si>
  <si>
    <t>Availability of Technical &amp; Operational Resources</t>
  </si>
  <si>
    <t>Operational Risk Reduction</t>
  </si>
  <si>
    <t>Jal Rekha Project</t>
  </si>
  <si>
    <t>Entire Project, Technical, Mobile App Team</t>
  </si>
  <si>
    <t>Existing Sahbhagita operational process</t>
  </si>
  <si>
    <t>Internal discussions and feasibility assessment</t>
  </si>
  <si>
    <t>Digital Governance initiatives and Jal Rekha platform capability</t>
  </si>
  <si>
    <t>Limited control and monitoring</t>
  </si>
  <si>
    <t>Moderate improvement</t>
  </si>
  <si>
    <t>Recommended</t>
  </si>
  <si>
    <t>NGO activities require verifiable records</t>
  </si>
  <si>
    <t>Location, photo, and video integrity is critical</t>
  </si>
  <si>
    <t>Faster approvals and reporting</t>
  </si>
  <si>
    <t>Mobile &amp; web feasibility</t>
  </si>
  <si>
    <t>Applicable across districts and villages</t>
  </si>
  <si>
    <t>Field usability</t>
  </si>
  <si>
    <t>Reduced manual errors and misuse</t>
  </si>
  <si>
    <t>Data Authenticity &amp; Validation</t>
  </si>
  <si>
    <t>Scalability Across Locations</t>
  </si>
  <si>
    <t>Ease of Adoption for NGOs</t>
  </si>
  <si>
    <t>Inconsistent mobile network connectivity in remote areas
Media upload failures due to large file sizes
Change management challenges for NGOs
Initial learning curve for approval authorities</t>
  </si>
  <si>
    <t>The proposed Sahbhagita Module aligns with Digital Governance and transparency objectives of the Government of Madhya Pradesh. It strengthens monitoring of NGO-led awareness and community activities by ensuring authentic data capture, controlled approvals, and reliable reporting, while reducing manual intervention and operational risks.</t>
  </si>
  <si>
    <t>Office of the Chief Engineer / Jal Nigam, in consultation with MPSEDC and the Project Steering Committee</t>
  </si>
  <si>
    <t>A1 – Continue Existing Basic Activity Collection
NGO Activites are captured via mobile app with limited validation and basic reporting on the portal.</t>
  </si>
  <si>
    <t>A2 – Partial Digital Validation &amp; Approval
Mobile Activites data captured with location, photo, and video; web portal provides approval/rejection with Activty Data.</t>
  </si>
  <si>
    <t>A3 – Full Digital Sahbhagita Module
End-to-end mobile Activites capture with Lat Long, media validation, Summary Report, structured approval/rejection with remarks, audit trail, and MIS reports.</t>
  </si>
  <si>
    <t>Jal Rekha – Sahbhagita Module (NGO Activity Reporting)</t>
  </si>
  <si>
    <t>Evaluation of alternatives for implementing and strengthening the Sahbhagita Module in Jal Rekha to manage NGO Activites data capture through mobile app, centralized web-based reporting of Jal Rekha Awairness program for Water Supply at (District , Block, GP,Village) level, and approval / rejection workflows with remarks and audit trail.</t>
  </si>
  <si>
    <t>Currently, Sahbhagita activities conducted by NGOs involve field-level Activitys with photos, videos, and location details captured through a mobile application.
However, limitations in validation, monitoring, approval workflows, and reporting transparency may lead to data inconsistency, delayed approvals, lack of centralized review, and audit challenges.
There is a need for a structured, digital, and approval-driven Sahbhagita module to ensure authenticity, transparency, and effective monitoring of NGO activities under Jal Rekha.</t>
  </si>
  <si>
    <t>Sensitive Activity and media data</t>
  </si>
  <si>
    <t>The decision is to implement a Full Digital Sahbhagita Module under Jal Rekha, enabling mobile-based NGO Activity data capture with GPS, photo, and video, centralized web portal reporting, structured approval/rejection workflows with remarks, and comprehensive MIS dashboards to ensure transparency, accountability, and effective monitoring of Sahbhagita activities.
Decision Authority: Department of Water Resources / Jal Nigam, in consultation with MPSEDC and the Project Steering Committee.</t>
  </si>
  <si>
    <t>NGOs will use the approved mobile application for Activity capture
GPS, camera, and timestamp validation will be enabled
Required approvals for digital Activity records are in place
Adequate infrastructure and server capacity are available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</si>
</sst>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4" fillId="0" borderId="9" xfId="0" applyFont="1" applyBorder="1" applyAlignment="1" applyProtection="1">
      <alignment horizontal="center" vertical="top"/>
      <protection locked="0"/>
    </xf>
    <xf numFmtId="0" fontId="1" fillId="0" borderId="0" xfId="0" applyFont="1" applyAlignment="1">
      <alignment vertical="top"/>
    </xf>
    <xf numFmtId="0" fontId="3" fillId="2" borderId="4"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2" borderId="9" xfId="0" applyFont="1" applyFill="1" applyBorder="1" applyAlignment="1">
      <alignment horizontal="left" vertical="top"/>
    </xf>
    <xf numFmtId="0" fontId="3" fillId="2" borderId="9" xfId="0" applyFont="1" applyFill="1" applyBorder="1" applyAlignment="1">
      <alignment vertical="top"/>
    </xf>
    <xf numFmtId="0" fontId="3" fillId="2" borderId="13" xfId="0" applyFont="1" applyFill="1" applyBorder="1" applyAlignment="1">
      <alignment horizontal="left" vertical="top" wrapText="1"/>
    </xf>
    <xf numFmtId="0" fontId="3" fillId="2" borderId="9" xfId="0" applyFont="1" applyFill="1" applyBorder="1" applyAlignment="1">
      <alignment horizontal="center" vertical="top" wrapText="1"/>
    </xf>
    <xf numFmtId="0" fontId="5" fillId="2" borderId="9" xfId="0" applyFont="1" applyFill="1" applyBorder="1" applyAlignment="1">
      <alignment horizontal="center" vertical="top" wrapText="1"/>
    </xf>
    <xf numFmtId="0" fontId="4" fillId="3" borderId="9" xfId="0" applyFont="1" applyFill="1" applyBorder="1" applyAlignment="1">
      <alignment horizontal="center" vertical="top"/>
    </xf>
    <xf numFmtId="2" fontId="3" fillId="3" borderId="9" xfId="0" applyNumberFormat="1" applyFont="1" applyFill="1" applyBorder="1" applyAlignment="1">
      <alignment horizontal="center" vertical="top"/>
    </xf>
    <xf numFmtId="0" fontId="3" fillId="2" borderId="9" xfId="0" applyFont="1" applyFill="1" applyBorder="1" applyAlignment="1">
      <alignment horizontal="center" vertical="top"/>
    </xf>
    <xf numFmtId="0" fontId="2" fillId="0" borderId="0" xfId="0" applyFont="1" applyAlignment="1">
      <alignment vertical="top"/>
    </xf>
    <xf numFmtId="0" fontId="6" fillId="3" borderId="9" xfId="0" applyFont="1" applyFill="1" applyBorder="1" applyAlignment="1">
      <alignment horizontal="left" vertical="top" wrapText="1"/>
    </xf>
    <xf numFmtId="0" fontId="7" fillId="2" borderId="9" xfId="0" applyFont="1" applyFill="1" applyBorder="1" applyAlignment="1">
      <alignment horizontal="left" vertical="top"/>
    </xf>
    <xf numFmtId="0" fontId="4" fillId="0" borderId="9"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14" fontId="4" fillId="0" borderId="10" xfId="0" applyNumberFormat="1" applyFont="1" applyBorder="1" applyAlignment="1" applyProtection="1">
      <alignment horizontal="center" vertical="top"/>
      <protection locked="0"/>
    </xf>
    <xf numFmtId="0" fontId="4" fillId="0" borderId="12" xfId="0" applyFont="1" applyBorder="1" applyAlignment="1" applyProtection="1">
      <alignment horizontal="center" vertical="top"/>
      <protection locked="0"/>
    </xf>
    <xf numFmtId="0" fontId="7" fillId="2" borderId="9" xfId="0" applyFont="1" applyFill="1" applyBorder="1" applyAlignment="1">
      <alignment horizontal="left" vertical="top" wrapText="1"/>
    </xf>
    <xf numFmtId="0" fontId="4" fillId="0" borderId="9" xfId="0" applyFont="1" applyBorder="1" applyAlignment="1" applyProtection="1">
      <alignment horizontal="left" vertical="top"/>
      <protection locked="0"/>
    </xf>
    <xf numFmtId="0" fontId="4" fillId="0" borderId="11" xfId="0" applyFont="1" applyBorder="1" applyAlignment="1" applyProtection="1">
      <alignment horizontal="left" vertical="top"/>
      <protection locked="0"/>
    </xf>
    <xf numFmtId="0" fontId="4" fillId="0" borderId="12" xfId="0" applyFont="1" applyBorder="1" applyAlignment="1" applyProtection="1">
      <alignment horizontal="left" vertical="top"/>
      <protection locked="0"/>
    </xf>
    <xf numFmtId="0" fontId="4" fillId="3" borderId="9" xfId="0" applyFont="1" applyFill="1" applyBorder="1" applyAlignment="1">
      <alignment horizontal="left" vertical="top" wrapText="1"/>
    </xf>
    <xf numFmtId="0" fontId="4" fillId="3" borderId="9" xfId="0" applyFont="1" applyFill="1" applyBorder="1" applyAlignment="1">
      <alignment horizontal="center" vertical="top"/>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12" xfId="0" applyFont="1" applyFill="1" applyBorder="1" applyAlignment="1">
      <alignment horizontal="center" vertical="top"/>
    </xf>
    <xf numFmtId="0" fontId="3" fillId="2" borderId="9" xfId="0" applyFont="1" applyFill="1" applyBorder="1" applyAlignment="1">
      <alignment horizontal="center" vertical="top" wrapText="1"/>
    </xf>
    <xf numFmtId="0" fontId="4" fillId="0" borderId="9" xfId="0" applyFont="1" applyBorder="1" applyAlignment="1" applyProtection="1">
      <alignment horizontal="center" vertical="top" wrapText="1"/>
      <protection locked="0"/>
    </xf>
    <xf numFmtId="0" fontId="5" fillId="2" borderId="9" xfId="0" applyFont="1" applyFill="1" applyBorder="1" applyAlignment="1">
      <alignment horizontal="center" vertical="top" wrapText="1"/>
    </xf>
    <xf numFmtId="0" fontId="5" fillId="2" borderId="9" xfId="0" applyFont="1" applyFill="1" applyBorder="1" applyAlignment="1">
      <alignment horizontal="center" vertical="top"/>
    </xf>
    <xf numFmtId="0" fontId="5" fillId="4" borderId="9" xfId="0" applyFont="1" applyFill="1" applyBorder="1" applyAlignment="1">
      <alignment horizontal="center" vertical="top" wrapText="1"/>
    </xf>
    <xf numFmtId="0" fontId="5" fillId="4" borderId="9" xfId="0" applyFont="1" applyFill="1" applyBorder="1" applyAlignment="1">
      <alignment horizontal="center" vertical="top"/>
    </xf>
    <xf numFmtId="0" fontId="4" fillId="0" borderId="9" xfId="0" applyFont="1" applyBorder="1" applyAlignment="1" applyProtection="1">
      <alignment horizontal="center" vertical="top"/>
      <protection locked="0"/>
    </xf>
    <xf numFmtId="0" fontId="4" fillId="0" borderId="10" xfId="0" applyFont="1" applyBorder="1" applyAlignment="1" applyProtection="1">
      <alignment horizontal="left" vertical="top"/>
      <protection locked="0"/>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4" fillId="0" borderId="6" xfId="0" applyFont="1" applyBorder="1" applyAlignment="1" applyProtection="1">
      <alignment horizontal="center" vertical="top"/>
      <protection locked="0"/>
    </xf>
    <xf numFmtId="0" fontId="4" fillId="0" borderId="7" xfId="0" applyFont="1" applyBorder="1" applyAlignment="1" applyProtection="1">
      <alignment horizontal="center" vertical="top"/>
      <protection locked="0"/>
    </xf>
    <xf numFmtId="0" fontId="4" fillId="0" borderId="8" xfId="0" applyFont="1" applyBorder="1" applyAlignment="1" applyProtection="1">
      <alignment horizontal="center" vertical="top"/>
      <protection locked="0"/>
    </xf>
    <xf numFmtId="0" fontId="4" fillId="0" borderId="10" xfId="0" applyFont="1" applyBorder="1" applyAlignment="1" applyProtection="1">
      <alignment horizontal="center" vertical="top"/>
      <protection locked="0"/>
    </xf>
    <xf numFmtId="0" fontId="4" fillId="0" borderId="11" xfId="0" applyFont="1" applyBorder="1" applyAlignment="1" applyProtection="1">
      <alignment horizontal="center" vertical="top"/>
      <protection locked="0"/>
    </xf>
    <xf numFmtId="0" fontId="3" fillId="2" borderId="10" xfId="0" applyFont="1" applyFill="1" applyBorder="1" applyAlignment="1" applyProtection="1">
      <alignment horizontal="left" vertical="top"/>
      <protection locked="0"/>
    </xf>
    <xf numFmtId="0" fontId="3" fillId="2" borderId="12" xfId="0" applyFont="1" applyFill="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abSelected="1" topLeftCell="A37" zoomScaleNormal="100" workbookViewId="0">
      <selection activeCell="A39" sqref="A39:B39"/>
    </sheetView>
  </sheetViews>
  <sheetFormatPr defaultColWidth="21.81640625" defaultRowHeight="14" x14ac:dyDescent="0.35"/>
  <cols>
    <col min="1" max="3" width="21.81640625" style="2"/>
    <col min="4" max="4" width="11.81640625" style="2" customWidth="1"/>
    <col min="5" max="16384" width="21.81640625" style="2"/>
  </cols>
  <sheetData>
    <row r="1" spans="1:9" ht="19.5" customHeight="1" thickBot="1" x14ac:dyDescent="0.4">
      <c r="A1" s="42" t="s">
        <v>0</v>
      </c>
      <c r="B1" s="43"/>
      <c r="C1" s="43"/>
      <c r="D1" s="43"/>
      <c r="E1" s="43"/>
      <c r="F1" s="43"/>
      <c r="G1" s="43"/>
      <c r="H1" s="43"/>
      <c r="I1" s="44"/>
    </row>
    <row r="2" spans="1:9" ht="19.5" customHeight="1" x14ac:dyDescent="0.35">
      <c r="A2" s="3" t="s">
        <v>1</v>
      </c>
      <c r="B2" s="45" t="s">
        <v>30</v>
      </c>
      <c r="C2" s="46"/>
      <c r="D2" s="47"/>
      <c r="E2" s="3" t="s">
        <v>2</v>
      </c>
      <c r="F2" s="4"/>
      <c r="G2" s="45" t="s">
        <v>54</v>
      </c>
      <c r="H2" s="46"/>
      <c r="I2" s="47"/>
    </row>
    <row r="3" spans="1:9" ht="19.5" customHeight="1" x14ac:dyDescent="0.35">
      <c r="A3" s="5" t="s">
        <v>3</v>
      </c>
      <c r="B3" s="48"/>
      <c r="C3" s="49"/>
      <c r="D3" s="21"/>
      <c r="E3" s="50" t="s">
        <v>4</v>
      </c>
      <c r="F3" s="51"/>
      <c r="G3" s="20">
        <v>45823</v>
      </c>
      <c r="H3" s="49"/>
      <c r="I3" s="21"/>
    </row>
    <row r="4" spans="1:9" ht="36" customHeight="1" x14ac:dyDescent="0.35">
      <c r="A4" s="5" t="s">
        <v>5</v>
      </c>
      <c r="B4" s="17" t="s">
        <v>56</v>
      </c>
      <c r="C4" s="24"/>
      <c r="D4" s="24"/>
      <c r="E4" s="24"/>
      <c r="F4" s="24"/>
      <c r="G4" s="24"/>
      <c r="H4" s="24"/>
      <c r="I4" s="25"/>
    </row>
    <row r="5" spans="1:9" ht="19.5" customHeight="1" x14ac:dyDescent="0.35">
      <c r="A5" s="6" t="s">
        <v>6</v>
      </c>
      <c r="B5" s="41" t="s">
        <v>55</v>
      </c>
      <c r="C5" s="24"/>
      <c r="D5" s="24"/>
      <c r="E5" s="24"/>
      <c r="F5" s="24"/>
      <c r="G5" s="24"/>
      <c r="H5" s="24"/>
      <c r="I5" s="25"/>
    </row>
    <row r="6" spans="1:9" ht="19.5" customHeight="1" x14ac:dyDescent="0.35">
      <c r="A6" s="7" t="s">
        <v>7</v>
      </c>
      <c r="B6" s="41" t="s">
        <v>31</v>
      </c>
      <c r="C6" s="24"/>
      <c r="D6" s="24"/>
      <c r="E6" s="24"/>
      <c r="F6" s="24"/>
      <c r="G6" s="24"/>
      <c r="H6" s="24"/>
      <c r="I6" s="25"/>
    </row>
    <row r="7" spans="1:9" ht="19.5" customHeight="1" x14ac:dyDescent="0.35">
      <c r="A7" s="34" t="s">
        <v>8</v>
      </c>
      <c r="B7" s="34"/>
      <c r="C7" s="34"/>
      <c r="D7" s="34" t="s">
        <v>9</v>
      </c>
      <c r="E7" s="34"/>
      <c r="F7" s="34"/>
      <c r="G7" s="34" t="s">
        <v>10</v>
      </c>
      <c r="H7" s="34"/>
      <c r="I7" s="34"/>
    </row>
    <row r="8" spans="1:9" ht="44.4" customHeight="1" x14ac:dyDescent="0.35">
      <c r="A8" s="16" t="s">
        <v>51</v>
      </c>
      <c r="B8" s="16"/>
      <c r="C8" s="16"/>
      <c r="D8" s="16" t="s">
        <v>32</v>
      </c>
      <c r="E8" s="16"/>
      <c r="F8" s="16"/>
      <c r="G8" s="40" t="s">
        <v>35</v>
      </c>
      <c r="H8" s="40"/>
      <c r="I8" s="40"/>
    </row>
    <row r="9" spans="1:9" ht="44.4" customHeight="1" x14ac:dyDescent="0.35">
      <c r="A9" s="16" t="s">
        <v>52</v>
      </c>
      <c r="B9" s="16"/>
      <c r="C9" s="16"/>
      <c r="D9" s="16" t="s">
        <v>33</v>
      </c>
      <c r="E9" s="16"/>
      <c r="F9" s="16"/>
      <c r="G9" s="40" t="s">
        <v>36</v>
      </c>
      <c r="H9" s="40"/>
      <c r="I9" s="40"/>
    </row>
    <row r="10" spans="1:9" ht="44.4" customHeight="1" x14ac:dyDescent="0.35">
      <c r="A10" s="16" t="s">
        <v>53</v>
      </c>
      <c r="B10" s="23"/>
      <c r="C10" s="23"/>
      <c r="D10" s="16" t="s">
        <v>34</v>
      </c>
      <c r="E10" s="16"/>
      <c r="F10" s="16"/>
      <c r="G10" s="40" t="s">
        <v>37</v>
      </c>
      <c r="H10" s="40"/>
      <c r="I10" s="40"/>
    </row>
    <row r="11" spans="1:9" ht="19.5" customHeight="1" x14ac:dyDescent="0.35">
      <c r="A11" s="36" t="s">
        <v>11</v>
      </c>
      <c r="B11" s="36"/>
      <c r="C11" s="36" t="s">
        <v>23</v>
      </c>
      <c r="D11" s="36"/>
      <c r="E11" s="36" t="s">
        <v>12</v>
      </c>
      <c r="F11" s="36"/>
      <c r="G11" s="36"/>
      <c r="H11" s="36"/>
      <c r="I11" s="36"/>
    </row>
    <row r="12" spans="1:9" ht="19.5" customHeight="1" x14ac:dyDescent="0.35">
      <c r="A12" s="16" t="s">
        <v>25</v>
      </c>
      <c r="B12" s="16"/>
      <c r="C12" s="35">
        <v>5</v>
      </c>
      <c r="D12" s="35"/>
      <c r="E12" s="16" t="s">
        <v>38</v>
      </c>
      <c r="F12" s="16"/>
      <c r="G12" s="16"/>
      <c r="H12" s="16"/>
      <c r="I12" s="16"/>
    </row>
    <row r="13" spans="1:9" ht="19.5" customHeight="1" x14ac:dyDescent="0.35">
      <c r="A13" s="16" t="s">
        <v>45</v>
      </c>
      <c r="B13" s="16"/>
      <c r="C13" s="35">
        <v>5</v>
      </c>
      <c r="D13" s="35"/>
      <c r="E13" s="16" t="s">
        <v>39</v>
      </c>
      <c r="F13" s="16"/>
      <c r="G13" s="16"/>
      <c r="H13" s="16"/>
      <c r="I13" s="16"/>
    </row>
    <row r="14" spans="1:9" ht="19.5" customHeight="1" x14ac:dyDescent="0.35">
      <c r="A14" s="16" t="s">
        <v>26</v>
      </c>
      <c r="B14" s="16"/>
      <c r="C14" s="35">
        <v>4</v>
      </c>
      <c r="D14" s="35"/>
      <c r="E14" s="16" t="s">
        <v>40</v>
      </c>
      <c r="F14" s="16"/>
      <c r="G14" s="16"/>
      <c r="H14" s="16"/>
      <c r="I14" s="16"/>
    </row>
    <row r="15" spans="1:9" ht="19.5" customHeight="1" x14ac:dyDescent="0.35">
      <c r="A15" s="16" t="s">
        <v>27</v>
      </c>
      <c r="B15" s="16"/>
      <c r="C15" s="35">
        <v>5</v>
      </c>
      <c r="D15" s="35"/>
      <c r="E15" s="16" t="s">
        <v>57</v>
      </c>
      <c r="F15" s="16"/>
      <c r="G15" s="16"/>
      <c r="H15" s="16"/>
      <c r="I15" s="16"/>
    </row>
    <row r="16" spans="1:9" ht="19.5" customHeight="1" x14ac:dyDescent="0.35">
      <c r="A16" s="16" t="s">
        <v>28</v>
      </c>
      <c r="B16" s="16"/>
      <c r="C16" s="35">
        <v>4</v>
      </c>
      <c r="D16" s="35"/>
      <c r="E16" s="16" t="s">
        <v>41</v>
      </c>
      <c r="F16" s="16"/>
      <c r="G16" s="16"/>
      <c r="H16" s="16"/>
      <c r="I16" s="16"/>
    </row>
    <row r="17" spans="1:9" ht="19.5" customHeight="1" x14ac:dyDescent="0.35">
      <c r="A17" s="16" t="s">
        <v>46</v>
      </c>
      <c r="B17" s="16"/>
      <c r="C17" s="35">
        <v>4</v>
      </c>
      <c r="D17" s="35"/>
      <c r="E17" s="16" t="s">
        <v>42</v>
      </c>
      <c r="F17" s="16"/>
      <c r="G17" s="16"/>
      <c r="H17" s="16"/>
      <c r="I17" s="16"/>
    </row>
    <row r="18" spans="1:9" ht="19.5" customHeight="1" x14ac:dyDescent="0.35">
      <c r="A18" s="16" t="s">
        <v>47</v>
      </c>
      <c r="B18" s="16"/>
      <c r="C18" s="35">
        <v>3</v>
      </c>
      <c r="D18" s="35"/>
      <c r="E18" s="16" t="s">
        <v>43</v>
      </c>
      <c r="F18" s="16"/>
      <c r="G18" s="16"/>
      <c r="H18" s="16"/>
      <c r="I18" s="16"/>
    </row>
    <row r="19" spans="1:9" ht="19.5" customHeight="1" x14ac:dyDescent="0.35">
      <c r="A19" s="16" t="s">
        <v>29</v>
      </c>
      <c r="B19" s="16"/>
      <c r="C19" s="35">
        <v>4</v>
      </c>
      <c r="D19" s="35"/>
      <c r="E19" s="16" t="s">
        <v>44</v>
      </c>
      <c r="F19" s="16"/>
      <c r="G19" s="16"/>
      <c r="H19" s="16"/>
      <c r="I19" s="16"/>
    </row>
    <row r="20" spans="1:9" ht="19.5" customHeight="1" x14ac:dyDescent="0.35">
      <c r="A20" s="36" t="s">
        <v>11</v>
      </c>
      <c r="B20" s="37" t="str">
        <f>IF(NOT(ISBLANK(A8)),A8,"NA")</f>
        <v>A1 – Continue Existing Basic Activity Collection
NGO Activites are captured via mobile app with limited validation and basic reporting on the portal.</v>
      </c>
      <c r="C20" s="37"/>
      <c r="D20" s="37" t="str">
        <f>IF(NOT(ISBLANK(A9)),A9,"NA")</f>
        <v>A2 – Partial Digital Validation &amp; Approval
Mobile Activites data captured with location, photo, and video; web portal provides approval/rejection with Activty Data.</v>
      </c>
      <c r="E20" s="37"/>
      <c r="F20" s="37" t="str">
        <f>IF(NOT(ISBLANK(A10)),A10,"NA")</f>
        <v>A3 – Full Digital Sahbhagita Module
End-to-end mobile Activites capture with Lat Long, media validation, Summary Report, structured approval/rejection with remarks, audit trail, and MIS reports.</v>
      </c>
      <c r="G20" s="37"/>
    </row>
    <row r="21" spans="1:9" ht="19.5" customHeight="1" x14ac:dyDescent="0.35">
      <c r="A21" s="36"/>
      <c r="B21" s="9" t="s">
        <v>13</v>
      </c>
      <c r="C21" s="9" t="s">
        <v>14</v>
      </c>
      <c r="D21" s="9" t="s">
        <v>13</v>
      </c>
      <c r="E21" s="9" t="s">
        <v>14</v>
      </c>
      <c r="F21" s="9" t="s">
        <v>13</v>
      </c>
      <c r="G21" s="9" t="s">
        <v>14</v>
      </c>
    </row>
    <row r="22" spans="1:9" ht="19.5" customHeight="1" x14ac:dyDescent="0.35">
      <c r="A22" s="14" t="str">
        <f>IF(NOT(ISBLANK(A12)),A12,"")</f>
        <v>Legal &amp; Regulatory Compliance</v>
      </c>
      <c r="B22" s="1">
        <v>1</v>
      </c>
      <c r="C22" s="10">
        <f t="shared" ref="C22:C29" si="0">IF(NOT(ISBLANK(A12)),B22*C12,"")</f>
        <v>5</v>
      </c>
      <c r="D22" s="1">
        <v>1</v>
      </c>
      <c r="E22" s="10">
        <f t="shared" ref="E22:E29" si="1">IF(NOT(ISBLANK(A12)),D22*C12,"")</f>
        <v>5</v>
      </c>
      <c r="F22" s="1">
        <v>3</v>
      </c>
      <c r="G22" s="10">
        <f t="shared" ref="G22:G29" si="2">IF(NOT(ISBLANK(A12)),F22*C12,"")</f>
        <v>15</v>
      </c>
    </row>
    <row r="23" spans="1:9" ht="19.5" customHeight="1" x14ac:dyDescent="0.35">
      <c r="A23" s="14" t="str">
        <f t="shared" ref="A23:A28" si="3">IF(NOT(ISBLANK(A13)),A13,"")</f>
        <v>Data Authenticity &amp; Validation</v>
      </c>
      <c r="B23" s="1">
        <v>5</v>
      </c>
      <c r="C23" s="10">
        <f t="shared" si="0"/>
        <v>25</v>
      </c>
      <c r="D23" s="1">
        <v>4</v>
      </c>
      <c r="E23" s="10">
        <f t="shared" si="1"/>
        <v>20</v>
      </c>
      <c r="F23" s="1">
        <v>4</v>
      </c>
      <c r="G23" s="10">
        <f t="shared" si="2"/>
        <v>20</v>
      </c>
    </row>
    <row r="24" spans="1:9" ht="19.5" customHeight="1" x14ac:dyDescent="0.35">
      <c r="A24" s="14" t="str">
        <f t="shared" si="3"/>
        <v>Process Automation &amp; Efficiency</v>
      </c>
      <c r="B24" s="1">
        <v>3</v>
      </c>
      <c r="C24" s="10">
        <f t="shared" si="0"/>
        <v>12</v>
      </c>
      <c r="D24" s="1">
        <v>4</v>
      </c>
      <c r="E24" s="10">
        <f t="shared" si="1"/>
        <v>16</v>
      </c>
      <c r="F24" s="1">
        <v>5</v>
      </c>
      <c r="G24" s="10">
        <f t="shared" si="2"/>
        <v>20</v>
      </c>
    </row>
    <row r="25" spans="1:9" ht="19.5" customHeight="1" x14ac:dyDescent="0.35">
      <c r="A25" s="14" t="str">
        <f t="shared" si="3"/>
        <v>Data Security &amp; Document Integrity</v>
      </c>
      <c r="B25" s="1">
        <v>3</v>
      </c>
      <c r="C25" s="10">
        <f t="shared" si="0"/>
        <v>15</v>
      </c>
      <c r="D25" s="1">
        <v>4</v>
      </c>
      <c r="E25" s="10">
        <f t="shared" si="1"/>
        <v>20</v>
      </c>
      <c r="F25" s="1">
        <v>4</v>
      </c>
      <c r="G25" s="10">
        <f t="shared" si="2"/>
        <v>20</v>
      </c>
    </row>
    <row r="26" spans="1:9" ht="19.5" customHeight="1" x14ac:dyDescent="0.35">
      <c r="A26" s="14" t="str">
        <f t="shared" si="3"/>
        <v>Availability of Technical &amp; Operational Resources</v>
      </c>
      <c r="B26" s="1">
        <v>1</v>
      </c>
      <c r="C26" s="10">
        <f t="shared" si="0"/>
        <v>4</v>
      </c>
      <c r="D26" s="1">
        <v>4</v>
      </c>
      <c r="E26" s="10">
        <f t="shared" si="1"/>
        <v>16</v>
      </c>
      <c r="F26" s="1">
        <v>4</v>
      </c>
      <c r="G26" s="10">
        <f t="shared" si="2"/>
        <v>16</v>
      </c>
    </row>
    <row r="27" spans="1:9" ht="19.5" customHeight="1" x14ac:dyDescent="0.35">
      <c r="A27" s="14" t="str">
        <f t="shared" si="3"/>
        <v>Scalability Across Locations</v>
      </c>
      <c r="B27" s="1">
        <v>2</v>
      </c>
      <c r="C27" s="10">
        <f t="shared" si="0"/>
        <v>8</v>
      </c>
      <c r="D27" s="1">
        <v>4</v>
      </c>
      <c r="E27" s="10">
        <f t="shared" si="1"/>
        <v>16</v>
      </c>
      <c r="F27" s="1">
        <v>4</v>
      </c>
      <c r="G27" s="10">
        <f t="shared" si="2"/>
        <v>16</v>
      </c>
    </row>
    <row r="28" spans="1:9" ht="19.5" customHeight="1" x14ac:dyDescent="0.35">
      <c r="A28" s="14" t="str">
        <f t="shared" si="3"/>
        <v>Ease of Adoption for NGOs</v>
      </c>
      <c r="B28" s="1">
        <v>3</v>
      </c>
      <c r="C28" s="10">
        <f t="shared" si="0"/>
        <v>9</v>
      </c>
      <c r="D28" s="1">
        <v>3</v>
      </c>
      <c r="E28" s="10">
        <f t="shared" si="1"/>
        <v>9</v>
      </c>
      <c r="F28" s="1">
        <v>3</v>
      </c>
      <c r="G28" s="10">
        <f t="shared" si="2"/>
        <v>9</v>
      </c>
    </row>
    <row r="29" spans="1:9" ht="19.5" customHeight="1" x14ac:dyDescent="0.35">
      <c r="A29" s="14" t="s">
        <v>29</v>
      </c>
      <c r="B29" s="1">
        <v>4</v>
      </c>
      <c r="C29" s="10">
        <f t="shared" si="0"/>
        <v>16</v>
      </c>
      <c r="D29" s="1">
        <v>3</v>
      </c>
      <c r="E29" s="10">
        <f t="shared" si="1"/>
        <v>12</v>
      </c>
      <c r="F29" s="1">
        <v>5</v>
      </c>
      <c r="G29" s="10">
        <f t="shared" si="2"/>
        <v>20</v>
      </c>
    </row>
    <row r="30" spans="1:9" ht="19.5" customHeight="1" x14ac:dyDescent="0.35">
      <c r="A30" s="8" t="s">
        <v>15</v>
      </c>
      <c r="B30" s="1"/>
      <c r="C30" s="11">
        <f>IF(B20="NA","",AVERAGE(C22:C29))</f>
        <v>11.75</v>
      </c>
      <c r="D30" s="1"/>
      <c r="E30" s="11">
        <f>IF(D20="NA","",AVERAGE(E22:E29))</f>
        <v>14.25</v>
      </c>
      <c r="F30" s="1"/>
      <c r="G30" s="11">
        <f>IF(F20="NA","",AVERAGE(G22:G29))</f>
        <v>17</v>
      </c>
    </row>
    <row r="31" spans="1:9" ht="19.5" customHeight="1" x14ac:dyDescent="0.35">
      <c r="A31" s="38" t="s">
        <v>16</v>
      </c>
      <c r="B31" s="39"/>
      <c r="C31" s="39"/>
      <c r="D31" s="39"/>
      <c r="E31" s="39"/>
      <c r="F31" s="39"/>
      <c r="G31" s="39"/>
      <c r="H31" s="39"/>
      <c r="I31" s="39"/>
    </row>
    <row r="32" spans="1:9" ht="19.5" customHeight="1" x14ac:dyDescent="0.35">
      <c r="A32" s="34" t="s">
        <v>8</v>
      </c>
      <c r="B32" s="34"/>
      <c r="C32" s="34"/>
      <c r="D32" s="34" t="s">
        <v>24</v>
      </c>
      <c r="E32" s="34"/>
      <c r="F32" s="34"/>
      <c r="G32" s="34" t="s">
        <v>17</v>
      </c>
      <c r="H32" s="34"/>
      <c r="I32" s="34"/>
    </row>
    <row r="33" spans="1:9" ht="48" customHeight="1" x14ac:dyDescent="0.35">
      <c r="A33" s="26" t="str">
        <f>IF(B20="NA","",A8)</f>
        <v>A1 – Continue Existing Basic Activity Collection
NGO Activites are captured via mobile app with limited validation and basic reporting on the portal.</v>
      </c>
      <c r="B33" s="26"/>
      <c r="C33" s="26"/>
      <c r="D33" s="27">
        <f>IF(B20="NA","",RANK(C30,$C$30:$G$30,0))</f>
        <v>3</v>
      </c>
      <c r="E33" s="27"/>
      <c r="F33" s="27"/>
      <c r="G33" s="27" t="str">
        <f>IF(AND(NOT(ISBLANK(D33)),ISNUMBER(D33)),IF(D33=1,"Accept","Reject"),"")</f>
        <v>Reject</v>
      </c>
      <c r="H33" s="27"/>
      <c r="I33" s="27"/>
    </row>
    <row r="34" spans="1:9" ht="48" customHeight="1" x14ac:dyDescent="0.35">
      <c r="A34" s="28" t="str">
        <f>IF(D20="NA","",A9)</f>
        <v>A2 – Partial Digital Validation &amp; Approval
Mobile Activites data captured with location, photo, and video; web portal provides approval/rejection with Activty Data.</v>
      </c>
      <c r="B34" s="29"/>
      <c r="C34" s="30"/>
      <c r="D34" s="31">
        <f>IF(D20="NA","",RANK(E30,$C$30:$G$30,0))</f>
        <v>2</v>
      </c>
      <c r="E34" s="32"/>
      <c r="F34" s="33"/>
      <c r="G34" s="31" t="str">
        <f>IF(AND(NOT(ISBLANK(D34)),ISNUMBER(D34)),IF(D34=1,"Accept","Reject"),"")</f>
        <v>Reject</v>
      </c>
      <c r="H34" s="32"/>
      <c r="I34" s="33"/>
    </row>
    <row r="35" spans="1:9" ht="48" customHeight="1" x14ac:dyDescent="0.35">
      <c r="A35" s="26" t="str">
        <f>IF(F20="NA","",A10)</f>
        <v>A3 – Full Digital Sahbhagita Module
End-to-end mobile Activites capture with Lat Long, media validation, Summary Report, structured approval/rejection with remarks, audit trail, and MIS reports.</v>
      </c>
      <c r="B35" s="26"/>
      <c r="C35" s="26"/>
      <c r="D35" s="27">
        <f>IF(F20="NA","",RANK(G30,$C$30:$G$30,0))</f>
        <v>1</v>
      </c>
      <c r="E35" s="27"/>
      <c r="F35" s="27"/>
      <c r="G35" s="27" t="str">
        <f>IF(AND(NOT(ISBLANK(D35)),ISNUMBER(D35)),IF(D35=1,"Accept","Reject"),"")</f>
        <v>Accept</v>
      </c>
      <c r="H35" s="27"/>
      <c r="I35" s="27"/>
    </row>
    <row r="36" spans="1:9" ht="67.75" customHeight="1" x14ac:dyDescent="0.35">
      <c r="A36" s="22" t="s">
        <v>18</v>
      </c>
      <c r="B36" s="22"/>
      <c r="C36" s="16" t="s">
        <v>58</v>
      </c>
      <c r="D36" s="23"/>
      <c r="E36" s="23"/>
      <c r="F36" s="23"/>
      <c r="G36" s="23"/>
      <c r="H36" s="23"/>
      <c r="I36" s="23"/>
    </row>
    <row r="37" spans="1:9" ht="84" customHeight="1" x14ac:dyDescent="0.35">
      <c r="A37" s="22" t="s">
        <v>19</v>
      </c>
      <c r="B37" s="22"/>
      <c r="C37" s="17" t="s">
        <v>48</v>
      </c>
      <c r="D37" s="24"/>
      <c r="E37" s="24"/>
      <c r="F37" s="24"/>
      <c r="G37" s="24"/>
      <c r="H37" s="24"/>
      <c r="I37" s="25"/>
    </row>
    <row r="38" spans="1:9" ht="82.25" customHeight="1" x14ac:dyDescent="0.35">
      <c r="A38" s="22" t="s">
        <v>20</v>
      </c>
      <c r="B38" s="22"/>
      <c r="C38" s="16" t="s">
        <v>59</v>
      </c>
      <c r="D38" s="23"/>
      <c r="E38" s="23"/>
      <c r="F38" s="23"/>
      <c r="G38" s="23"/>
      <c r="H38" s="23"/>
      <c r="I38" s="23"/>
    </row>
    <row r="39" spans="1:9" ht="45" customHeight="1" x14ac:dyDescent="0.35">
      <c r="A39" s="15" t="s">
        <v>10</v>
      </c>
      <c r="B39" s="15"/>
      <c r="C39" s="16" t="s">
        <v>49</v>
      </c>
      <c r="D39" s="16"/>
      <c r="E39" s="16"/>
      <c r="F39" s="16"/>
      <c r="G39" s="16"/>
      <c r="H39" s="16"/>
      <c r="I39" s="16"/>
    </row>
    <row r="40" spans="1:9" ht="19.5" customHeight="1" x14ac:dyDescent="0.35">
      <c r="A40" s="15" t="s">
        <v>21</v>
      </c>
      <c r="B40" s="15"/>
      <c r="C40" s="17" t="s">
        <v>50</v>
      </c>
      <c r="D40" s="18"/>
      <c r="E40" s="18"/>
      <c r="F40" s="19"/>
      <c r="G40" s="12" t="s">
        <v>22</v>
      </c>
      <c r="H40" s="20">
        <v>45827</v>
      </c>
      <c r="I40" s="21"/>
    </row>
    <row r="41" spans="1:9" ht="19.5" customHeight="1" x14ac:dyDescent="0.35">
      <c r="A41" s="13"/>
      <c r="B41" s="13"/>
      <c r="C41" s="13"/>
      <c r="D41" s="13"/>
      <c r="E41" s="13"/>
      <c r="F41" s="13"/>
      <c r="G41" s="13"/>
      <c r="H41" s="13"/>
      <c r="I41" s="13"/>
    </row>
    <row r="42" spans="1:9" ht="19.5" customHeight="1" x14ac:dyDescent="0.35">
      <c r="A42" s="13"/>
      <c r="B42" s="13"/>
      <c r="C42" s="13"/>
      <c r="D42" s="13"/>
      <c r="E42" s="13"/>
      <c r="F42" s="13"/>
      <c r="G42" s="13"/>
      <c r="H42" s="13"/>
      <c r="I42" s="13"/>
    </row>
    <row r="43" spans="1:9" ht="19.5" customHeight="1" x14ac:dyDescent="0.35">
      <c r="A43" s="13"/>
      <c r="B43" s="13"/>
      <c r="C43" s="13"/>
      <c r="D43" s="13"/>
      <c r="E43" s="13"/>
      <c r="F43" s="13"/>
      <c r="G43" s="13"/>
      <c r="H43" s="13"/>
      <c r="I43" s="13"/>
    </row>
    <row r="44" spans="1:9" ht="19.5" customHeight="1" x14ac:dyDescent="0.35">
      <c r="A44" s="13"/>
      <c r="B44" s="13"/>
      <c r="C44" s="13"/>
      <c r="D44" s="13"/>
      <c r="E44" s="13"/>
      <c r="F44" s="13"/>
      <c r="G44" s="13"/>
      <c r="H44" s="13"/>
      <c r="I44" s="13"/>
    </row>
  </sheetData>
  <mergeCells count="76">
    <mergeCell ref="A1:I1"/>
    <mergeCell ref="B2:D2"/>
    <mergeCell ref="G2:I2"/>
    <mergeCell ref="B3:D3"/>
    <mergeCell ref="E3:F3"/>
    <mergeCell ref="G3:I3"/>
    <mergeCell ref="B4:I4"/>
    <mergeCell ref="B5:I5"/>
    <mergeCell ref="B6:I6"/>
    <mergeCell ref="A7:C7"/>
    <mergeCell ref="D7:F7"/>
    <mergeCell ref="G7:I7"/>
    <mergeCell ref="A8:C8"/>
    <mergeCell ref="D8:F8"/>
    <mergeCell ref="G8:I8"/>
    <mergeCell ref="A9:C9"/>
    <mergeCell ref="D9:F9"/>
    <mergeCell ref="G9:I9"/>
    <mergeCell ref="A10:C10"/>
    <mergeCell ref="D10:F10"/>
    <mergeCell ref="G10:I10"/>
    <mergeCell ref="A11:B11"/>
    <mergeCell ref="C11:D11"/>
    <mergeCell ref="E11:I11"/>
    <mergeCell ref="A12:B12"/>
    <mergeCell ref="C12:D12"/>
    <mergeCell ref="E12:I12"/>
    <mergeCell ref="A13:B13"/>
    <mergeCell ref="C13:D13"/>
    <mergeCell ref="E13:I13"/>
    <mergeCell ref="A14:B14"/>
    <mergeCell ref="C14:D14"/>
    <mergeCell ref="E14:I14"/>
    <mergeCell ref="A15:B15"/>
    <mergeCell ref="C15:D15"/>
    <mergeCell ref="E15:I15"/>
    <mergeCell ref="A16:B16"/>
    <mergeCell ref="C16:D16"/>
    <mergeCell ref="E16:I16"/>
    <mergeCell ref="A17:B17"/>
    <mergeCell ref="C17:D17"/>
    <mergeCell ref="E17:I17"/>
    <mergeCell ref="A32:C32"/>
    <mergeCell ref="D32:F32"/>
    <mergeCell ref="G32:I32"/>
    <mergeCell ref="A18:B18"/>
    <mergeCell ref="C18:D18"/>
    <mergeCell ref="E18:I18"/>
    <mergeCell ref="A19:B19"/>
    <mergeCell ref="C19:D19"/>
    <mergeCell ref="E19:I19"/>
    <mergeCell ref="A20:A21"/>
    <mergeCell ref="B20:C20"/>
    <mergeCell ref="D20:E20"/>
    <mergeCell ref="F20:G20"/>
    <mergeCell ref="A31:I31"/>
    <mergeCell ref="A35:C35"/>
    <mergeCell ref="D35:F35"/>
    <mergeCell ref="G35:I35"/>
    <mergeCell ref="A33:C33"/>
    <mergeCell ref="D33:F33"/>
    <mergeCell ref="G33:I33"/>
    <mergeCell ref="A34:C34"/>
    <mergeCell ref="D34:F34"/>
    <mergeCell ref="G34:I34"/>
    <mergeCell ref="A36:B36"/>
    <mergeCell ref="C36:I36"/>
    <mergeCell ref="A37:B37"/>
    <mergeCell ref="C37:I37"/>
    <mergeCell ref="A38:B38"/>
    <mergeCell ref="C38:I38"/>
    <mergeCell ref="A39:B39"/>
    <mergeCell ref="C39:I39"/>
    <mergeCell ref="A40:B40"/>
    <mergeCell ref="C40:F40"/>
    <mergeCell ref="H40:I40"/>
  </mergeCells>
  <dataValidations count="1">
    <dataValidation type="list" allowBlank="1" showInputMessage="1" showErrorMessage="1" sqref="B22:B29 D22:D29 F22:F29">
      <formula1>"1,2,3, 4,5"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D21E2ABB2D2C4FB0E5A91234516DC0" ma:contentTypeVersion="9" ma:contentTypeDescription="Create a new document." ma:contentTypeScope="" ma:versionID="192d560c40dc385836dce96eb2990053">
  <xsd:schema xmlns:xsd="http://www.w3.org/2001/XMLSchema" xmlns:xs="http://www.w3.org/2001/XMLSchema" xmlns:p="http://schemas.microsoft.com/office/2006/metadata/properties" xmlns:ns2="0525709d-83f5-4aa2-b8f1-014358ba5028" targetNamespace="http://schemas.microsoft.com/office/2006/metadata/properties" ma:root="true" ma:fieldsID="5dbf577e7226612504307fbbc6adde4b" ns2:_="">
    <xsd:import namespace="0525709d-83f5-4aa2-b8f1-014358ba502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25709d-83f5-4aa2-b8f1-014358ba50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7B7AA0-62AC-4EAE-A274-8B16CF1188C8}">
  <ds:schemaRefs>
    <ds:schemaRef ds:uri="http://schemas.microsoft.com/sharepoint/v3/contenttype/forms"/>
  </ds:schemaRefs>
</ds:datastoreItem>
</file>

<file path=customXml/itemProps2.xml><?xml version="1.0" encoding="utf-8"?>
<ds:datastoreItem xmlns:ds="http://schemas.openxmlformats.org/officeDocument/2006/customXml" ds:itemID="{3EDA1FD4-F437-465C-B64F-25997A5A9900}">
  <ds:schemaRefs>
    <ds:schemaRef ds:uri="http://www.w3.org/XML/1998/namespace"/>
    <ds:schemaRef ds:uri="http://purl.org/dc/term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0525709d-83f5-4aa2-b8f1-014358ba5028"/>
  </ds:schemaRefs>
</ds:datastoreItem>
</file>

<file path=customXml/itemProps3.xml><?xml version="1.0" encoding="utf-8"?>
<ds:datastoreItem xmlns:ds="http://schemas.openxmlformats.org/officeDocument/2006/customXml" ds:itemID="{A89C17FC-3259-4607-9330-EEE0EF487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25709d-83f5-4aa2-b8f1-014358ba5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hp</cp:lastModifiedBy>
  <dcterms:created xsi:type="dcterms:W3CDTF">2017-11-13T13:56:00Z</dcterms:created>
  <dcterms:modified xsi:type="dcterms:W3CDTF">2026-01-27T11:54:41Z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