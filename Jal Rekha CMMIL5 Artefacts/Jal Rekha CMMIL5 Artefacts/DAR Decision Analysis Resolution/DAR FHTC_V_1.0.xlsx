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mc:AlternateContent xmlns:mc="http://schemas.openxmlformats.org/markup-compatibility/2006">
    <mc:Choice Requires="x15">
      <x15ac:absPath xmlns:x15ac="http://schemas.microsoft.com/office/spreadsheetml/2010/11/ac" url="/Users/susheelpatel/Desktop/FHTC/"/>
    </mc:Choice>
  </mc:AlternateContent>
  <xr:revisionPtr revIDLastSave="0" documentId="8_{BFC6A512-1029-CB40-B0C9-3A17245C766E}" xr6:coauthVersionLast="47" xr6:coauthVersionMax="47" xr10:uidLastSave="{00000000-0000-0000-0000-000000000000}"/>
  <bookViews>
    <workbookView xWindow="0" yWindow="580" windowWidth="25600" windowHeight="14620" xr2:uid="{00000000-000D-0000-FFFF-FFFF00000000}"/>
  </bookViews>
  <sheets>
    <sheet name="Sheet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 i="3" l="1"/>
  <c r="A24" i="3"/>
  <c r="A25" i="3"/>
  <c r="A26" i="3"/>
  <c r="A27" i="3"/>
  <c r="A28" i="3"/>
  <c r="G29" i="3"/>
  <c r="E29" i="3"/>
  <c r="C29" i="3"/>
  <c r="G28" i="3"/>
  <c r="E28" i="3"/>
  <c r="C28" i="3"/>
  <c r="G27" i="3"/>
  <c r="E27" i="3"/>
  <c r="C27" i="3"/>
  <c r="G26" i="3"/>
  <c r="E26" i="3"/>
  <c r="C26" i="3"/>
  <c r="G25" i="3"/>
  <c r="E25" i="3"/>
  <c r="C25" i="3"/>
  <c r="G24" i="3"/>
  <c r="E24" i="3"/>
  <c r="C24" i="3"/>
  <c r="G23" i="3"/>
  <c r="E23" i="3"/>
  <c r="C23" i="3"/>
  <c r="G22" i="3"/>
  <c r="E22" i="3"/>
  <c r="C22" i="3"/>
  <c r="F20" i="3"/>
  <c r="A35" i="3" s="1"/>
  <c r="D20" i="3"/>
  <c r="A34" i="3" s="1"/>
  <c r="B20" i="3"/>
  <c r="A33" i="3" s="1"/>
  <c r="G30" i="3" l="1"/>
  <c r="E30" i="3"/>
  <c r="C30" i="3"/>
  <c r="D35" i="3" l="1"/>
  <c r="G35" i="3" s="1"/>
  <c r="D34" i="3"/>
  <c r="G34" i="3" s="1"/>
  <c r="D33" i="3"/>
  <c r="G33" i="3" s="1"/>
</calcChain>
</file>

<file path=xl/sharedStrings.xml><?xml version="1.0" encoding="utf-8"?>
<sst xmlns="http://schemas.openxmlformats.org/spreadsheetml/2006/main" count="61" uniqueCount="53">
  <si>
    <t>Group Name</t>
  </si>
  <si>
    <t>Project Name</t>
  </si>
  <si>
    <t>Decision Seeker</t>
  </si>
  <si>
    <t>Evaluation Date</t>
  </si>
  <si>
    <t>Problem Statement</t>
  </si>
  <si>
    <t>Scope of DAR</t>
  </si>
  <si>
    <t>DAR Team Members</t>
  </si>
  <si>
    <t>Alternatives</t>
  </si>
  <si>
    <t>Source of Alternatives</t>
  </si>
  <si>
    <t>Remarks</t>
  </si>
  <si>
    <t>Criteria for Evaluation</t>
  </si>
  <si>
    <t>Rationale for Criteria and Weightage Selection</t>
  </si>
  <si>
    <t>Score</t>
  </si>
  <si>
    <t>Weighted Score</t>
  </si>
  <si>
    <t>Average Weighted Score</t>
  </si>
  <si>
    <t>Score Range (1 - 5) :  ( 1 = Minimum rating and 5 = Maximum rating)</t>
  </si>
  <si>
    <t>Result</t>
  </si>
  <si>
    <t>Solution Decision 
(Decision Authority)</t>
  </si>
  <si>
    <t>Risk anticipated</t>
  </si>
  <si>
    <t>Assumptions</t>
  </si>
  <si>
    <t>Decision Authority</t>
  </si>
  <si>
    <t>Date</t>
  </si>
  <si>
    <t>Weightage 
 (1 = Least important and 5 = Most important)</t>
  </si>
  <si>
    <t>Order (1 = Highest, 4 = Lowest)</t>
  </si>
  <si>
    <t>Operational Risk Reduction</t>
  </si>
  <si>
    <t>Jal Rekha Project</t>
  </si>
  <si>
    <t>Entire Project, Technical, Mobile App Team</t>
  </si>
  <si>
    <t>Office of the Chief Engineer / Jal Nigam, in consultation with MPSEDC and the Project Steering Committee</t>
  </si>
  <si>
    <t>Process improvement discussions</t>
  </si>
  <si>
    <t>Partial control, limited correction capability</t>
  </si>
  <si>
    <t>Jal Rekha design &amp; operational requirements</t>
  </si>
  <si>
    <t>Controlled, auditable, and reliable process</t>
  </si>
  <si>
    <t>Fully controlled, correction-enabled, and approval-driven process ensuring data accuracy and governance</t>
  </si>
  <si>
    <t>FHTC Form</t>
  </si>
  <si>
    <t>Jal Rekha – FHTC Module – Functional Household Tap Connection</t>
  </si>
  <si>
    <t>The Functional Household Tap Connection (FHTC) Mobile Application under the Jal Rekha project is designed to facilitate household surveys, tap installation verification, and data submission by Field Engineers in offline and online environments.
During review of the application design and implementation against the approved Low Level Design (LLD), certain gaps and risks were identified related to input validation, offline data handling, GPS and geo-fencing enforcement, photo evidence capture, API error handling, security controls, and re-submission workflows.
These gaps may lead to data inconsistency, application instability, incorrect geo-tagging, incomplete evidence submission, duplicate records, and potential non-compliance with FHTC operational guidelines if not addressed.
The purpose of this Defect Analysis Report (DAR) is to document such observations and recommend corrective actions to ensure the FHTC mobile application operates reliably, securely, and in full compliance with Jal Jeevan Mission requirements.</t>
  </si>
  <si>
    <t>The scope of this Defect Analysis Report (DAR) covers the FHTC Module of the Jal Rekha Mobile Application and includes the following functional and technical areas:
1. Household survey and beneficiary identification
2. FHTC tap installation and verification workflow
3. GPS capture, geo-fencing, and location validation
Photo capture and geo-tagged evidence management
Offline data storage, draft handling, and synchronization
API integration and error handling mechanisms
Rejection, correction, and re-submission workflow
Security controls including authentication and session management
Application stability, performance, and user experience consistency
The DAR is limited to the mobile application layer and does not include detailed assessment of backend portal implementation, infrastructure provisioning, or third-party service availability.</t>
  </si>
  <si>
    <t>Strengthen Validation at Application Level
Implement stricter client-side validation for all mandatory FHTC fields (GPS, photographs, installation status, and quality parameters) to prevent incomplete or invalid submissions.</t>
  </si>
  <si>
    <t>Enhanced Offline-First Architecture
Introduce improved offline data validation and status management to ensure draft, synced, and failed FHTC records are clearly distinguished and handled reliably during synchronization.</t>
  </si>
  <si>
    <t>Automated Geo-Fencing Enforcement
Enforce automated geo-fencing and GPS accuracy checks before enabling FHTC submission to ensure compliance with location verification requirements.</t>
  </si>
  <si>
    <t>Jal Rekha FHTC functional and operational requirements</t>
  </si>
  <si>
    <t>Functional Compliance</t>
  </si>
  <si>
    <t>Data Accuracy &amp; Integrity</t>
  </si>
  <si>
    <t>Reliability in Offline Mode</t>
  </si>
  <si>
    <t>Security &amp; Access Control</t>
  </si>
  <si>
    <t>Auditability &amp; Traceability</t>
  </si>
  <si>
    <t>Ease of Use for Field Engineers</t>
  </si>
  <si>
    <t>Scalability &amp; Performance</t>
  </si>
  <si>
    <t>Maintainability &amp; Supportability</t>
  </si>
  <si>
    <t>Based on the evaluation of identified issues, proposed alternatives, and defined evaluation criteria, it has been decided to implement corrective enhancements within the existing FHTC Mobile Application architecture to address the observed gaps.
The decision has been taken to:
Strengthen input validation and mandatory checks
Improve offline data handling and synchronization mechanisms
Enforce GPS and geo-fencing validation
Enhance photo evidence capture and verification
Improve API error handling and security controls
The decision authority for approving and implementing the above solution rests with the Project Steering Committee / Competent Authority of the Jal Rekha Project, in consultation with:
Technical Review Committee
Application Development Team
Quality Assurance and Audit Teams
The selected solution aligns with functional requirements, audit compliance, operational feasibility, and Jal Jeevan Mission guidelines, while minimizing impact on existing users and infrastructure.</t>
  </si>
  <si>
    <t>The following risks are anticipated during implementation and operation of the proposed solution for the FHTC Module of the Jal Rekha Mobile Application:
Operational Disruption During Enhancement
Minor operational disruptions may occur during deployment of validation, GPS, and offline sync enhancements, potentially affecting ongoing field activities.
Data Migration &amp; Consistency Risk
Existing offline or partially synced FHTC records may face consistency issues if data structure or validation logic is modified.
Connectivity Dependency Risk
Synchronization delays may still occur in areas with extremely poor or intermittent network connectivity.
User Adoption Risk
Field Engineers may require time to adapt to stricter validations and revised submission workflows.
GPS Accuracy Variability
Variations in GPS accuracy due to device limitations or environmental factors may impact geo-fencing compliance.
Device Compatibility Risk
Differences in Android device models and OS versions may affect performance of GPS, camera, or offline storage features.
Security &amp; Session Management Risk
Improper handling of authentication or session expiry during enhancements could temporarily restrict user access.
Schedule &amp; Resource Constraints
Limited development or testing resources may affect timelines for implementing all recommended improvements.</t>
  </si>
  <si>
    <t>The following assumptions have been considered while preparing this Defect Analysis Report (DAR) for the FHTC Module of the Jal Rekha Mobile Application:
The FHTC Mobile Application is developed and maintained in accordance with the approved Low Level Design (LLD) and functional specifications.
Field Engineers are provided with government-approved Android devices having functional GPS, camera, and sufficient storage capacity.
Backend services and APIs are available and functioning as per defined specifications, including authentication, authorization, and data validation mechanisms.
Intermittent or limited network connectivity is expected in rural field locations, and the application is designed to support offline-first operations.
GPS accuracy and geo-location data are dependent on device capability, environmental conditions, and availability of satellite signals.
Users (Field Engineers) are adequately trained to use the FHTC Mobile Application and follow defined operational procedures.
Rejection, correction, and re-submission workflows are governed by supervisory review through the web portal.
Security controls such as JWT-based authentication and role-based access control are enforced at the backend level.
Any changes arising from this DAR will follow the approved change management and deployment process.
This DAR focuses on the mobile application layer only and does not include detailed assessment of backend infrastructure or third-party service availability.</t>
  </si>
  <si>
    <t>The review of the FHTC Module of the Jal Rekha Mobile Application has identified areas requiring improvement primarily related to input validation, offline data handling, GPS and geo-fencing enforcement, photo evidence capture, API error handling, and re-submission workflows.
The identified observations are corrective in nature and do not indicate any fundamental architectural deficiency. Implementation of the recommended actions is expected to enhance data accuracy, application stability, audit compliance, and operational efficiency of the FHTC mobile application.
It is recommended that all corrective actions be implemented in a phased manner, followed by adequate testing and validation before production deployment. Continuous monitoring and periodic review should be carried out to ensure sustained compliance with Jal Jeevan Mission guidelines and approved design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</si>
</sst>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8">
    <xf numFmtId="0" fontId="0" fillId="0" borderId="0" xfId="0"/>
    <xf numFmtId="0" fontId="4" fillId="0" borderId="9" xfId="0" applyFont="1" applyBorder="1" applyAlignment="1" applyProtection="1">
      <alignment horizontal="center" vertical="top"/>
      <protection locked="0"/>
    </xf>
    <xf numFmtId="0" fontId="1" fillId="0" borderId="0" xfId="0" applyFont="1" applyAlignment="1">
      <alignment vertical="top"/>
    </xf>
    <xf numFmtId="0" fontId="3" fillId="2" borderId="4" xfId="0" applyFont="1" applyFill="1" applyBorder="1" applyAlignment="1" applyProtection="1">
      <alignment vertical="top"/>
      <protection locked="0"/>
    </xf>
    <xf numFmtId="0" fontId="3" fillId="2" borderId="5" xfId="0" applyFont="1" applyFill="1" applyBorder="1" applyAlignment="1" applyProtection="1">
      <alignment vertical="top"/>
      <protection locked="0"/>
    </xf>
    <xf numFmtId="0" fontId="3" fillId="2" borderId="9" xfId="0" applyFont="1" applyFill="1" applyBorder="1" applyAlignment="1">
      <alignment horizontal="left" vertical="top"/>
    </xf>
    <xf numFmtId="0" fontId="3" fillId="2" borderId="9" xfId="0" applyFont="1" applyFill="1" applyBorder="1" applyAlignment="1">
      <alignment vertical="top"/>
    </xf>
    <xf numFmtId="0" fontId="3" fillId="2" borderId="13" xfId="0" applyFont="1" applyFill="1" applyBorder="1" applyAlignment="1">
      <alignment horizontal="left" vertical="top" wrapText="1"/>
    </xf>
    <xf numFmtId="0" fontId="3" fillId="2" borderId="9" xfId="0" applyFont="1" applyFill="1" applyBorder="1" applyAlignment="1">
      <alignment horizontal="center" vertical="top" wrapText="1"/>
    </xf>
    <xf numFmtId="0" fontId="5" fillId="2" borderId="9" xfId="0" applyFont="1" applyFill="1" applyBorder="1" applyAlignment="1">
      <alignment horizontal="center" vertical="top" wrapText="1"/>
    </xf>
    <xf numFmtId="0" fontId="4" fillId="3" borderId="9" xfId="0" applyFont="1" applyFill="1" applyBorder="1" applyAlignment="1">
      <alignment horizontal="center" vertical="top"/>
    </xf>
    <xf numFmtId="2" fontId="3" fillId="3" borderId="9" xfId="0" applyNumberFormat="1" applyFont="1" applyFill="1" applyBorder="1" applyAlignment="1">
      <alignment horizontal="center" vertical="top"/>
    </xf>
    <xf numFmtId="0" fontId="3" fillId="2" borderId="9" xfId="0" applyFont="1" applyFill="1" applyBorder="1" applyAlignment="1">
      <alignment horizontal="center" vertical="top"/>
    </xf>
    <xf numFmtId="0" fontId="2" fillId="0" borderId="0" xfId="0" applyFont="1" applyAlignment="1">
      <alignment vertical="top"/>
    </xf>
    <xf numFmtId="0" fontId="6" fillId="3" borderId="9" xfId="0" applyFont="1" applyFill="1" applyBorder="1" applyAlignment="1">
      <alignment horizontal="left" vertical="top" wrapText="1"/>
    </xf>
    <xf numFmtId="0" fontId="3" fillId="2" borderId="1" xfId="0" applyFont="1" applyFill="1" applyBorder="1" applyAlignment="1">
      <alignment horizontal="center" vertical="top"/>
    </xf>
    <xf numFmtId="0" fontId="3" fillId="2" borderId="2" xfId="0" applyFont="1" applyFill="1" applyBorder="1" applyAlignment="1">
      <alignment horizontal="center" vertical="top"/>
    </xf>
    <xf numFmtId="0" fontId="3" fillId="2" borderId="3" xfId="0" applyFont="1" applyFill="1" applyBorder="1" applyAlignment="1">
      <alignment horizontal="center" vertical="top"/>
    </xf>
    <xf numFmtId="0" fontId="4" fillId="0" borderId="6" xfId="0" applyFont="1" applyBorder="1" applyAlignment="1" applyProtection="1">
      <alignment horizontal="center" vertical="top"/>
      <protection locked="0"/>
    </xf>
    <xf numFmtId="0" fontId="4" fillId="0" borderId="7" xfId="0" applyFont="1" applyBorder="1" applyAlignment="1" applyProtection="1">
      <alignment horizontal="center" vertical="top"/>
      <protection locked="0"/>
    </xf>
    <xf numFmtId="0" fontId="4" fillId="0" borderId="8" xfId="0" applyFont="1" applyBorder="1" applyAlignment="1" applyProtection="1">
      <alignment horizontal="center" vertical="top"/>
      <protection locked="0"/>
    </xf>
    <xf numFmtId="0" fontId="4" fillId="0" borderId="10" xfId="0" applyFont="1" applyBorder="1" applyAlignment="1" applyProtection="1">
      <alignment horizontal="center" vertical="top"/>
      <protection locked="0"/>
    </xf>
    <xf numFmtId="0" fontId="4" fillId="0" borderId="11" xfId="0" applyFont="1" applyBorder="1" applyAlignment="1" applyProtection="1">
      <alignment horizontal="center" vertical="top"/>
      <protection locked="0"/>
    </xf>
    <xf numFmtId="0" fontId="4" fillId="0" borderId="12" xfId="0" applyFont="1" applyBorder="1" applyAlignment="1" applyProtection="1">
      <alignment horizontal="center" vertical="top"/>
      <protection locked="0"/>
    </xf>
    <xf numFmtId="0" fontId="3" fillId="2" borderId="10" xfId="0" applyFont="1" applyFill="1" applyBorder="1" applyAlignment="1" applyProtection="1">
      <alignment horizontal="left" vertical="top"/>
      <protection locked="0"/>
    </xf>
    <xf numFmtId="0" fontId="3" fillId="2" borderId="12" xfId="0" applyFont="1" applyFill="1" applyBorder="1" applyAlignment="1" applyProtection="1">
      <alignment horizontal="left" vertical="top"/>
      <protection locked="0"/>
    </xf>
    <xf numFmtId="14" fontId="4" fillId="0" borderId="10" xfId="0" applyNumberFormat="1" applyFont="1" applyBorder="1" applyAlignment="1" applyProtection="1">
      <alignment horizontal="center" vertical="top"/>
      <protection locked="0"/>
    </xf>
    <xf numFmtId="0" fontId="4" fillId="0" borderId="10" xfId="0" applyFont="1" applyBorder="1" applyAlignment="1" applyProtection="1">
      <alignment horizontal="left" vertical="top" wrapText="1"/>
      <protection locked="0"/>
    </xf>
    <xf numFmtId="0" fontId="4" fillId="0" borderId="11" xfId="0" applyFont="1" applyBorder="1" applyAlignment="1" applyProtection="1">
      <alignment horizontal="left" vertical="top"/>
      <protection locked="0"/>
    </xf>
    <xf numFmtId="0" fontId="4" fillId="0" borderId="12" xfId="0" applyFont="1" applyBorder="1" applyAlignment="1" applyProtection="1">
      <alignment horizontal="left" vertical="top"/>
      <protection locked="0"/>
    </xf>
    <xf numFmtId="0" fontId="4" fillId="0" borderId="10" xfId="0" applyFont="1" applyBorder="1" applyAlignment="1" applyProtection="1">
      <alignment horizontal="left" vertical="top"/>
      <protection locked="0"/>
    </xf>
    <xf numFmtId="0" fontId="3" fillId="2" borderId="9" xfId="0" applyFont="1" applyFill="1" applyBorder="1" applyAlignment="1">
      <alignment horizontal="center" vertical="top" wrapText="1"/>
    </xf>
    <xf numFmtId="0" fontId="4" fillId="0" borderId="9" xfId="0" applyFont="1" applyBorder="1" applyAlignment="1" applyProtection="1">
      <alignment horizontal="left" vertical="top" wrapText="1"/>
      <protection locked="0"/>
    </xf>
    <xf numFmtId="0" fontId="4" fillId="0" borderId="9" xfId="0" applyFont="1" applyBorder="1" applyAlignment="1" applyProtection="1">
      <alignment horizontal="center" vertical="top"/>
      <protection locked="0"/>
    </xf>
    <xf numFmtId="0" fontId="4" fillId="0" borderId="9" xfId="0" applyFont="1" applyBorder="1" applyAlignment="1" applyProtection="1">
      <alignment horizontal="left" vertical="top"/>
      <protection locked="0"/>
    </xf>
    <xf numFmtId="0" fontId="5" fillId="2" borderId="9" xfId="0" applyFont="1" applyFill="1" applyBorder="1" applyAlignment="1">
      <alignment horizontal="center" vertical="top" wrapText="1"/>
    </xf>
    <xf numFmtId="0" fontId="4" fillId="0" borderId="9" xfId="0" applyFont="1" applyBorder="1" applyAlignment="1" applyProtection="1">
      <alignment horizontal="center" vertical="top" wrapText="1"/>
      <protection locked="0"/>
    </xf>
    <xf numFmtId="0" fontId="5" fillId="2" borderId="9" xfId="0" applyFont="1" applyFill="1" applyBorder="1" applyAlignment="1">
      <alignment horizontal="center" vertical="top"/>
    </xf>
    <xf numFmtId="0" fontId="5" fillId="4" borderId="9" xfId="0" applyFont="1" applyFill="1" applyBorder="1" applyAlignment="1">
      <alignment horizontal="center" vertical="top" wrapText="1"/>
    </xf>
    <xf numFmtId="0" fontId="5" fillId="4" borderId="9" xfId="0" applyFont="1" applyFill="1" applyBorder="1" applyAlignment="1">
      <alignment horizontal="center" vertical="top"/>
    </xf>
    <xf numFmtId="0" fontId="4" fillId="3" borderId="9" xfId="0" applyFont="1" applyFill="1" applyBorder="1" applyAlignment="1">
      <alignment horizontal="left" vertical="top" wrapText="1"/>
    </xf>
    <xf numFmtId="0" fontId="4" fillId="3" borderId="9" xfId="0" applyFont="1" applyFill="1" applyBorder="1" applyAlignment="1">
      <alignment horizontal="center" vertical="top"/>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12" xfId="0" applyFont="1" applyFill="1" applyBorder="1" applyAlignment="1">
      <alignment horizontal="center" vertical="top"/>
    </xf>
    <xf numFmtId="0" fontId="4" fillId="0" borderId="11" xfId="0" applyFont="1" applyBorder="1" applyAlignment="1" applyProtection="1">
      <alignment horizontal="left" vertical="top" wrapText="1"/>
      <protection locked="0"/>
    </xf>
    <xf numFmtId="0" fontId="4" fillId="0" borderId="12" xfId="0" applyFont="1" applyBorder="1" applyAlignment="1" applyProtection="1">
      <alignment horizontal="left" vertical="top" wrapText="1"/>
      <protection locked="0"/>
    </xf>
    <xf numFmtId="0" fontId="7" fillId="2" borderId="10"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0" xfId="0" applyFont="1" applyFill="1" applyBorder="1" applyAlignment="1">
      <alignment horizontal="left" vertical="top"/>
    </xf>
    <xf numFmtId="0" fontId="7" fillId="2" borderId="12" xfId="0" applyFont="1" applyFill="1" applyBorder="1" applyAlignment="1">
      <alignment horizontal="left" vertical="top"/>
    </xf>
    <xf numFmtId="0" fontId="5" fillId="2" borderId="13" xfId="0" applyFont="1" applyFill="1" applyBorder="1" applyAlignment="1">
      <alignment horizontal="center" vertical="top" wrapText="1"/>
    </xf>
    <xf numFmtId="0" fontId="5" fillId="2" borderId="14" xfId="0" applyFont="1" applyFill="1" applyBorder="1" applyAlignment="1">
      <alignment horizontal="center" vertical="top" wrapText="1"/>
    </xf>
    <xf numFmtId="0" fontId="5" fillId="2" borderId="10" xfId="0" applyFont="1" applyFill="1" applyBorder="1" applyAlignment="1">
      <alignment horizontal="center" vertical="top" wrapText="1"/>
    </xf>
    <xf numFmtId="0" fontId="5" fillId="2" borderId="1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A6EF-ACBD-4137-A8AD-6FA6D83C50BB}">
  <dimension ref="A1:I44"/>
  <sheetViews>
    <sheetView tabSelected="1" topLeftCell="A22" zoomScale="105" zoomScaleNormal="115" workbookViewId="0">
      <selection activeCell="C38" sqref="C38:I38"/>
    </sheetView>
  </sheetViews>
  <sheetFormatPr baseColWidth="10" defaultColWidth="21.83203125" defaultRowHeight="14"/>
  <cols>
    <col min="1" max="1" width="23.83203125" style="2" customWidth="1"/>
    <col min="2" max="3" width="21.83203125" style="2"/>
    <col min="4" max="4" width="11.83203125" style="2" customWidth="1"/>
    <col min="5" max="8" width="21.83203125" style="2"/>
    <col min="9" max="9" width="24.1640625" style="2" customWidth="1"/>
    <col min="10" max="16384" width="21.83203125" style="2"/>
  </cols>
  <sheetData>
    <row r="1" spans="1:9" ht="19.5" customHeight="1" thickBot="1">
      <c r="A1" s="15" t="s">
        <v>33</v>
      </c>
      <c r="B1" s="16"/>
      <c r="C1" s="16"/>
      <c r="D1" s="16"/>
      <c r="E1" s="16"/>
      <c r="F1" s="16"/>
      <c r="G1" s="16"/>
      <c r="H1" s="16"/>
      <c r="I1" s="17"/>
    </row>
    <row r="2" spans="1:9" ht="19.5" customHeight="1">
      <c r="A2" s="3" t="s">
        <v>0</v>
      </c>
      <c r="B2" s="18" t="s">
        <v>25</v>
      </c>
      <c r="C2" s="19"/>
      <c r="D2" s="20"/>
      <c r="E2" s="3" t="s">
        <v>1</v>
      </c>
      <c r="F2" s="4"/>
      <c r="G2" s="18" t="s">
        <v>34</v>
      </c>
      <c r="H2" s="19"/>
      <c r="I2" s="20"/>
    </row>
    <row r="3" spans="1:9" ht="19.5" customHeight="1">
      <c r="A3" s="5" t="s">
        <v>2</v>
      </c>
      <c r="B3" s="21"/>
      <c r="C3" s="22"/>
      <c r="D3" s="23"/>
      <c r="E3" s="24" t="s">
        <v>3</v>
      </c>
      <c r="F3" s="25"/>
      <c r="G3" s="26">
        <v>46044</v>
      </c>
      <c r="H3" s="22"/>
      <c r="I3" s="23"/>
    </row>
    <row r="4" spans="1:9" ht="75" customHeight="1">
      <c r="A4" s="5" t="s">
        <v>4</v>
      </c>
      <c r="B4" s="27" t="s">
        <v>35</v>
      </c>
      <c r="C4" s="28"/>
      <c r="D4" s="28"/>
      <c r="E4" s="28"/>
      <c r="F4" s="28"/>
      <c r="G4" s="28"/>
      <c r="H4" s="28"/>
      <c r="I4" s="29"/>
    </row>
    <row r="5" spans="1:9" ht="169.25" customHeight="1">
      <c r="A5" s="6" t="s">
        <v>5</v>
      </c>
      <c r="B5" s="27" t="s">
        <v>36</v>
      </c>
      <c r="C5" s="28"/>
      <c r="D5" s="28"/>
      <c r="E5" s="28"/>
      <c r="F5" s="28"/>
      <c r="G5" s="28"/>
      <c r="H5" s="28"/>
      <c r="I5" s="29"/>
    </row>
    <row r="6" spans="1:9" ht="19.5" customHeight="1">
      <c r="A6" s="7" t="s">
        <v>6</v>
      </c>
      <c r="B6" s="30" t="s">
        <v>26</v>
      </c>
      <c r="C6" s="28"/>
      <c r="D6" s="28"/>
      <c r="E6" s="28"/>
      <c r="F6" s="28"/>
      <c r="G6" s="28"/>
      <c r="H6" s="28"/>
      <c r="I6" s="29"/>
    </row>
    <row r="7" spans="1:9" ht="19.5" customHeight="1">
      <c r="A7" s="31" t="s">
        <v>7</v>
      </c>
      <c r="B7" s="31"/>
      <c r="C7" s="31"/>
      <c r="D7" s="31" t="s">
        <v>8</v>
      </c>
      <c r="E7" s="31"/>
      <c r="F7" s="31"/>
      <c r="G7" s="31" t="s">
        <v>9</v>
      </c>
      <c r="H7" s="31"/>
      <c r="I7" s="31"/>
    </row>
    <row r="8" spans="1:9" ht="54" customHeight="1">
      <c r="A8" s="32" t="s">
        <v>37</v>
      </c>
      <c r="B8" s="32"/>
      <c r="C8" s="32"/>
      <c r="D8" s="32" t="s">
        <v>40</v>
      </c>
      <c r="E8" s="32"/>
      <c r="F8" s="32"/>
      <c r="G8" s="33" t="s">
        <v>32</v>
      </c>
      <c r="H8" s="33"/>
      <c r="I8" s="33"/>
    </row>
    <row r="9" spans="1:9" ht="44.5" customHeight="1">
      <c r="A9" s="32" t="s">
        <v>38</v>
      </c>
      <c r="B9" s="32"/>
      <c r="C9" s="32"/>
      <c r="D9" s="32" t="s">
        <v>28</v>
      </c>
      <c r="E9" s="32"/>
      <c r="F9" s="32"/>
      <c r="G9" s="33" t="s">
        <v>29</v>
      </c>
      <c r="H9" s="33"/>
      <c r="I9" s="33"/>
    </row>
    <row r="10" spans="1:9" ht="44" customHeight="1">
      <c r="A10" s="32" t="s">
        <v>39</v>
      </c>
      <c r="B10" s="34"/>
      <c r="C10" s="34"/>
      <c r="D10" s="32" t="s">
        <v>30</v>
      </c>
      <c r="E10" s="32"/>
      <c r="F10" s="32"/>
      <c r="G10" s="33" t="s">
        <v>31</v>
      </c>
      <c r="H10" s="33"/>
      <c r="I10" s="33"/>
    </row>
    <row r="11" spans="1:9" ht="19.5" customHeight="1">
      <c r="A11" s="56" t="s">
        <v>10</v>
      </c>
      <c r="B11" s="57"/>
      <c r="C11" s="35" t="s">
        <v>22</v>
      </c>
      <c r="D11" s="35"/>
      <c r="E11" s="35" t="s">
        <v>11</v>
      </c>
      <c r="F11" s="35"/>
      <c r="G11" s="35"/>
      <c r="H11" s="35"/>
      <c r="I11" s="35"/>
    </row>
    <row r="12" spans="1:9" ht="19.5" customHeight="1">
      <c r="A12" s="27" t="s">
        <v>41</v>
      </c>
      <c r="B12" s="49"/>
      <c r="C12" s="36">
        <v>5</v>
      </c>
      <c r="D12" s="36"/>
      <c r="E12" s="32"/>
      <c r="F12" s="32"/>
      <c r="G12" s="32"/>
      <c r="H12" s="32"/>
      <c r="I12" s="32"/>
    </row>
    <row r="13" spans="1:9" ht="19.5" customHeight="1">
      <c r="A13" s="27" t="s">
        <v>42</v>
      </c>
      <c r="B13" s="49"/>
      <c r="C13" s="36">
        <v>5</v>
      </c>
      <c r="D13" s="36"/>
      <c r="E13" s="32"/>
      <c r="F13" s="32"/>
      <c r="G13" s="32"/>
      <c r="H13" s="32"/>
      <c r="I13" s="32"/>
    </row>
    <row r="14" spans="1:9" ht="19.5" customHeight="1">
      <c r="A14" s="27" t="s">
        <v>43</v>
      </c>
      <c r="B14" s="49"/>
      <c r="C14" s="36">
        <v>5</v>
      </c>
      <c r="D14" s="36"/>
      <c r="E14" s="32"/>
      <c r="F14" s="32"/>
      <c r="G14" s="32"/>
      <c r="H14" s="32"/>
      <c r="I14" s="32"/>
    </row>
    <row r="15" spans="1:9" ht="19.5" customHeight="1">
      <c r="A15" s="27" t="s">
        <v>44</v>
      </c>
      <c r="B15" s="49"/>
      <c r="C15" s="36">
        <v>4</v>
      </c>
      <c r="D15" s="36"/>
      <c r="E15" s="32"/>
      <c r="F15" s="32"/>
      <c r="G15" s="32"/>
      <c r="H15" s="32"/>
      <c r="I15" s="32"/>
    </row>
    <row r="16" spans="1:9" ht="19.5" customHeight="1">
      <c r="A16" s="27" t="s">
        <v>45</v>
      </c>
      <c r="B16" s="49"/>
      <c r="C16" s="36">
        <v>5</v>
      </c>
      <c r="D16" s="36"/>
      <c r="E16" s="32"/>
      <c r="F16" s="32"/>
      <c r="G16" s="32"/>
      <c r="H16" s="32"/>
      <c r="I16" s="32"/>
    </row>
    <row r="17" spans="1:9" ht="19.5" customHeight="1">
      <c r="A17" s="27" t="s">
        <v>46</v>
      </c>
      <c r="B17" s="49"/>
      <c r="C17" s="36">
        <v>4</v>
      </c>
      <c r="D17" s="36"/>
      <c r="E17" s="32"/>
      <c r="F17" s="32"/>
      <c r="G17" s="32"/>
      <c r="H17" s="32"/>
      <c r="I17" s="32"/>
    </row>
    <row r="18" spans="1:9" ht="19.5" customHeight="1">
      <c r="A18" s="27" t="s">
        <v>47</v>
      </c>
      <c r="B18" s="49"/>
      <c r="C18" s="36">
        <v>3</v>
      </c>
      <c r="D18" s="36"/>
      <c r="E18" s="32"/>
      <c r="F18" s="32"/>
      <c r="G18" s="32"/>
      <c r="H18" s="32"/>
      <c r="I18" s="32"/>
    </row>
    <row r="19" spans="1:9" ht="19.5" customHeight="1">
      <c r="A19" s="27" t="s">
        <v>48</v>
      </c>
      <c r="B19" s="49"/>
      <c r="C19" s="36">
        <v>4</v>
      </c>
      <c r="D19" s="36"/>
      <c r="E19" s="32"/>
      <c r="F19" s="32"/>
      <c r="G19" s="32"/>
      <c r="H19" s="32"/>
      <c r="I19" s="32"/>
    </row>
    <row r="20" spans="1:9" ht="19.5" customHeight="1">
      <c r="A20" s="54" t="s">
        <v>10</v>
      </c>
      <c r="B20" s="37" t="str">
        <f>IF(NOT(ISBLANK(A8)),A8,"NA")</f>
        <v>Strengthen Validation at Application Level
Implement stricter client-side validation for all mandatory FHTC fields (GPS, photographs, installation status, and quality parameters) to prevent incomplete or invalid submissions.</v>
      </c>
      <c r="C20" s="37"/>
      <c r="D20" s="37" t="str">
        <f>IF(NOT(ISBLANK(A9)),A9,"NA")</f>
        <v>Enhanced Offline-First Architecture
Introduce improved offline data validation and status management to ensure draft, synced, and failed FHTC records are clearly distinguished and handled reliably during synchronization.</v>
      </c>
      <c r="E20" s="37"/>
      <c r="F20" s="37" t="str">
        <f>IF(NOT(ISBLANK(A10)),A10,"NA")</f>
        <v>Automated Geo-Fencing Enforcement
Enforce automated geo-fencing and GPS accuracy checks before enabling FHTC submission to ensure compliance with location verification requirements.</v>
      </c>
      <c r="G20" s="37"/>
    </row>
    <row r="21" spans="1:9" ht="19.5" customHeight="1">
      <c r="A21" s="55"/>
      <c r="B21" s="9" t="s">
        <v>12</v>
      </c>
      <c r="C21" s="9" t="s">
        <v>13</v>
      </c>
      <c r="D21" s="9" t="s">
        <v>12</v>
      </c>
      <c r="E21" s="9" t="s">
        <v>13</v>
      </c>
      <c r="F21" s="9" t="s">
        <v>12</v>
      </c>
      <c r="G21" s="9" t="s">
        <v>13</v>
      </c>
    </row>
    <row r="22" spans="1:9" ht="19.5" customHeight="1">
      <c r="A22" s="14" t="s">
        <v>41</v>
      </c>
      <c r="B22" s="1">
        <v>3</v>
      </c>
      <c r="C22" s="10">
        <f>IF(NOT(ISBLANK(A12)),B22*C12,"")</f>
        <v>15</v>
      </c>
      <c r="D22" s="1">
        <v>4</v>
      </c>
      <c r="E22" s="10">
        <f>IF(NOT(ISBLANK(A12)),D22*C12,"")</f>
        <v>20</v>
      </c>
      <c r="F22" s="1">
        <v>5</v>
      </c>
      <c r="G22" s="10">
        <f>IF(NOT(ISBLANK(A12)),F22*C12,"")</f>
        <v>25</v>
      </c>
    </row>
    <row r="23" spans="1:9" ht="19.5" customHeight="1">
      <c r="A23" s="14" t="str">
        <f t="shared" ref="A23:A28" si="0">IF(NOT(ISBLANK(A13)),A13,"")</f>
        <v>Data Accuracy &amp; Integrity</v>
      </c>
      <c r="B23" s="1">
        <v>3</v>
      </c>
      <c r="C23" s="10">
        <f>IF(NOT(ISBLANK(A13)),B23*C13,"")</f>
        <v>15</v>
      </c>
      <c r="D23" s="1">
        <v>4</v>
      </c>
      <c r="E23" s="10">
        <f>IF(NOT(ISBLANK(A13)),D23*C13,"")</f>
        <v>20</v>
      </c>
      <c r="F23" s="1">
        <v>5</v>
      </c>
      <c r="G23" s="10">
        <f>IF(NOT(ISBLANK(A13)),F23*C13,"")</f>
        <v>25</v>
      </c>
    </row>
    <row r="24" spans="1:9" ht="19.5" customHeight="1">
      <c r="A24" s="14" t="str">
        <f t="shared" si="0"/>
        <v>Reliability in Offline Mode</v>
      </c>
      <c r="B24" s="1">
        <v>2</v>
      </c>
      <c r="C24" s="10">
        <f>IF(NOT(ISBLANK(A14)),B24*C14,"")</f>
        <v>10</v>
      </c>
      <c r="D24" s="1">
        <v>4</v>
      </c>
      <c r="E24" s="10">
        <f>IF(NOT(ISBLANK(A14)),D24*C14,"")</f>
        <v>20</v>
      </c>
      <c r="F24" s="1">
        <v>5</v>
      </c>
      <c r="G24" s="10">
        <f>IF(NOT(ISBLANK(A14)),F24*C14,"")</f>
        <v>25</v>
      </c>
    </row>
    <row r="25" spans="1:9" ht="19.5" customHeight="1">
      <c r="A25" s="14" t="str">
        <f t="shared" si="0"/>
        <v>Security &amp; Access Control</v>
      </c>
      <c r="B25" s="1">
        <v>4</v>
      </c>
      <c r="C25" s="10">
        <f>IF(NOT(ISBLANK(A15)),B25*C15,"")</f>
        <v>16</v>
      </c>
      <c r="D25" s="1">
        <v>4</v>
      </c>
      <c r="E25" s="10">
        <f>IF(NOT(ISBLANK(A15)),D25*C15,"")</f>
        <v>16</v>
      </c>
      <c r="F25" s="1">
        <v>5</v>
      </c>
      <c r="G25" s="10">
        <f>IF(NOT(ISBLANK(A15)),F25*C15,"")</f>
        <v>20</v>
      </c>
    </row>
    <row r="26" spans="1:9" ht="19.5" customHeight="1">
      <c r="A26" s="14" t="str">
        <f t="shared" si="0"/>
        <v>Auditability &amp; Traceability</v>
      </c>
      <c r="B26" s="1">
        <v>4</v>
      </c>
      <c r="C26" s="10">
        <f>IF(NOT(ISBLANK(A16)),B26*C16,"")</f>
        <v>20</v>
      </c>
      <c r="D26" s="1">
        <v>5</v>
      </c>
      <c r="E26" s="10">
        <f>IF(NOT(ISBLANK(A16)),D26*C16,"")</f>
        <v>25</v>
      </c>
      <c r="F26" s="1">
        <v>5</v>
      </c>
      <c r="G26" s="10">
        <f>IF(NOT(ISBLANK(A16)),F26*C16,"")</f>
        <v>25</v>
      </c>
    </row>
    <row r="27" spans="1:9" ht="19.5" customHeight="1">
      <c r="A27" s="14" t="str">
        <f t="shared" si="0"/>
        <v>Ease of Use for Field Engineers</v>
      </c>
      <c r="B27" s="1">
        <v>4</v>
      </c>
      <c r="C27" s="10">
        <f>IF(NOT(ISBLANK(A17)),B27*C17,"")</f>
        <v>16</v>
      </c>
      <c r="D27" s="1">
        <v>4</v>
      </c>
      <c r="E27" s="10">
        <f>IF(NOT(ISBLANK(A17)),D27*C17,"")</f>
        <v>16</v>
      </c>
      <c r="F27" s="1">
        <v>4</v>
      </c>
      <c r="G27" s="10">
        <f>IF(NOT(ISBLANK(A17)),F27*C17,"")</f>
        <v>16</v>
      </c>
    </row>
    <row r="28" spans="1:9" ht="19.5" customHeight="1">
      <c r="A28" s="14" t="str">
        <f t="shared" si="0"/>
        <v>Scalability &amp; Performance</v>
      </c>
      <c r="B28" s="1">
        <v>4</v>
      </c>
      <c r="C28" s="10">
        <f>IF(NOT(ISBLANK(A18)),B28*C18,"")</f>
        <v>12</v>
      </c>
      <c r="D28" s="1">
        <v>4</v>
      </c>
      <c r="E28" s="10">
        <f>IF(NOT(ISBLANK(A18)),D28*C18,"")</f>
        <v>12</v>
      </c>
      <c r="F28" s="1">
        <v>4</v>
      </c>
      <c r="G28" s="10">
        <f>IF(NOT(ISBLANK(A18)),F28*C18,"")</f>
        <v>12</v>
      </c>
    </row>
    <row r="29" spans="1:9" ht="19.5" customHeight="1">
      <c r="A29" s="14" t="s">
        <v>24</v>
      </c>
      <c r="B29" s="1">
        <v>3</v>
      </c>
      <c r="C29" s="10">
        <f>IF(NOT(ISBLANK(A19)),B29*C19,"")</f>
        <v>12</v>
      </c>
      <c r="D29" s="1">
        <v>4</v>
      </c>
      <c r="E29" s="10">
        <f>IF(NOT(ISBLANK(A19)),D29*C19,"")</f>
        <v>16</v>
      </c>
      <c r="F29" s="1">
        <v>5</v>
      </c>
      <c r="G29" s="10">
        <f>IF(NOT(ISBLANK(A19)),F29*C19,"")</f>
        <v>20</v>
      </c>
    </row>
    <row r="30" spans="1:9" ht="19.5" customHeight="1">
      <c r="A30" s="8" t="s">
        <v>14</v>
      </c>
      <c r="B30" s="1"/>
      <c r="C30" s="11">
        <f>IF(B20="NA","",AVERAGE(C22:C29))</f>
        <v>14.5</v>
      </c>
      <c r="D30" s="1"/>
      <c r="E30" s="11">
        <f>IF(D20="NA","",AVERAGE(E22:E29))</f>
        <v>18.125</v>
      </c>
      <c r="F30" s="1"/>
      <c r="G30" s="11">
        <f>IF(F20="NA","",AVERAGE(G22:G29))</f>
        <v>21</v>
      </c>
    </row>
    <row r="31" spans="1:9" ht="19.5" customHeight="1">
      <c r="A31" s="38" t="s">
        <v>15</v>
      </c>
      <c r="B31" s="39"/>
      <c r="C31" s="39"/>
      <c r="D31" s="39"/>
      <c r="E31" s="39"/>
      <c r="F31" s="39"/>
      <c r="G31" s="39"/>
      <c r="H31" s="39"/>
      <c r="I31" s="39"/>
    </row>
    <row r="32" spans="1:9" ht="19.5" customHeight="1">
      <c r="A32" s="31" t="s">
        <v>7</v>
      </c>
      <c r="B32" s="31"/>
      <c r="C32" s="31"/>
      <c r="D32" s="31" t="s">
        <v>23</v>
      </c>
      <c r="E32" s="31"/>
      <c r="F32" s="31"/>
      <c r="G32" s="31" t="s">
        <v>16</v>
      </c>
      <c r="H32" s="31"/>
      <c r="I32" s="31"/>
    </row>
    <row r="33" spans="1:9" ht="48" customHeight="1">
      <c r="A33" s="40" t="str">
        <f>IF(B20="NA","",A8)</f>
        <v>Strengthen Validation at Application Level
Implement stricter client-side validation for all mandatory FHTC fields (GPS, photographs, installation status, and quality parameters) to prevent incomplete or invalid submissions.</v>
      </c>
      <c r="B33" s="40"/>
      <c r="C33" s="40"/>
      <c r="D33" s="41">
        <f>IF(B20="NA","",RANK(C30,$C$30:$G$30,0))</f>
        <v>3</v>
      </c>
      <c r="E33" s="41"/>
      <c r="F33" s="41"/>
      <c r="G33" s="41" t="str">
        <f>IF(AND(NOT(ISBLANK(D33)),ISNUMBER(D33)),IF(D33=1,"Accept","Reject"),"")</f>
        <v>Reject</v>
      </c>
      <c r="H33" s="41"/>
      <c r="I33" s="41"/>
    </row>
    <row r="34" spans="1:9" ht="48" customHeight="1">
      <c r="A34" s="42" t="str">
        <f>IF(D20="NA","",A9)</f>
        <v>Enhanced Offline-First Architecture
Introduce improved offline data validation and status management to ensure draft, synced, and failed FHTC records are clearly distinguished and handled reliably during synchronization.</v>
      </c>
      <c r="B34" s="43"/>
      <c r="C34" s="44"/>
      <c r="D34" s="45">
        <f>IF(D20="NA","",RANK(E30,$C$30:$G$30,0))</f>
        <v>2</v>
      </c>
      <c r="E34" s="46"/>
      <c r="F34" s="47"/>
      <c r="G34" s="45" t="str">
        <f>IF(AND(NOT(ISBLANK(D34)),ISNUMBER(D34)),IF(D34=1,"Accept","Reject"),"")</f>
        <v>Reject</v>
      </c>
      <c r="H34" s="46"/>
      <c r="I34" s="47"/>
    </row>
    <row r="35" spans="1:9" ht="48" customHeight="1">
      <c r="A35" s="40" t="str">
        <f>IF(F20="NA","",A10)</f>
        <v>Automated Geo-Fencing Enforcement
Enforce automated geo-fencing and GPS accuracy checks before enabling FHTC submission to ensure compliance with location verification requirements.</v>
      </c>
      <c r="B35" s="40"/>
      <c r="C35" s="40"/>
      <c r="D35" s="41">
        <f>IF(F20="NA","",RANK(G30,$C$30:$G$30,0))</f>
        <v>1</v>
      </c>
      <c r="E35" s="41"/>
      <c r="F35" s="41"/>
      <c r="G35" s="41" t="str">
        <f>IF(AND(NOT(ISBLANK(D35)),ISNUMBER(D35)),IF(D35=1,"Accept","Reject"),"")</f>
        <v>Accept</v>
      </c>
      <c r="H35" s="41"/>
      <c r="I35" s="41"/>
    </row>
    <row r="36" spans="1:9" ht="125.5" customHeight="1">
      <c r="A36" s="50" t="s">
        <v>17</v>
      </c>
      <c r="B36" s="51"/>
      <c r="C36" s="32" t="s">
        <v>49</v>
      </c>
      <c r="D36" s="34"/>
      <c r="E36" s="34"/>
      <c r="F36" s="34"/>
      <c r="G36" s="34"/>
      <c r="H36" s="34"/>
      <c r="I36" s="34"/>
    </row>
    <row r="37" spans="1:9" ht="84" customHeight="1">
      <c r="A37" s="50" t="s">
        <v>18</v>
      </c>
      <c r="B37" s="51"/>
      <c r="C37" s="27" t="s">
        <v>50</v>
      </c>
      <c r="D37" s="28"/>
      <c r="E37" s="28"/>
      <c r="F37" s="28"/>
      <c r="G37" s="28"/>
      <c r="H37" s="28"/>
      <c r="I37" s="29"/>
    </row>
    <row r="38" spans="1:9" ht="82.25" customHeight="1">
      <c r="A38" s="50" t="s">
        <v>19</v>
      </c>
      <c r="B38" s="51"/>
      <c r="C38" s="32" t="s">
        <v>51</v>
      </c>
      <c r="D38" s="34"/>
      <c r="E38" s="34"/>
      <c r="F38" s="34"/>
      <c r="G38" s="34"/>
      <c r="H38" s="34"/>
      <c r="I38" s="34"/>
    </row>
    <row r="39" spans="1:9" ht="45" customHeight="1">
      <c r="A39" s="52" t="s">
        <v>9</v>
      </c>
      <c r="B39" s="53"/>
      <c r="C39" s="32" t="s">
        <v>52</v>
      </c>
      <c r="D39" s="32"/>
      <c r="E39" s="32"/>
      <c r="F39" s="32"/>
      <c r="G39" s="32"/>
      <c r="H39" s="32"/>
      <c r="I39" s="32"/>
    </row>
    <row r="40" spans="1:9" ht="19.5" customHeight="1">
      <c r="A40" s="52" t="s">
        <v>20</v>
      </c>
      <c r="B40" s="53"/>
      <c r="C40" s="27" t="s">
        <v>27</v>
      </c>
      <c r="D40" s="48"/>
      <c r="E40" s="48"/>
      <c r="F40" s="49"/>
      <c r="G40" s="12" t="s">
        <v>21</v>
      </c>
      <c r="H40" s="26">
        <v>46044</v>
      </c>
      <c r="I40" s="23"/>
    </row>
    <row r="41" spans="1:9" ht="19.5" customHeight="1">
      <c r="A41" s="13"/>
      <c r="B41" s="13"/>
      <c r="C41" s="13"/>
      <c r="D41" s="13"/>
      <c r="E41" s="13"/>
      <c r="F41" s="13"/>
      <c r="G41" s="13"/>
      <c r="H41" s="13"/>
      <c r="I41" s="13"/>
    </row>
    <row r="42" spans="1:9" ht="19.5" customHeight="1">
      <c r="A42" s="13"/>
      <c r="B42" s="13"/>
      <c r="C42" s="13"/>
      <c r="D42" s="13"/>
      <c r="E42" s="13"/>
      <c r="F42" s="13"/>
      <c r="G42" s="13"/>
      <c r="H42" s="13"/>
      <c r="I42" s="13"/>
    </row>
    <row r="43" spans="1:9" ht="19.5" customHeight="1">
      <c r="A43" s="13"/>
      <c r="B43" s="13"/>
      <c r="C43" s="13"/>
      <c r="D43" s="13"/>
      <c r="E43" s="13"/>
      <c r="F43" s="13"/>
      <c r="G43" s="13"/>
      <c r="H43" s="13"/>
      <c r="I43" s="13"/>
    </row>
    <row r="44" spans="1:9" ht="19.5" customHeight="1">
      <c r="A44" s="13"/>
      <c r="B44" s="13"/>
      <c r="C44" s="13"/>
      <c r="D44" s="13"/>
      <c r="E44" s="13"/>
      <c r="F44" s="13"/>
      <c r="G44" s="13"/>
      <c r="H44" s="13"/>
      <c r="I44" s="13"/>
    </row>
  </sheetData>
  <mergeCells count="76">
    <mergeCell ref="A39:B39"/>
    <mergeCell ref="C39:I39"/>
    <mergeCell ref="A40:B40"/>
    <mergeCell ref="C40:F40"/>
    <mergeCell ref="H40:I40"/>
    <mergeCell ref="A36:B36"/>
    <mergeCell ref="C36:I36"/>
    <mergeCell ref="A37:B37"/>
    <mergeCell ref="C37:I37"/>
    <mergeCell ref="A38:B38"/>
    <mergeCell ref="C38:I38"/>
    <mergeCell ref="A35:C35"/>
    <mergeCell ref="D35:F35"/>
    <mergeCell ref="G35:I35"/>
    <mergeCell ref="A33:C33"/>
    <mergeCell ref="D33:F33"/>
    <mergeCell ref="G33:I33"/>
    <mergeCell ref="A34:C34"/>
    <mergeCell ref="D34:F34"/>
    <mergeCell ref="G34:I34"/>
    <mergeCell ref="A32:C32"/>
    <mergeCell ref="D32:F32"/>
    <mergeCell ref="G32:I32"/>
    <mergeCell ref="A18:B18"/>
    <mergeCell ref="C18:D18"/>
    <mergeCell ref="E18:I18"/>
    <mergeCell ref="A19:B19"/>
    <mergeCell ref="C19:D19"/>
    <mergeCell ref="E19:I19"/>
    <mergeCell ref="A20:A21"/>
    <mergeCell ref="B20:C20"/>
    <mergeCell ref="D20:E20"/>
    <mergeCell ref="F20:G20"/>
    <mergeCell ref="A31:I31"/>
    <mergeCell ref="A16:B16"/>
    <mergeCell ref="C16:D16"/>
    <mergeCell ref="E16:I16"/>
    <mergeCell ref="A17:B17"/>
    <mergeCell ref="C17:D17"/>
    <mergeCell ref="E17:I17"/>
    <mergeCell ref="A14:B14"/>
    <mergeCell ref="C14:D14"/>
    <mergeCell ref="E14:I14"/>
    <mergeCell ref="A15:B15"/>
    <mergeCell ref="C15:D15"/>
    <mergeCell ref="E15:I15"/>
    <mergeCell ref="A12:B12"/>
    <mergeCell ref="C12:D12"/>
    <mergeCell ref="E12:I12"/>
    <mergeCell ref="A13:B13"/>
    <mergeCell ref="C13:D13"/>
    <mergeCell ref="E13:I13"/>
    <mergeCell ref="A10:C10"/>
    <mergeCell ref="D10:F10"/>
    <mergeCell ref="G10:I10"/>
    <mergeCell ref="A11:B11"/>
    <mergeCell ref="C11:D11"/>
    <mergeCell ref="E11:I11"/>
    <mergeCell ref="A8:C8"/>
    <mergeCell ref="D8:F8"/>
    <mergeCell ref="G8:I8"/>
    <mergeCell ref="A9:C9"/>
    <mergeCell ref="D9:F9"/>
    <mergeCell ref="G9:I9"/>
    <mergeCell ref="B4:I4"/>
    <mergeCell ref="B5:I5"/>
    <mergeCell ref="B6:I6"/>
    <mergeCell ref="A7:C7"/>
    <mergeCell ref="D7:F7"/>
    <mergeCell ref="G7:I7"/>
    <mergeCell ref="A1:I1"/>
    <mergeCell ref="B2:D2"/>
    <mergeCell ref="G2:I2"/>
    <mergeCell ref="B3:D3"/>
    <mergeCell ref="E3:F3"/>
    <mergeCell ref="G3:I3"/>
  </mergeCells>
  <dataValidations count="1">
    <dataValidation type="list" allowBlank="1" showInputMessage="1" showErrorMessage="1" sqref="B22:B29 D22:D29 F22:F29" xr:uid="{350E1ABB-A479-4606-AC1A-110BED3CA4E4}">
      <formula1>"1,2,3, 4,5"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D21E2ABB2D2C4FB0E5A91234516DC0" ma:contentTypeVersion="9" ma:contentTypeDescription="Create a new document." ma:contentTypeScope="" ma:versionID="192d560c40dc385836dce96eb2990053">
  <xsd:schema xmlns:xsd="http://www.w3.org/2001/XMLSchema" xmlns:xs="http://www.w3.org/2001/XMLSchema" xmlns:p="http://schemas.microsoft.com/office/2006/metadata/properties" xmlns:ns2="0525709d-83f5-4aa2-b8f1-014358ba5028" targetNamespace="http://schemas.microsoft.com/office/2006/metadata/properties" ma:root="true" ma:fieldsID="5dbf577e7226612504307fbbc6adde4b" ns2:_="">
    <xsd:import namespace="0525709d-83f5-4aa2-b8f1-014358ba502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25709d-83f5-4aa2-b8f1-014358ba50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9C17FC-3259-4607-9330-EEE0EF487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25709d-83f5-4aa2-b8f1-014358ba50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DA1FD4-F437-465C-B64F-25997A5A9900}">
  <ds:schemaRefs>
    <ds:schemaRef ds:uri="http://www.w3.org/XML/1998/namespace"/>
    <ds:schemaRef ds:uri="http://purl.org/dc/terms/"/>
    <ds:schemaRef ds:uri="http://schemas.openxmlformats.org/package/2006/metadata/core-properties"/>
    <ds:schemaRef ds:uri="http://schemas.microsoft.com/office/2006/documentManagement/types"/>
    <ds:schemaRef ds:uri="http://purl.org/dc/elements/1.1/"/>
    <ds:schemaRef ds:uri="http://purl.org/dc/dcmitype/"/>
    <ds:schemaRef ds:uri="http://schemas.microsoft.com/office/2006/metadata/properties"/>
    <ds:schemaRef ds:uri="http://schemas.microsoft.com/office/infopath/2007/PartnerControls"/>
    <ds:schemaRef ds:uri="0525709d-83f5-4aa2-b8f1-014358ba5028"/>
  </ds:schemaRefs>
</ds:datastoreItem>
</file>

<file path=customXml/itemProps3.xml><?xml version="1.0" encoding="utf-8"?>
<ds:datastoreItem xmlns:ds="http://schemas.openxmlformats.org/officeDocument/2006/customXml" ds:itemID="{317B7AA0-62AC-4EAE-A274-8B16CF1188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Susheel Patel</cp:lastModifiedBy>
  <dcterms:created xsi:type="dcterms:W3CDTF">2017-11-13T13:56:00Z</dcterms:created>
  <dcterms:modified xsi:type="dcterms:W3CDTF">2026-02-03T06:07:24Z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