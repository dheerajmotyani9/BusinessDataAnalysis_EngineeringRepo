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Jal_Nigam\Docs\Final_Doc_CMMI\"/>
    </mc:Choice>
  </mc:AlternateContent>
  <xr:revisionPtr revIDLastSave="0" documentId="13_ncr:1_{42E45D07-082A-477B-81A7-EECBC08F7625}" xr6:coauthVersionLast="47" xr6:coauthVersionMax="47" xr10:uidLastSave="{00000000-0000-0000-0000-000000000000}"/>
  <bookViews>
    <workbookView xWindow="-108" yWindow="-108" windowWidth="23256" windowHeight="12456" xr2:uid="{00000000-000D-0000-FFFF-FFFF00000000}"/>
  </bookViews>
  <sheets>
    <sheet name="SOPAN Modu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 l="1"/>
  <c r="A33" i="1"/>
  <c r="A22" i="1"/>
  <c r="B20" i="1"/>
  <c r="G29" i="1"/>
  <c r="E29" i="1"/>
  <c r="C29" i="1"/>
  <c r="G28" i="1"/>
  <c r="E28" i="1"/>
  <c r="C28" i="1"/>
  <c r="A28" i="1"/>
  <c r="G27" i="1"/>
  <c r="E27" i="1"/>
  <c r="C27" i="1"/>
  <c r="A27" i="1"/>
  <c r="G26" i="1"/>
  <c r="E26" i="1"/>
  <c r="C26" i="1"/>
  <c r="A26" i="1"/>
  <c r="G25" i="1"/>
  <c r="E25" i="1"/>
  <c r="C25" i="1"/>
  <c r="A25" i="1"/>
  <c r="G24" i="1"/>
  <c r="E24" i="1"/>
  <c r="A24" i="1"/>
  <c r="G23" i="1"/>
  <c r="E23" i="1"/>
  <c r="C23" i="1"/>
  <c r="A23" i="1"/>
  <c r="G22" i="1"/>
  <c r="E22" i="1"/>
  <c r="C22" i="1"/>
  <c r="F20" i="1"/>
  <c r="D20" i="1"/>
  <c r="E30" i="1" l="1"/>
  <c r="G30" i="1"/>
  <c r="C30" i="1"/>
  <c r="D34" i="1" s="1"/>
  <c r="G34" i="1" s="1"/>
  <c r="D35" i="1"/>
  <c r="G35" i="1" s="1"/>
  <c r="D33" i="1"/>
  <c r="G33" i="1" s="1"/>
  <c r="A34" i="1"/>
  <c r="A35" i="1"/>
</calcChain>
</file>

<file path=xl/sharedStrings.xml><?xml version="1.0" encoding="utf-8"?>
<sst xmlns="http://schemas.openxmlformats.org/spreadsheetml/2006/main" count="68" uniqueCount="60">
  <si>
    <t>DAR Form</t>
  </si>
  <si>
    <t>Group Name</t>
  </si>
  <si>
    <t>Project Name</t>
  </si>
  <si>
    <t>Decision Seeker</t>
  </si>
  <si>
    <t>Evaluation Date</t>
  </si>
  <si>
    <t>Problem Statement</t>
  </si>
  <si>
    <t>Scope of DAR</t>
  </si>
  <si>
    <t>DAR Team Members</t>
  </si>
  <si>
    <t>Alternatives</t>
  </si>
  <si>
    <t>Source of Alternatives</t>
  </si>
  <si>
    <t>Remarks</t>
  </si>
  <si>
    <t>Criteria for Evaluation</t>
  </si>
  <si>
    <t>Weightage 
 (1 = Least important and 5 = Most important)</t>
  </si>
  <si>
    <t>Rationale for Criteria and Weightage Selection</t>
  </si>
  <si>
    <t>Legal &amp; Regulatory Compliance</t>
  </si>
  <si>
    <t>Integration Feasibility</t>
  </si>
  <si>
    <t>Process Automation &amp; Efficiency</t>
  </si>
  <si>
    <t>Data Security &amp; Document Integrity</t>
  </si>
  <si>
    <t>Availability of Technical &amp; Operational Resources</t>
  </si>
  <si>
    <t>Scalability &amp; Reusability</t>
  </si>
  <si>
    <t>Ease of Adoption for Applicants</t>
  </si>
  <si>
    <t>Operational Risk Reduction</t>
  </si>
  <si>
    <t>Score</t>
  </si>
  <si>
    <t>Weighted Score</t>
  </si>
  <si>
    <t>Average Weighted Score</t>
  </si>
  <si>
    <t>Score Range (1 - 5) :  ( 1 = Minimum rating and 5 = Maximum rating)</t>
  </si>
  <si>
    <t>Order (1 = Highest, 4 = Lowest)</t>
  </si>
  <si>
    <t>Result</t>
  </si>
  <si>
    <t>Solution Decision 
(Decision Authority)</t>
  </si>
  <si>
    <t>Risk anticipated</t>
  </si>
  <si>
    <t>Assumptions</t>
  </si>
  <si>
    <t>Decision Authority</t>
  </si>
  <si>
    <t>Date</t>
  </si>
  <si>
    <t>Jal Rekha - SOPAN Module</t>
  </si>
  <si>
    <t>Jal Rekha – SOPAN Module</t>
  </si>
  <si>
    <t>Entire Project Team</t>
  </si>
  <si>
    <t>Delays in construction of critical water infrastructure components such as OHTs, WTPs, Intake Wells, and IPS were observed due to lack of structured tracking of contractor commitments, limited visibility to senior officials, and absence of a formal communication and approval trail. Manual and fragmented monitoring methods made it difficult to enforce accountability, validate timelines, and take corrective actions in a timely manner.</t>
  </si>
  <si>
    <t>This DAR evaluates alternative approaches for capturing, monitoring, and approving contractor commitments and construction progress for OHTs, WTPs, Intake, and IPS works, and recommends the most effective system aligned with accountability, transparency, scalability, and governance requirements of the Jal Rekha program.</t>
  </si>
  <si>
    <t>A1(Manual Tracking) –Manual recording of contractor commitments using paper files, registers, and informal communication.</t>
  </si>
  <si>
    <t>Existing traditional monitoring practices</t>
  </si>
  <si>
    <t>High risk of delays, data loss, and no audit trail</t>
  </si>
  <si>
    <t>A2(Basic Digital Tracking)–Simple spreadsheet or basic application for entering planned and actual dates without workflow or approvals.</t>
  </si>
  <si>
    <t>Partially digitized internal systems.</t>
  </si>
  <si>
    <t>Limited validation, weak accountability, no centralized control.</t>
  </si>
  <si>
    <t>A3(SOPAN Web Module) – Web-based SOPAN module with contractor commitment capture, GM review, approvals, document upload, communication logs, and BRE-driven workflows.</t>
  </si>
  <si>
    <t>Designed based on departmental needs, stakeholder consultations, and Jal Rekha governance framework.</t>
  </si>
  <si>
    <t>Comprehensive, scalable, and auditable solution.</t>
  </si>
  <si>
    <t>Ensures adherence to government processes and audit requirements.</t>
  </si>
  <si>
    <t>Ability to integrate with Jal Rekha portal and future modules.</t>
  </si>
  <si>
    <t>Reduces manual follow-ups and accelerates decision-making.</t>
  </si>
  <si>
    <t>Protects sensitive project data and maintains accountability.</t>
  </si>
  <si>
    <t>Ensures ease of deployment and maintenance.</t>
  </si>
  <si>
    <t>Supports expansion to other infrastructure projects.</t>
  </si>
  <si>
    <t>Minimizes training and resistance to change.</t>
  </si>
  <si>
    <t>Mitigates risks related to delays, miscommunication, and non-compliance.</t>
  </si>
  <si>
    <t>The SOPAN Web Module (Alternative A3) is selected as the preferred solution for monitoring contractor commitments and construction progress of OHTs, WTPs, Intake, and IPS works. The solution provides structured workflows, GM oversight, approval mechanisms, document management, and a complete audit trail, thereby strengthening accountability and improving timely project delivery.</t>
  </si>
  <si>
    <t>Contractors and officials have access to the SOPAN portal.
Users are trained on SOPAN workflows.
Required approvals and escalation hierarchies are defined.
SOPAN is hosted on secure infrastructure with regular backups.</t>
  </si>
  <si>
    <t>The SOPAN module significantly enhances transparency, planning accuracy, and accountability in infrastructure construction monitoring. By digitizing contractor commitments and enabling structured GM oversight, the system reduces delays and strengthens governance under the Jal Rekha initiative.</t>
  </si>
  <si>
    <t>Office of the Jal Rekha Commissioner / Departmental Higher Authority</t>
  </si>
  <si>
    <t>Delayed updates by contractors.
Incorrect date entry or incomplete documentation.
Resistance to process change.
Delay in approvals or reviews due to workload or availability of concerned officials.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</si>
</sst>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Arial"/>
      <family val="2"/>
    </font>
    <font>
      <sz val="9"/>
      <color theme="1"/>
      <name val="Arial"/>
      <family val="2"/>
    </font>
    <font>
      <b/>
      <sz val="8"/>
      <color theme="1"/>
      <name val="Arial"/>
      <family val="2"/>
    </font>
    <font>
      <sz val="8"/>
      <color theme="1"/>
      <name val="Arial"/>
      <family val="2"/>
    </font>
    <font>
      <b/>
      <sz val="8"/>
      <name val="Arial"/>
      <family val="2"/>
    </font>
    <font>
      <sz val="8"/>
      <name val="Arial"/>
      <family val="2"/>
    </font>
    <font>
      <b/>
      <sz val="8"/>
      <name val="Arial Bold"/>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1">
    <xf numFmtId="0" fontId="0" fillId="0" borderId="0"/>
  </cellStyleXfs>
  <cellXfs count="40">
    <xf numFmtId="0" fontId="0" fillId="0" borderId="0" xfId="0"/>
    <xf numFmtId="0" fontId="1" fillId="0" borderId="0" xfId="0" applyFont="1" applyAlignment="1">
      <alignment vertical="center"/>
    </xf>
    <xf numFmtId="0" fontId="3" fillId="2" borderId="2" xfId="0" applyFont="1" applyFill="1" applyBorder="1" applyAlignment="1" applyProtection="1">
      <alignment vertical="center"/>
      <protection locked="0"/>
    </xf>
    <xf numFmtId="0" fontId="3" fillId="2" borderId="3" xfId="0" applyFont="1" applyFill="1" applyBorder="1" applyAlignment="1" applyProtection="1">
      <alignment vertical="center"/>
      <protection locked="0"/>
    </xf>
    <xf numFmtId="0" fontId="3" fillId="2" borderId="6" xfId="0" applyFont="1" applyFill="1" applyBorder="1" applyAlignment="1">
      <alignment horizontal="left" vertical="center"/>
    </xf>
    <xf numFmtId="0" fontId="4" fillId="0" borderId="6" xfId="0" applyFont="1" applyBorder="1" applyAlignment="1" applyProtection="1">
      <alignment horizontal="center" vertical="center"/>
      <protection locked="0"/>
    </xf>
    <xf numFmtId="0" fontId="3" fillId="2" borderId="6" xfId="0" applyFont="1" applyFill="1" applyBorder="1" applyAlignment="1">
      <alignment vertical="center"/>
    </xf>
    <xf numFmtId="0" fontId="3" fillId="2" borderId="9" xfId="0" applyFont="1" applyFill="1" applyBorder="1" applyAlignment="1">
      <alignment horizontal="left" vertical="center" wrapText="1"/>
    </xf>
    <xf numFmtId="0" fontId="3"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3" borderId="6" xfId="0" applyFont="1" applyFill="1" applyBorder="1" applyAlignment="1">
      <alignment horizontal="left" vertical="center" wrapText="1"/>
    </xf>
    <xf numFmtId="0" fontId="4" fillId="3" borderId="6" xfId="0" applyFont="1" applyFill="1" applyBorder="1" applyAlignment="1">
      <alignment horizontal="center" vertical="center"/>
    </xf>
    <xf numFmtId="2" fontId="3" fillId="3" borderId="6"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2" fillId="0" borderId="0" xfId="0" applyFont="1" applyAlignment="1">
      <alignment vertical="center"/>
    </xf>
    <xf numFmtId="0" fontId="3" fillId="2" borderId="1" xfId="0" applyFont="1" applyFill="1" applyBorder="1" applyAlignment="1">
      <alignment horizontal="center" vertical="center"/>
    </xf>
    <xf numFmtId="0" fontId="0" fillId="0" borderId="11" xfId="0" applyBorder="1" applyAlignment="1">
      <alignment vertical="center"/>
    </xf>
    <xf numFmtId="0" fontId="0" fillId="0" borderId="12" xfId="0" applyBorder="1" applyAlignment="1">
      <alignment vertical="center"/>
    </xf>
    <xf numFmtId="0" fontId="4" fillId="0" borderId="6" xfId="0" applyFont="1" applyBorder="1" applyAlignment="1" applyProtection="1">
      <alignment horizontal="center" vertical="center"/>
      <protection locked="0"/>
    </xf>
    <xf numFmtId="0" fontId="0" fillId="0" borderId="7" xfId="0" applyBorder="1" applyAlignment="1" applyProtection="1">
      <alignment vertical="center"/>
      <protection locked="0"/>
    </xf>
    <xf numFmtId="0" fontId="0" fillId="0" borderId="8" xfId="0" applyBorder="1" applyAlignment="1" applyProtection="1">
      <alignment vertical="center"/>
      <protection locked="0"/>
    </xf>
    <xf numFmtId="0" fontId="4" fillId="0" borderId="6" xfId="0" applyFont="1" applyBorder="1" applyAlignment="1" applyProtection="1">
      <alignment horizontal="left" vertical="center" wrapText="1"/>
      <protection locked="0"/>
    </xf>
    <xf numFmtId="0" fontId="4" fillId="0" borderId="6" xfId="0" applyFont="1" applyBorder="1" applyAlignment="1" applyProtection="1">
      <alignment horizontal="left" vertical="center"/>
      <protection locked="0"/>
    </xf>
    <xf numFmtId="0" fontId="4" fillId="0" borderId="6" xfId="0" applyFont="1" applyBorder="1" applyAlignment="1" applyProtection="1">
      <alignment horizontal="center" vertical="center" wrapText="1"/>
      <protection locked="0"/>
    </xf>
    <xf numFmtId="0" fontId="3" fillId="2" borderId="6" xfId="0" applyFont="1" applyFill="1" applyBorder="1" applyAlignment="1" applyProtection="1">
      <alignment horizontal="left" vertical="center"/>
      <protection locked="0"/>
    </xf>
    <xf numFmtId="0" fontId="3" fillId="2" borderId="6" xfId="0" applyFont="1" applyFill="1" applyBorder="1" applyAlignment="1">
      <alignment horizontal="center" vertical="center" wrapText="1"/>
    </xf>
    <xf numFmtId="0" fontId="0" fillId="0" borderId="7" xfId="0" applyBorder="1" applyAlignment="1">
      <alignment vertical="center"/>
    </xf>
    <xf numFmtId="0" fontId="0" fillId="0" borderId="8" xfId="0" applyBorder="1" applyAlignment="1">
      <alignment vertical="center"/>
    </xf>
    <xf numFmtId="0" fontId="4" fillId="0" borderId="10" xfId="0" applyFont="1" applyBorder="1" applyAlignment="1" applyProtection="1">
      <alignment horizontal="center" vertical="center"/>
      <protection locked="0"/>
    </xf>
    <xf numFmtId="0" fontId="0" fillId="0" borderId="4" xfId="0" applyBorder="1" applyAlignment="1" applyProtection="1">
      <alignment vertical="center"/>
      <protection locked="0"/>
    </xf>
    <xf numFmtId="0" fontId="0" fillId="0" borderId="5" xfId="0" applyBorder="1" applyAlignment="1" applyProtection="1">
      <alignment vertical="center"/>
      <protection locked="0"/>
    </xf>
    <xf numFmtId="0" fontId="7" fillId="2" borderId="6" xfId="0" applyFont="1" applyFill="1" applyBorder="1" applyAlignment="1">
      <alignment horizontal="left" vertical="center" wrapText="1"/>
    </xf>
    <xf numFmtId="0" fontId="5" fillId="2" borderId="6" xfId="0" applyFont="1" applyFill="1" applyBorder="1" applyAlignment="1">
      <alignment horizontal="center" vertical="center"/>
    </xf>
    <xf numFmtId="0" fontId="7" fillId="2" borderId="6" xfId="0" applyFont="1" applyFill="1" applyBorder="1" applyAlignment="1">
      <alignment horizontal="left" vertical="center"/>
    </xf>
    <xf numFmtId="0" fontId="4" fillId="3" borderId="6" xfId="0" applyFont="1" applyFill="1" applyBorder="1" applyAlignment="1">
      <alignment horizontal="left" vertical="center" wrapText="1"/>
    </xf>
    <xf numFmtId="0" fontId="4" fillId="3" borderId="6" xfId="0" applyFont="1" applyFill="1" applyBorder="1" applyAlignment="1">
      <alignment horizontal="center" vertical="center"/>
    </xf>
    <xf numFmtId="0" fontId="5" fillId="2" borderId="6" xfId="0" applyFont="1" applyFill="1" applyBorder="1" applyAlignment="1">
      <alignment horizontal="center" vertical="center" wrapText="1"/>
    </xf>
    <xf numFmtId="0" fontId="0" fillId="0" borderId="10" xfId="0" applyBorder="1" applyAlignment="1">
      <alignment vertical="center"/>
    </xf>
    <xf numFmtId="0" fontId="5" fillId="4" borderId="6" xfId="0" applyFont="1" applyFill="1" applyBorder="1" applyAlignment="1">
      <alignment horizontal="center" vertical="center" wrapText="1"/>
    </xf>
    <xf numFmtId="14" fontId="4" fillId="0" borderId="6"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IQVIA">
      <a:dk1>
        <a:srgbClr val="2B3A42"/>
      </a:dk1>
      <a:lt1>
        <a:srgbClr val="FFFFFF"/>
      </a:lt1>
      <a:dk2>
        <a:srgbClr val="2B3A42"/>
      </a:dk2>
      <a:lt2>
        <a:srgbClr val="F0B323"/>
      </a:lt2>
      <a:accent1>
        <a:srgbClr val="00A3E0"/>
      </a:accent1>
      <a:accent2>
        <a:srgbClr val="005587"/>
      </a:accent2>
      <a:accent3>
        <a:srgbClr val="FE8A12"/>
      </a:accent3>
      <a:accent4>
        <a:srgbClr val="43B02A"/>
      </a:accent4>
      <a:accent5>
        <a:srgbClr val="027223"/>
      </a:accent5>
      <a:accent6>
        <a:srgbClr val="00BFB3"/>
      </a:accent6>
      <a:hlink>
        <a:srgbClr val="00A3E0"/>
      </a:hlink>
      <a:folHlink>
        <a:srgbClr val="005587"/>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tabSelected="1" workbookViewId="0">
      <selection activeCell="D9" sqref="D9:F9"/>
    </sheetView>
  </sheetViews>
  <sheetFormatPr defaultColWidth="21.77734375" defaultRowHeight="13.8" x14ac:dyDescent="0.3"/>
  <cols>
    <col min="1" max="3" width="21.77734375" style="1" customWidth="1"/>
    <col min="4" max="4" width="11.77734375" style="1" customWidth="1"/>
    <col min="5" max="5" width="21.77734375" style="1" customWidth="1"/>
    <col min="6" max="16384" width="21.77734375" style="1"/>
  </cols>
  <sheetData>
    <row r="1" spans="1:9" ht="19.5" customHeight="1" thickBot="1" x14ac:dyDescent="0.35">
      <c r="A1" s="15" t="s">
        <v>0</v>
      </c>
      <c r="B1" s="16"/>
      <c r="C1" s="16"/>
      <c r="D1" s="16"/>
      <c r="E1" s="16"/>
      <c r="F1" s="16"/>
      <c r="G1" s="16"/>
      <c r="H1" s="16"/>
      <c r="I1" s="17"/>
    </row>
    <row r="2" spans="1:9" ht="19.5" customHeight="1" x14ac:dyDescent="0.3">
      <c r="A2" s="2" t="s">
        <v>1</v>
      </c>
      <c r="B2" s="28" t="s">
        <v>34</v>
      </c>
      <c r="C2" s="29"/>
      <c r="D2" s="30"/>
      <c r="E2" s="2" t="s">
        <v>2</v>
      </c>
      <c r="F2" s="3"/>
      <c r="G2" s="28" t="s">
        <v>33</v>
      </c>
      <c r="H2" s="29"/>
      <c r="I2" s="30"/>
    </row>
    <row r="3" spans="1:9" ht="19.5" customHeight="1" x14ac:dyDescent="0.3">
      <c r="A3" s="4" t="s">
        <v>3</v>
      </c>
      <c r="B3" s="18"/>
      <c r="C3" s="19"/>
      <c r="D3" s="20"/>
      <c r="E3" s="24" t="s">
        <v>4</v>
      </c>
      <c r="F3" s="20"/>
      <c r="G3" s="39">
        <v>45746</v>
      </c>
      <c r="H3" s="19"/>
      <c r="I3" s="20"/>
    </row>
    <row r="4" spans="1:9" ht="19.5" customHeight="1" x14ac:dyDescent="0.3">
      <c r="A4" s="4" t="s">
        <v>5</v>
      </c>
      <c r="B4" s="22" t="s">
        <v>36</v>
      </c>
      <c r="C4" s="19"/>
      <c r="D4" s="19"/>
      <c r="E4" s="19"/>
      <c r="F4" s="19"/>
      <c r="G4" s="19"/>
      <c r="H4" s="19"/>
      <c r="I4" s="20"/>
    </row>
    <row r="5" spans="1:9" ht="19.5" customHeight="1" x14ac:dyDescent="0.3">
      <c r="A5" s="6" t="s">
        <v>6</v>
      </c>
      <c r="B5" s="22" t="s">
        <v>37</v>
      </c>
      <c r="C5" s="19"/>
      <c r="D5" s="19"/>
      <c r="E5" s="19"/>
      <c r="F5" s="19"/>
      <c r="G5" s="19"/>
      <c r="H5" s="19"/>
      <c r="I5" s="20"/>
    </row>
    <row r="6" spans="1:9" ht="19.5" customHeight="1" x14ac:dyDescent="0.3">
      <c r="A6" s="7" t="s">
        <v>7</v>
      </c>
      <c r="B6" s="22" t="s">
        <v>35</v>
      </c>
      <c r="C6" s="19"/>
      <c r="D6" s="19"/>
      <c r="E6" s="19"/>
      <c r="F6" s="19"/>
      <c r="G6" s="19"/>
      <c r="H6" s="19"/>
      <c r="I6" s="20"/>
    </row>
    <row r="7" spans="1:9" ht="19.5" customHeight="1" x14ac:dyDescent="0.3">
      <c r="A7" s="25" t="s">
        <v>8</v>
      </c>
      <c r="B7" s="26"/>
      <c r="C7" s="27"/>
      <c r="D7" s="25" t="s">
        <v>9</v>
      </c>
      <c r="E7" s="26"/>
      <c r="F7" s="27"/>
      <c r="G7" s="25" t="s">
        <v>10</v>
      </c>
      <c r="H7" s="26"/>
      <c r="I7" s="27"/>
    </row>
    <row r="8" spans="1:9" ht="44.4" customHeight="1" x14ac:dyDescent="0.3">
      <c r="A8" s="21" t="s">
        <v>38</v>
      </c>
      <c r="B8" s="19"/>
      <c r="C8" s="20"/>
      <c r="D8" s="21" t="s">
        <v>39</v>
      </c>
      <c r="E8" s="19"/>
      <c r="F8" s="20"/>
      <c r="G8" s="18" t="s">
        <v>40</v>
      </c>
      <c r="H8" s="19"/>
      <c r="I8" s="20"/>
    </row>
    <row r="9" spans="1:9" ht="49.8" customHeight="1" x14ac:dyDescent="0.3">
      <c r="A9" s="21" t="s">
        <v>41</v>
      </c>
      <c r="B9" s="19"/>
      <c r="C9" s="20"/>
      <c r="D9" s="21" t="s">
        <v>42</v>
      </c>
      <c r="E9" s="19"/>
      <c r="F9" s="20"/>
      <c r="G9" s="18" t="s">
        <v>43</v>
      </c>
      <c r="H9" s="19"/>
      <c r="I9" s="20"/>
    </row>
    <row r="10" spans="1:9" ht="43.2" customHeight="1" x14ac:dyDescent="0.3">
      <c r="A10" s="21" t="s">
        <v>44</v>
      </c>
      <c r="B10" s="19"/>
      <c r="C10" s="20"/>
      <c r="D10" s="21" t="s">
        <v>45</v>
      </c>
      <c r="E10" s="19"/>
      <c r="F10" s="20"/>
      <c r="G10" s="18" t="s">
        <v>46</v>
      </c>
      <c r="H10" s="19"/>
      <c r="I10" s="20"/>
    </row>
    <row r="11" spans="1:9" ht="19.5" customHeight="1" x14ac:dyDescent="0.3">
      <c r="A11" s="36" t="s">
        <v>11</v>
      </c>
      <c r="B11" s="27"/>
      <c r="C11" s="36" t="s">
        <v>12</v>
      </c>
      <c r="D11" s="27"/>
      <c r="E11" s="36" t="s">
        <v>13</v>
      </c>
      <c r="F11" s="26"/>
      <c r="G11" s="26"/>
      <c r="H11" s="26"/>
      <c r="I11" s="27"/>
    </row>
    <row r="12" spans="1:9" ht="19.5" customHeight="1" x14ac:dyDescent="0.3">
      <c r="A12" s="21" t="s">
        <v>14</v>
      </c>
      <c r="B12" s="20"/>
      <c r="C12" s="23">
        <v>5</v>
      </c>
      <c r="D12" s="20"/>
      <c r="E12" s="21" t="s">
        <v>47</v>
      </c>
      <c r="F12" s="19"/>
      <c r="G12" s="19"/>
      <c r="H12" s="19"/>
      <c r="I12" s="20"/>
    </row>
    <row r="13" spans="1:9" ht="19.5" customHeight="1" x14ac:dyDescent="0.3">
      <c r="A13" s="21" t="s">
        <v>15</v>
      </c>
      <c r="B13" s="20"/>
      <c r="C13" s="23">
        <v>4</v>
      </c>
      <c r="D13" s="20"/>
      <c r="E13" s="21" t="s">
        <v>48</v>
      </c>
      <c r="F13" s="19"/>
      <c r="G13" s="19"/>
      <c r="H13" s="19"/>
      <c r="I13" s="20"/>
    </row>
    <row r="14" spans="1:9" ht="19.5" customHeight="1" x14ac:dyDescent="0.3">
      <c r="A14" s="21" t="s">
        <v>16</v>
      </c>
      <c r="B14" s="20"/>
      <c r="C14" s="23">
        <v>5</v>
      </c>
      <c r="D14" s="20"/>
      <c r="E14" s="21" t="s">
        <v>49</v>
      </c>
      <c r="F14" s="19"/>
      <c r="G14" s="19"/>
      <c r="H14" s="19"/>
      <c r="I14" s="20"/>
    </row>
    <row r="15" spans="1:9" ht="19.5" customHeight="1" x14ac:dyDescent="0.3">
      <c r="A15" s="21" t="s">
        <v>17</v>
      </c>
      <c r="B15" s="20"/>
      <c r="C15" s="23">
        <v>5</v>
      </c>
      <c r="D15" s="20"/>
      <c r="E15" s="21" t="s">
        <v>50</v>
      </c>
      <c r="F15" s="19"/>
      <c r="G15" s="19"/>
      <c r="H15" s="19"/>
      <c r="I15" s="20"/>
    </row>
    <row r="16" spans="1:9" ht="19.5" customHeight="1" x14ac:dyDescent="0.3">
      <c r="A16" s="21" t="s">
        <v>18</v>
      </c>
      <c r="B16" s="20"/>
      <c r="C16" s="23">
        <v>4</v>
      </c>
      <c r="D16" s="20"/>
      <c r="E16" s="21" t="s">
        <v>51</v>
      </c>
      <c r="F16" s="19"/>
      <c r="G16" s="19"/>
      <c r="H16" s="19"/>
      <c r="I16" s="20"/>
    </row>
    <row r="17" spans="1:9" ht="19.5" customHeight="1" x14ac:dyDescent="0.3">
      <c r="A17" s="21" t="s">
        <v>19</v>
      </c>
      <c r="B17" s="20"/>
      <c r="C17" s="23">
        <v>4</v>
      </c>
      <c r="D17" s="20"/>
      <c r="E17" s="21" t="s">
        <v>52</v>
      </c>
      <c r="F17" s="19"/>
      <c r="G17" s="19"/>
      <c r="H17" s="19"/>
      <c r="I17" s="20"/>
    </row>
    <row r="18" spans="1:9" ht="19.5" customHeight="1" x14ac:dyDescent="0.3">
      <c r="A18" s="21" t="s">
        <v>20</v>
      </c>
      <c r="B18" s="20"/>
      <c r="C18" s="23">
        <v>3</v>
      </c>
      <c r="D18" s="20"/>
      <c r="E18" s="21" t="s">
        <v>53</v>
      </c>
      <c r="F18" s="19"/>
      <c r="G18" s="19"/>
      <c r="H18" s="19"/>
      <c r="I18" s="20"/>
    </row>
    <row r="19" spans="1:9" ht="19.5" customHeight="1" x14ac:dyDescent="0.3">
      <c r="A19" s="21" t="s">
        <v>21</v>
      </c>
      <c r="B19" s="20"/>
      <c r="C19" s="23">
        <v>4</v>
      </c>
      <c r="D19" s="20"/>
      <c r="E19" s="21" t="s">
        <v>54</v>
      </c>
      <c r="F19" s="19"/>
      <c r="G19" s="19"/>
      <c r="H19" s="19"/>
      <c r="I19" s="20"/>
    </row>
    <row r="20" spans="1:9" ht="14.4" x14ac:dyDescent="0.3">
      <c r="A20" s="36" t="s">
        <v>11</v>
      </c>
      <c r="B20" s="32" t="str">
        <f>IF(NOT(ISBLANK(A8)),A8,"NA")</f>
        <v>A1(Manual Tracking) –Manual recording of contractor commitments using paper files, registers, and informal communication.</v>
      </c>
      <c r="C20" s="27"/>
      <c r="D20" s="32" t="str">
        <f>IF(NOT(ISBLANK(A9)),A9,"NA")</f>
        <v>A2(Basic Digital Tracking)–Simple spreadsheet or basic application for entering planned and actual dates without workflow or approvals.</v>
      </c>
      <c r="E20" s="27"/>
      <c r="F20" s="32" t="str">
        <f>IF(NOT(ISBLANK(A10)),A10,"NA")</f>
        <v>A3(SOPAN Web Module) – Web-based SOPAN module with contractor commitment capture, GM review, approvals, document upload, communication logs, and BRE-driven workflows.</v>
      </c>
      <c r="G20" s="27"/>
    </row>
    <row r="21" spans="1:9" ht="19.5" customHeight="1" x14ac:dyDescent="0.3">
      <c r="A21" s="37"/>
      <c r="B21" s="9" t="s">
        <v>22</v>
      </c>
      <c r="C21" s="9" t="s">
        <v>23</v>
      </c>
      <c r="D21" s="9" t="s">
        <v>22</v>
      </c>
      <c r="E21" s="9" t="s">
        <v>23</v>
      </c>
      <c r="F21" s="9" t="s">
        <v>22</v>
      </c>
      <c r="G21" s="9" t="s">
        <v>23</v>
      </c>
    </row>
    <row r="22" spans="1:9" ht="19.5" customHeight="1" x14ac:dyDescent="0.3">
      <c r="A22" s="10" t="str">
        <f t="shared" ref="A22:A28" si="0">IF(NOT(ISBLANK(A12)),A12,"")</f>
        <v>Legal &amp; Regulatory Compliance</v>
      </c>
      <c r="B22" s="5">
        <v>1</v>
      </c>
      <c r="C22" s="11">
        <f t="shared" ref="C22:C29" si="1">IF(NOT(ISBLANK(A12)),B22*C12,"")</f>
        <v>5</v>
      </c>
      <c r="D22" s="5">
        <v>2</v>
      </c>
      <c r="E22" s="11">
        <f t="shared" ref="E22:E29" si="2">IF(NOT(ISBLANK(A12)),D22*C12,"")</f>
        <v>10</v>
      </c>
      <c r="F22" s="5">
        <v>5</v>
      </c>
      <c r="G22" s="11">
        <f t="shared" ref="G22:G29" si="3">IF(NOT(ISBLANK(A12)),F22*C12,"")</f>
        <v>25</v>
      </c>
    </row>
    <row r="23" spans="1:9" ht="19.5" customHeight="1" x14ac:dyDescent="0.3">
      <c r="A23" s="10" t="str">
        <f t="shared" si="0"/>
        <v>Integration Feasibility</v>
      </c>
      <c r="B23" s="5">
        <v>1</v>
      </c>
      <c r="C23" s="11">
        <f t="shared" si="1"/>
        <v>4</v>
      </c>
      <c r="D23" s="5">
        <v>3</v>
      </c>
      <c r="E23" s="11">
        <f t="shared" si="2"/>
        <v>12</v>
      </c>
      <c r="F23" s="5">
        <v>5</v>
      </c>
      <c r="G23" s="11">
        <f t="shared" si="3"/>
        <v>20</v>
      </c>
    </row>
    <row r="24" spans="1:9" ht="19.5" customHeight="1" x14ac:dyDescent="0.3">
      <c r="A24" s="10" t="str">
        <f t="shared" si="0"/>
        <v>Process Automation &amp; Efficiency</v>
      </c>
      <c r="B24" s="5">
        <v>1</v>
      </c>
      <c r="C24" s="11">
        <f>IF(NOT(ISBLANK(A14)),B24*C14,"")</f>
        <v>5</v>
      </c>
      <c r="D24" s="5">
        <v>3</v>
      </c>
      <c r="E24" s="11">
        <f t="shared" si="2"/>
        <v>15</v>
      </c>
      <c r="F24" s="5">
        <v>5</v>
      </c>
      <c r="G24" s="11">
        <f t="shared" si="3"/>
        <v>25</v>
      </c>
    </row>
    <row r="25" spans="1:9" ht="28.2" customHeight="1" x14ac:dyDescent="0.3">
      <c r="A25" s="10" t="str">
        <f t="shared" si="0"/>
        <v>Data Security &amp; Document Integrity</v>
      </c>
      <c r="B25" s="5">
        <v>1</v>
      </c>
      <c r="C25" s="11">
        <f t="shared" si="1"/>
        <v>5</v>
      </c>
      <c r="D25" s="5">
        <v>3</v>
      </c>
      <c r="E25" s="11">
        <f t="shared" si="2"/>
        <v>15</v>
      </c>
      <c r="F25" s="5">
        <v>5</v>
      </c>
      <c r="G25" s="11">
        <f t="shared" si="3"/>
        <v>25</v>
      </c>
    </row>
    <row r="26" spans="1:9" ht="28.8" customHeight="1" x14ac:dyDescent="0.3">
      <c r="A26" s="10" t="str">
        <f t="shared" si="0"/>
        <v>Availability of Technical &amp; Operational Resources</v>
      </c>
      <c r="B26" s="5">
        <v>2</v>
      </c>
      <c r="C26" s="11">
        <f t="shared" si="1"/>
        <v>8</v>
      </c>
      <c r="D26" s="5">
        <v>3</v>
      </c>
      <c r="E26" s="11">
        <f t="shared" si="2"/>
        <v>12</v>
      </c>
      <c r="F26" s="5">
        <v>4</v>
      </c>
      <c r="G26" s="11">
        <f t="shared" si="3"/>
        <v>16</v>
      </c>
    </row>
    <row r="27" spans="1:9" ht="19.5" customHeight="1" x14ac:dyDescent="0.3">
      <c r="A27" s="10" t="str">
        <f t="shared" si="0"/>
        <v>Scalability &amp; Reusability</v>
      </c>
      <c r="B27" s="5">
        <v>1</v>
      </c>
      <c r="C27" s="11">
        <f t="shared" si="1"/>
        <v>4</v>
      </c>
      <c r="D27" s="5">
        <v>3</v>
      </c>
      <c r="E27" s="11">
        <f t="shared" si="2"/>
        <v>12</v>
      </c>
      <c r="F27" s="5">
        <v>5</v>
      </c>
      <c r="G27" s="11">
        <f t="shared" si="3"/>
        <v>20</v>
      </c>
    </row>
    <row r="28" spans="1:9" ht="19.5" customHeight="1" x14ac:dyDescent="0.3">
      <c r="A28" s="10" t="str">
        <f t="shared" si="0"/>
        <v>Ease of Adoption for Applicants</v>
      </c>
      <c r="B28" s="5">
        <v>2</v>
      </c>
      <c r="C28" s="11">
        <f t="shared" si="1"/>
        <v>6</v>
      </c>
      <c r="D28" s="5">
        <v>3</v>
      </c>
      <c r="E28" s="11">
        <f t="shared" si="2"/>
        <v>9</v>
      </c>
      <c r="F28" s="5">
        <v>4</v>
      </c>
      <c r="G28" s="11">
        <f t="shared" si="3"/>
        <v>12</v>
      </c>
    </row>
    <row r="29" spans="1:9" ht="19.5" customHeight="1" x14ac:dyDescent="0.3">
      <c r="A29" s="10" t="s">
        <v>21</v>
      </c>
      <c r="B29" s="5">
        <v>1</v>
      </c>
      <c r="C29" s="11">
        <f t="shared" si="1"/>
        <v>4</v>
      </c>
      <c r="D29" s="5">
        <v>3</v>
      </c>
      <c r="E29" s="11">
        <f t="shared" si="2"/>
        <v>12</v>
      </c>
      <c r="F29" s="5">
        <v>5</v>
      </c>
      <c r="G29" s="11">
        <f t="shared" si="3"/>
        <v>20</v>
      </c>
    </row>
    <row r="30" spans="1:9" ht="19.5" customHeight="1" x14ac:dyDescent="0.3">
      <c r="A30" s="8" t="s">
        <v>24</v>
      </c>
      <c r="B30" s="5"/>
      <c r="C30" s="12">
        <f>IF(B20="NA","",AVERAGE(C22:C29))</f>
        <v>5.125</v>
      </c>
      <c r="D30" s="5"/>
      <c r="E30" s="12">
        <f>IF(D20="NA","",AVERAGE(E22:E29))</f>
        <v>12.125</v>
      </c>
      <c r="F30" s="5"/>
      <c r="G30" s="12">
        <f>IF(F20="NA","",AVERAGE(G22:G29))</f>
        <v>20.375</v>
      </c>
    </row>
    <row r="31" spans="1:9" ht="19.5" customHeight="1" x14ac:dyDescent="0.3">
      <c r="A31" s="38" t="s">
        <v>25</v>
      </c>
      <c r="B31" s="26"/>
      <c r="C31" s="26"/>
      <c r="D31" s="26"/>
      <c r="E31" s="26"/>
      <c r="F31" s="26"/>
      <c r="G31" s="26"/>
      <c r="H31" s="26"/>
      <c r="I31" s="27"/>
    </row>
    <row r="32" spans="1:9" ht="19.5" customHeight="1" x14ac:dyDescent="0.3">
      <c r="A32" s="25" t="s">
        <v>8</v>
      </c>
      <c r="B32" s="26"/>
      <c r="C32" s="27"/>
      <c r="D32" s="25" t="s">
        <v>26</v>
      </c>
      <c r="E32" s="26"/>
      <c r="F32" s="27"/>
      <c r="G32" s="25" t="s">
        <v>27</v>
      </c>
      <c r="H32" s="26"/>
      <c r="I32" s="27"/>
    </row>
    <row r="33" spans="1:9" ht="48" customHeight="1" x14ac:dyDescent="0.3">
      <c r="A33" s="34" t="str">
        <f>IF(B20="NA","",A8)</f>
        <v>A1(Manual Tracking) –Manual recording of contractor commitments using paper files, registers, and informal communication.</v>
      </c>
      <c r="B33" s="26"/>
      <c r="C33" s="27"/>
      <c r="D33" s="35">
        <f>IF(B20="NA","",RANK(C30,$C$30:$G$30,0))</f>
        <v>3</v>
      </c>
      <c r="E33" s="26"/>
      <c r="F33" s="27"/>
      <c r="G33" s="35" t="str">
        <f>IF(AND(NOT(ISBLANK(D33)),ISNUMBER(D33)),IF(D33=1,"Accept","Reject"),"")</f>
        <v>Reject</v>
      </c>
      <c r="H33" s="26"/>
      <c r="I33" s="27"/>
    </row>
    <row r="34" spans="1:9" ht="48" customHeight="1" x14ac:dyDescent="0.3">
      <c r="A34" s="34" t="str">
        <f>IF(D20="NA","",A9)</f>
        <v>A2(Basic Digital Tracking)–Simple spreadsheet or basic application for entering planned and actual dates without workflow or approvals.</v>
      </c>
      <c r="B34" s="26"/>
      <c r="C34" s="27"/>
      <c r="D34" s="35">
        <f>IF(D20="NA","",RANK(E30,$C$30:$G$30,0))</f>
        <v>2</v>
      </c>
      <c r="E34" s="26"/>
      <c r="F34" s="27"/>
      <c r="G34" s="35" t="str">
        <f>IF(AND(NOT(ISBLANK(D34)),ISNUMBER(D34)),IF(D34=1,"Accept","Reject"),"")</f>
        <v>Reject</v>
      </c>
      <c r="H34" s="26"/>
      <c r="I34" s="27"/>
    </row>
    <row r="35" spans="1:9" ht="48" customHeight="1" x14ac:dyDescent="0.3">
      <c r="A35" s="34" t="str">
        <f>IF(F20="NA","",A10)</f>
        <v>A3(SOPAN Web Module) – Web-based SOPAN module with contractor commitment capture, GM review, approvals, document upload, communication logs, and BRE-driven workflows.</v>
      </c>
      <c r="B35" s="26"/>
      <c r="C35" s="27"/>
      <c r="D35" s="35">
        <f>IF(F20="NA","",RANK(G30,$C$30:$G$30,0))</f>
        <v>1</v>
      </c>
      <c r="E35" s="26"/>
      <c r="F35" s="27"/>
      <c r="G35" s="35" t="str">
        <f>IF(AND(NOT(ISBLANK(D35)),ISNUMBER(D35)),IF(D35=1,"Accept","Reject"),"")</f>
        <v>Accept</v>
      </c>
      <c r="H35" s="26"/>
      <c r="I35" s="27"/>
    </row>
    <row r="36" spans="1:9" ht="43.8" customHeight="1" x14ac:dyDescent="0.3">
      <c r="A36" s="31" t="s">
        <v>28</v>
      </c>
      <c r="B36" s="27"/>
      <c r="C36" s="21" t="s">
        <v>55</v>
      </c>
      <c r="D36" s="19"/>
      <c r="E36" s="19"/>
      <c r="F36" s="19"/>
      <c r="G36" s="19"/>
      <c r="H36" s="19"/>
      <c r="I36" s="20"/>
    </row>
    <row r="37" spans="1:9" ht="121.8" customHeight="1" x14ac:dyDescent="0.3">
      <c r="A37" s="31" t="s">
        <v>29</v>
      </c>
      <c r="B37" s="27"/>
      <c r="C37" s="21" t="s">
        <v>59</v>
      </c>
      <c r="D37" s="19"/>
      <c r="E37" s="19"/>
      <c r="F37" s="19"/>
      <c r="G37" s="19"/>
      <c r="H37" s="19"/>
      <c r="I37" s="20"/>
    </row>
    <row r="38" spans="1:9" ht="123" customHeight="1" x14ac:dyDescent="0.3">
      <c r="A38" s="31" t="s">
        <v>30</v>
      </c>
      <c r="B38" s="27"/>
      <c r="C38" s="21" t="s">
        <v>56</v>
      </c>
      <c r="D38" s="19"/>
      <c r="E38" s="19"/>
      <c r="F38" s="19"/>
      <c r="G38" s="19"/>
      <c r="H38" s="19"/>
      <c r="I38" s="20"/>
    </row>
    <row r="39" spans="1:9" ht="19.8" customHeight="1" x14ac:dyDescent="0.3">
      <c r="A39" s="33" t="s">
        <v>10</v>
      </c>
      <c r="B39" s="27"/>
      <c r="C39" s="21" t="s">
        <v>57</v>
      </c>
      <c r="D39" s="19"/>
      <c r="E39" s="19"/>
      <c r="F39" s="19"/>
      <c r="G39" s="19"/>
      <c r="H39" s="19"/>
      <c r="I39" s="20"/>
    </row>
    <row r="40" spans="1:9" ht="41.4" customHeight="1" x14ac:dyDescent="0.3">
      <c r="A40" s="33" t="s">
        <v>31</v>
      </c>
      <c r="B40" s="27"/>
      <c r="C40" s="21" t="s">
        <v>58</v>
      </c>
      <c r="D40" s="19"/>
      <c r="E40" s="19"/>
      <c r="F40" s="20"/>
      <c r="G40" s="13" t="s">
        <v>32</v>
      </c>
      <c r="H40" s="39">
        <v>45744</v>
      </c>
      <c r="I40" s="20"/>
    </row>
    <row r="41" spans="1:9" ht="19.5" customHeight="1" x14ac:dyDescent="0.3">
      <c r="A41" s="14"/>
      <c r="B41" s="14"/>
      <c r="C41" s="14"/>
      <c r="D41" s="14"/>
      <c r="E41" s="14"/>
      <c r="F41" s="14"/>
      <c r="G41" s="14"/>
      <c r="H41" s="14"/>
      <c r="I41" s="14"/>
    </row>
    <row r="42" spans="1:9" ht="19.5" customHeight="1" x14ac:dyDescent="0.3">
      <c r="A42" s="14"/>
      <c r="B42" s="14"/>
      <c r="C42" s="14"/>
      <c r="D42" s="14"/>
      <c r="E42" s="14"/>
      <c r="F42" s="14"/>
      <c r="G42" s="14"/>
      <c r="H42" s="14"/>
      <c r="I42" s="14"/>
    </row>
    <row r="43" spans="1:9" ht="19.5" customHeight="1" x14ac:dyDescent="0.3">
      <c r="A43" s="14"/>
      <c r="B43" s="14"/>
      <c r="C43" s="14"/>
      <c r="D43" s="14"/>
      <c r="E43" s="14"/>
      <c r="F43" s="14"/>
      <c r="G43" s="14"/>
      <c r="H43" s="14"/>
      <c r="I43" s="14"/>
    </row>
    <row r="44" spans="1:9" ht="19.5" customHeight="1" x14ac:dyDescent="0.3">
      <c r="A44" s="14"/>
      <c r="B44" s="14"/>
      <c r="C44" s="14"/>
      <c r="D44" s="14"/>
      <c r="E44" s="14"/>
      <c r="F44" s="14"/>
      <c r="G44" s="14"/>
      <c r="H44" s="14"/>
      <c r="I44" s="14"/>
    </row>
  </sheetData>
  <mergeCells count="76">
    <mergeCell ref="C36:I36"/>
    <mergeCell ref="D20:E20"/>
    <mergeCell ref="G10:I10"/>
    <mergeCell ref="E12:I12"/>
    <mergeCell ref="A15:B15"/>
    <mergeCell ref="C15:D15"/>
    <mergeCell ref="H40:I40"/>
    <mergeCell ref="E17:I17"/>
    <mergeCell ref="G33:I33"/>
    <mergeCell ref="C37:I37"/>
    <mergeCell ref="A33:C33"/>
    <mergeCell ref="A32:C32"/>
    <mergeCell ref="F20:G20"/>
    <mergeCell ref="A37:B37"/>
    <mergeCell ref="E19:I19"/>
    <mergeCell ref="G35:I35"/>
    <mergeCell ref="C39:I39"/>
    <mergeCell ref="D32:F32"/>
    <mergeCell ref="A36:B36"/>
    <mergeCell ref="C38:I38"/>
    <mergeCell ref="G34:I34"/>
    <mergeCell ref="G32:I32"/>
    <mergeCell ref="A31:I31"/>
    <mergeCell ref="A14:B14"/>
    <mergeCell ref="G3:I3"/>
    <mergeCell ref="D7:F7"/>
    <mergeCell ref="E14:I14"/>
    <mergeCell ref="A16:B16"/>
    <mergeCell ref="C16:D16"/>
    <mergeCell ref="A8:C8"/>
    <mergeCell ref="A11:B11"/>
    <mergeCell ref="C14:D14"/>
    <mergeCell ref="E13:I13"/>
    <mergeCell ref="C17:D17"/>
    <mergeCell ref="D34:F34"/>
    <mergeCell ref="D10:F10"/>
    <mergeCell ref="D9:F9"/>
    <mergeCell ref="A35:C35"/>
    <mergeCell ref="A18:B18"/>
    <mergeCell ref="D33:F33"/>
    <mergeCell ref="A12:B12"/>
    <mergeCell ref="A10:C10"/>
    <mergeCell ref="C12:D12"/>
    <mergeCell ref="E15:I15"/>
    <mergeCell ref="C11:D11"/>
    <mergeCell ref="D35:F35"/>
    <mergeCell ref="A9:C9"/>
    <mergeCell ref="E11:I11"/>
    <mergeCell ref="A20:A21"/>
    <mergeCell ref="C40:F40"/>
    <mergeCell ref="G2:I2"/>
    <mergeCell ref="A38:B38"/>
    <mergeCell ref="B3:D3"/>
    <mergeCell ref="E16:I16"/>
    <mergeCell ref="A19:B19"/>
    <mergeCell ref="B20:C20"/>
    <mergeCell ref="B6:I6"/>
    <mergeCell ref="C19:D19"/>
    <mergeCell ref="C18:D18"/>
    <mergeCell ref="A39:B39"/>
    <mergeCell ref="E18:I18"/>
    <mergeCell ref="A40:B40"/>
    <mergeCell ref="G9:I9"/>
    <mergeCell ref="A34:C34"/>
    <mergeCell ref="A17:B17"/>
    <mergeCell ref="A1:I1"/>
    <mergeCell ref="G8:I8"/>
    <mergeCell ref="A13:B13"/>
    <mergeCell ref="B5:I5"/>
    <mergeCell ref="C13:D13"/>
    <mergeCell ref="E3:F3"/>
    <mergeCell ref="A7:C7"/>
    <mergeCell ref="G7:I7"/>
    <mergeCell ref="B2:D2"/>
    <mergeCell ref="B4:I4"/>
    <mergeCell ref="D8:F8"/>
  </mergeCells>
  <dataValidations count="1">
    <dataValidation type="list" allowBlank="1" showInputMessage="1" showErrorMessage="1" sqref="B22:B29 D22:D29 F22:F29" xr:uid="{00000000-0002-0000-0000-000000000000}">
      <formula1>"1,2,3, 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SOPAN Module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Venu Maheshwari</dc:creator>
  <cp:lastModifiedBy>Leena Rane</cp:lastModifiedBy>
  <dcterms:created xsi:type="dcterms:W3CDTF">2017-11-13T13:56:00Z</dcterms:created>
  <dcterms:modified xsi:type="dcterms:W3CDTF">2026-02-03T07:12:21Z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0x0101008ED21E2ABB2D2C4FB0E5A91234516DC0</vt:lpwstr>
  </property>
</Properties>
</file>