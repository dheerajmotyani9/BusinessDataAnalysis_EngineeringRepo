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CMMI Jal rekha documents 2025\Jal Rekha CMMI-5 final\DAR\"/>
    </mc:Choice>
  </mc:AlternateContent>
  <bookViews>
    <workbookView xWindow="0" yWindow="0" windowWidth="15530" windowHeight="7180"/>
  </bookViews>
  <sheets>
    <sheet name="Sheet1" sheetId="3"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 i="3" l="1"/>
  <c r="G29" i="3"/>
  <c r="E29" i="3"/>
  <c r="C29" i="3"/>
  <c r="G28" i="3"/>
  <c r="E28" i="3"/>
  <c r="C28" i="3"/>
  <c r="A28" i="3"/>
  <c r="G27" i="3"/>
  <c r="E27" i="3"/>
  <c r="C27" i="3"/>
  <c r="A27" i="3"/>
  <c r="G26" i="3"/>
  <c r="E26" i="3"/>
  <c r="C26" i="3"/>
  <c r="A26" i="3"/>
  <c r="G25" i="3"/>
  <c r="E25" i="3"/>
  <c r="C25" i="3"/>
  <c r="A25" i="3"/>
  <c r="G24" i="3"/>
  <c r="E24" i="3"/>
  <c r="C24" i="3"/>
  <c r="A24" i="3"/>
  <c r="G23" i="3"/>
  <c r="E23" i="3"/>
  <c r="C23" i="3"/>
  <c r="A23" i="3"/>
  <c r="G22" i="3"/>
  <c r="E22" i="3"/>
  <c r="C22" i="3"/>
  <c r="A22" i="3"/>
  <c r="F20" i="3"/>
  <c r="D20" i="3"/>
  <c r="B20" i="3"/>
  <c r="G30" i="3" l="1"/>
  <c r="E30" i="3"/>
  <c r="C30" i="3"/>
  <c r="A33" i="3"/>
  <c r="A34" i="3"/>
  <c r="D35" i="3" l="1"/>
  <c r="G35" i="3" s="1"/>
  <c r="D34" i="3"/>
  <c r="G34" i="3" s="1"/>
  <c r="D33" i="3"/>
  <c r="G33" i="3" s="1"/>
</calcChain>
</file>

<file path=xl/sharedStrings.xml><?xml version="1.0" encoding="utf-8"?>
<sst xmlns="http://schemas.openxmlformats.org/spreadsheetml/2006/main" count="60" uniqueCount="52">
  <si>
    <t>DAR Form</t>
  </si>
  <si>
    <t>Group Name</t>
  </si>
  <si>
    <t>Project Name</t>
  </si>
  <si>
    <t>Decision Seeker</t>
  </si>
  <si>
    <t>Evaluation Date</t>
  </si>
  <si>
    <t>Problem Statement</t>
  </si>
  <si>
    <t>Scope of DAR</t>
  </si>
  <si>
    <t>DAR Team Members</t>
  </si>
  <si>
    <t>Alternatives</t>
  </si>
  <si>
    <t>Source of Alternatives</t>
  </si>
  <si>
    <t>Remarks</t>
  </si>
  <si>
    <t>Criteria for Evaluation</t>
  </si>
  <si>
    <t>Rationale for Criteria and Weightage Selection</t>
  </si>
  <si>
    <t>Score</t>
  </si>
  <si>
    <t>Weighted Score</t>
  </si>
  <si>
    <t>Average Weighted Score</t>
  </si>
  <si>
    <t>Score Range (1 - 5) :  ( 1 = Minimum rating and 5 = Maximum rating)</t>
  </si>
  <si>
    <t>Result</t>
  </si>
  <si>
    <t>Solution Decision 
(Decision Authority)</t>
  </si>
  <si>
    <t>Risk anticipated</t>
  </si>
  <si>
    <t>Assumptions</t>
  </si>
  <si>
    <t>Decision Authority</t>
  </si>
  <si>
    <t>Date</t>
  </si>
  <si>
    <t>Weightage 
 (1 = Least important and 5 = Most important)</t>
  </si>
  <si>
    <t>Order (1 = Highest, 4 = Lowest)</t>
  </si>
  <si>
    <t>Legal &amp; Regulatory Compliance</t>
  </si>
  <si>
    <t>Process Automation &amp; Efficiency</t>
  </si>
  <si>
    <t>Operational Risk Reduction</t>
  </si>
  <si>
    <t>Jal Rekha Project</t>
  </si>
  <si>
    <t>Entire Project, Technical, Mobile App Team</t>
  </si>
  <si>
    <t>Office of the Chief Engineer / Jal Nigam, in consultation with MPSEDC and the Project Steering Committee</t>
  </si>
  <si>
    <t>Jal Rekha – Dhara Module – Water Supply &amp; Meter Reading</t>
  </si>
  <si>
    <t>A2 – Mobile Capture with Limited Web Review
Mobile data visible on web; minimal edit/approval options</t>
  </si>
  <si>
    <t>Process improvement discussions</t>
  </si>
  <si>
    <t>Partial control, limited correction capability</t>
  </si>
  <si>
    <t>A3 – Mobile-First with Web Validation &amp; Approval (Dhara Module)
Mobile-based data capture with TL/GM web-based review, manual edit (if required), and approval</t>
  </si>
  <si>
    <t>Jal Rekha design &amp; operational requirements</t>
  </si>
  <si>
    <t>Controlled, auditable, and reliable process</t>
  </si>
  <si>
    <t>Accuracy of Meter Reading Data</t>
  </si>
  <si>
    <t>Data Security &amp; Integrity</t>
  </si>
  <si>
    <t>Scalability &amp; Reusability</t>
  </si>
  <si>
    <t>Ease of Adoption for Field Engineers</t>
  </si>
  <si>
    <t>In Jal Rekha, all village, scheme, OHT, and habitation mappings are completed through the web portal before any field activity begins.
However, meter reading surveys require field-level data capture, which must be reliable, validated, and governed.
There is a need for a Dhara Module where:
Survey tasks are assigned only by GM after completion of all required mappings
Field Engineers (FE) perform only meter reading surveys via mobile application
All review, correction, approval, rejection, and reporting activities are handled through the web portal
GM has the authority to modify incorrect readings with remarks before approval</t>
  </si>
  <si>
    <t>A1 – Mobile Reading with GM View, Edit &amp; Approval (Dhara Module)
Field Engineer submits meter readings and related survey data via mobile application.
Submitted data is available on web portal, where General Manager can view, edit readings with remarks, and approve or reject the survey.</t>
  </si>
  <si>
    <t>Jal Rekha Dhara functional and operational requirements</t>
  </si>
  <si>
    <t>Fully controlled, correction-enabled, and approval-driven process ensuring data accuracy and governance</t>
  </si>
  <si>
    <t>Supervisory Control &amp; Governance</t>
  </si>
  <si>
    <t>Delay in mobile data sync due to network issues
Incorrect edits if approval discipline is not followed
Training and change management for field staff</t>
  </si>
  <si>
    <t>All village, scheme, and OHT mappings are completed on web
Mobile app is used only for meter reading surveys
GM edit &amp; approval is mandatory before reporting
Role-based access controls are enforced</t>
  </si>
  <si>
    <t>The decision is to implement the Dhara Module with the following workflow:
All scheme, village, OHT, and habitation mappings are completed through the web portal
General Manager assigns survey tasks to Field Engineers
Field Engineers submit meter readings and survey data via mobile application
General Manager reviews the submitted data on web portal
GM can edit incorrect readings with mandatory remarks
GM approves or rejects the survey
Only GM-approved data is used for generating official reportsDecision Authority: Department of Water Resources / Jal Nigam, in consultation with MPSEDC and the Project Steering Committee.
Decision Authority:
Department of Water Resources / Jal Nigam, in consultation with MPSEDC and Project Steering Committee</t>
  </si>
  <si>
    <t>The Dhara Module follows a mobile-assisted, web-governed workflow, where field-level data is captured by Field Engineers through mobile application, while full control of validation, correction, and approval rests with the General Manager on the web portal.
This ensures accurate, auditable, and reliable generation of reports such as Intake, WTP, OHT, Bulk Meter Reports, DWSR, MWSR, UFW, Scheme-wise WSR, Village-wise MWSR, and Bulk User MWSR.</t>
  </si>
  <si>
    <r>
      <t xml:space="preserve">This DAR evaluates approaches for implementing the Dhara Module for meter reading surveys, where:
</t>
    </r>
    <r>
      <rPr>
        <b/>
        <sz val="8"/>
        <color theme="1"/>
        <rFont val="Arial"/>
        <family val="2"/>
      </rPr>
      <t>Pre-Survey (Web Portal Only)</t>
    </r>
    <r>
      <rPr>
        <sz val="8"/>
        <color theme="1"/>
        <rFont val="Arial"/>
        <family val="2"/>
      </rPr>
      <t xml:space="preserve">
Assign Work &amp; Asset Mapping(GM)
Scheme to Village Mapping (O&amp;M Declared / Water Supply Started / Bulk Village)
OHT to Village &amp; Habitation Mapping
</t>
    </r>
    <r>
      <rPr>
        <b/>
        <sz val="8"/>
        <color theme="1"/>
        <rFont val="Arial"/>
        <family val="2"/>
      </rPr>
      <t>Survey Execution</t>
    </r>
    <r>
      <rPr>
        <sz val="8"/>
        <color theme="1"/>
        <rFont val="Arial"/>
        <family val="2"/>
      </rPr>
      <t xml:space="preserve">
GM assigns meter survey tasks to FE from mapped OHT–Village data
FE submits only meter readings via mobile application
</t>
    </r>
    <r>
      <rPr>
        <b/>
        <sz val="8"/>
        <color theme="1"/>
        <rFont val="Arial"/>
        <family val="2"/>
      </rPr>
      <t>Post-Survey (Web Portal Only)</t>
    </r>
    <r>
      <rPr>
        <sz val="8"/>
        <color theme="1"/>
        <rFont val="Arial"/>
        <family val="2"/>
      </rPr>
      <t xml:space="preserve">
GM reviews submitted readings
GM edits readings (if required) with remarks
GM approves or rejects survey data
Approved data is used for reports</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</si>
</sst>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2">
    <xf numFmtId="0" fontId="0" fillId="0" borderId="0" xfId="0"/>
    <xf numFmtId="0" fontId="4" fillId="0" borderId="9" xfId="0" applyFont="1" applyBorder="1" applyAlignment="1" applyProtection="1">
      <alignment horizontal="center" vertical="top"/>
      <protection locked="0"/>
    </xf>
    <xf numFmtId="0" fontId="1" fillId="0" borderId="0" xfId="0" applyFont="1" applyAlignment="1">
      <alignment vertical="top"/>
    </xf>
    <xf numFmtId="0" fontId="3" fillId="2" borderId="4"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2" borderId="9" xfId="0" applyFont="1" applyFill="1" applyBorder="1" applyAlignment="1">
      <alignment horizontal="left" vertical="top"/>
    </xf>
    <xf numFmtId="0" fontId="3" fillId="2" borderId="9" xfId="0" applyFont="1" applyFill="1" applyBorder="1" applyAlignment="1">
      <alignment vertical="top"/>
    </xf>
    <xf numFmtId="0" fontId="3" fillId="2" borderId="13" xfId="0" applyFont="1" applyFill="1" applyBorder="1" applyAlignment="1">
      <alignment horizontal="left" vertical="top" wrapText="1"/>
    </xf>
    <xf numFmtId="0" fontId="3" fillId="2" borderId="9" xfId="0" applyFont="1" applyFill="1" applyBorder="1" applyAlignment="1">
      <alignment horizontal="center" vertical="top" wrapText="1"/>
    </xf>
    <xf numFmtId="0" fontId="5" fillId="2" borderId="9" xfId="0" applyFont="1" applyFill="1" applyBorder="1" applyAlignment="1">
      <alignment horizontal="center" vertical="top" wrapText="1"/>
    </xf>
    <xf numFmtId="0" fontId="4" fillId="3" borderId="9" xfId="0" applyFont="1" applyFill="1" applyBorder="1" applyAlignment="1">
      <alignment horizontal="center" vertical="top"/>
    </xf>
    <xf numFmtId="2" fontId="3" fillId="3" borderId="9" xfId="0" applyNumberFormat="1" applyFont="1" applyFill="1" applyBorder="1" applyAlignment="1">
      <alignment horizontal="center" vertical="top"/>
    </xf>
    <xf numFmtId="0" fontId="3" fillId="2" borderId="9" xfId="0" applyFont="1" applyFill="1" applyBorder="1" applyAlignment="1">
      <alignment horizontal="center" vertical="top"/>
    </xf>
    <xf numFmtId="0" fontId="2" fillId="0" borderId="0" xfId="0" applyFont="1" applyAlignment="1">
      <alignment vertical="top"/>
    </xf>
    <xf numFmtId="0" fontId="6" fillId="3" borderId="9" xfId="0" applyFont="1" applyFill="1" applyBorder="1" applyAlignment="1">
      <alignment horizontal="left" vertical="top" wrapText="1"/>
    </xf>
    <xf numFmtId="0" fontId="7" fillId="2" borderId="9" xfId="0" applyFont="1" applyFill="1" applyBorder="1" applyAlignment="1">
      <alignment horizontal="left" vertical="top"/>
    </xf>
    <xf numFmtId="0" fontId="4" fillId="0" borderId="9" xfId="0" applyFont="1" applyBorder="1" applyAlignment="1" applyProtection="1">
      <alignment horizontal="left" vertical="top" wrapText="1"/>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14" fontId="4" fillId="0" borderId="10" xfId="0" applyNumberFormat="1" applyFont="1" applyBorder="1" applyAlignment="1" applyProtection="1">
      <alignment horizontal="center" vertical="top"/>
      <protection locked="0"/>
    </xf>
    <xf numFmtId="0" fontId="4" fillId="0" borderId="12" xfId="0" applyFont="1" applyBorder="1" applyAlignment="1" applyProtection="1">
      <alignment horizontal="center" vertical="top"/>
      <protection locked="0"/>
    </xf>
    <xf numFmtId="0" fontId="7" fillId="2" borderId="9" xfId="0" applyFont="1" applyFill="1" applyBorder="1" applyAlignment="1">
      <alignment horizontal="left" vertical="top" wrapText="1"/>
    </xf>
    <xf numFmtId="0" fontId="4" fillId="0" borderId="9" xfId="0" applyFont="1" applyBorder="1" applyAlignment="1" applyProtection="1">
      <alignment horizontal="left" vertical="top"/>
      <protection locked="0"/>
    </xf>
    <xf numFmtId="0" fontId="4" fillId="0" borderId="11" xfId="0" applyFont="1" applyBorder="1" applyAlignment="1" applyProtection="1">
      <alignment horizontal="left" vertical="top"/>
      <protection locked="0"/>
    </xf>
    <xf numFmtId="0" fontId="4" fillId="0" borderId="12" xfId="0" applyFont="1" applyBorder="1" applyAlignment="1" applyProtection="1">
      <alignment horizontal="left" vertical="top"/>
      <protection locked="0"/>
    </xf>
    <xf numFmtId="0" fontId="4" fillId="3" borderId="9" xfId="0" applyFont="1" applyFill="1" applyBorder="1" applyAlignment="1">
      <alignment horizontal="left" vertical="top" wrapText="1"/>
    </xf>
    <xf numFmtId="0" fontId="4" fillId="3" borderId="9" xfId="0" applyFont="1" applyFill="1" applyBorder="1" applyAlignment="1">
      <alignment horizontal="center" vertical="top"/>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3" fillId="2" borderId="9" xfId="0" applyFont="1" applyFill="1" applyBorder="1" applyAlignment="1">
      <alignment horizontal="center" vertical="top" wrapText="1"/>
    </xf>
    <xf numFmtId="0" fontId="4" fillId="0" borderId="9" xfId="0" applyFont="1" applyBorder="1" applyAlignment="1" applyProtection="1">
      <alignment horizontal="center" vertical="top" wrapText="1"/>
      <protection locked="0"/>
    </xf>
    <xf numFmtId="0" fontId="5" fillId="2" borderId="9" xfId="0" applyFont="1" applyFill="1" applyBorder="1" applyAlignment="1">
      <alignment horizontal="center" vertical="top" wrapText="1"/>
    </xf>
    <xf numFmtId="0" fontId="5" fillId="2" borderId="9" xfId="0" applyFont="1" applyFill="1" applyBorder="1" applyAlignment="1">
      <alignment horizontal="center" vertical="top"/>
    </xf>
    <xf numFmtId="0" fontId="5" fillId="4" borderId="9" xfId="0" applyFont="1" applyFill="1" applyBorder="1" applyAlignment="1">
      <alignment horizontal="center" vertical="top" wrapText="1"/>
    </xf>
    <xf numFmtId="0" fontId="5" fillId="4" borderId="9" xfId="0" applyFont="1" applyFill="1" applyBorder="1" applyAlignment="1">
      <alignment horizontal="center" vertical="top"/>
    </xf>
    <xf numFmtId="0" fontId="4" fillId="0" borderId="9" xfId="0" applyFont="1" applyBorder="1" applyAlignment="1" applyProtection="1">
      <alignment horizontal="center" vertical="top"/>
      <protection locked="0"/>
    </xf>
    <xf numFmtId="0" fontId="4" fillId="0" borderId="10" xfId="0" applyFont="1" applyBorder="1" applyAlignment="1" applyProtection="1">
      <alignment horizontal="left" vertical="top"/>
      <protection locked="0"/>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4" fillId="0" borderId="6" xfId="0" applyFont="1" applyBorder="1" applyAlignment="1" applyProtection="1">
      <alignment horizontal="center" vertical="top"/>
      <protection locked="0"/>
    </xf>
    <xf numFmtId="0" fontId="4" fillId="0" borderId="7" xfId="0" applyFont="1" applyBorder="1" applyAlignment="1" applyProtection="1">
      <alignment horizontal="center" vertical="top"/>
      <protection locked="0"/>
    </xf>
    <xf numFmtId="0" fontId="4" fillId="0" borderId="8" xfId="0" applyFont="1" applyBorder="1" applyAlignment="1" applyProtection="1">
      <alignment horizontal="center" vertical="top"/>
      <protection locked="0"/>
    </xf>
    <xf numFmtId="0" fontId="4" fillId="0" borderId="10" xfId="0" applyFont="1" applyBorder="1" applyAlignment="1" applyProtection="1">
      <alignment horizontal="center" vertical="top"/>
      <protection locked="0"/>
    </xf>
    <xf numFmtId="0" fontId="4" fillId="0" borderId="11" xfId="0" applyFont="1" applyBorder="1" applyAlignment="1" applyProtection="1">
      <alignment horizontal="center" vertical="top"/>
      <protection locked="0"/>
    </xf>
    <xf numFmtId="0" fontId="3" fillId="2" borderId="10" xfId="0" applyFont="1" applyFill="1" applyBorder="1" applyAlignment="1" applyProtection="1">
      <alignment horizontal="left" vertical="top"/>
      <protection locked="0"/>
    </xf>
    <xf numFmtId="0" fontId="3" fillId="2" borderId="12" xfId="0" applyFont="1"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abSelected="1" topLeftCell="A37" zoomScale="105" zoomScaleNormal="115" workbookViewId="0">
      <selection activeCell="C40" sqref="C40:F40"/>
    </sheetView>
  </sheetViews>
  <sheetFormatPr defaultColWidth="21.81640625" defaultRowHeight="14" x14ac:dyDescent="0.35"/>
  <cols>
    <col min="1" max="1" width="23.81640625" style="2" customWidth="1"/>
    <col min="2" max="3" width="21.81640625" style="2"/>
    <col min="4" max="4" width="11.81640625" style="2" customWidth="1"/>
    <col min="5" max="8" width="21.81640625" style="2"/>
    <col min="9" max="9" width="24.08984375" style="2" customWidth="1"/>
    <col min="10" max="16384" width="21.81640625" style="2"/>
  </cols>
  <sheetData>
    <row r="1" spans="1:9" ht="19.5" customHeight="1" thickBot="1" x14ac:dyDescent="0.4">
      <c r="A1" s="42" t="s">
        <v>0</v>
      </c>
      <c r="B1" s="43"/>
      <c r="C1" s="43"/>
      <c r="D1" s="43"/>
      <c r="E1" s="43"/>
      <c r="F1" s="43"/>
      <c r="G1" s="43"/>
      <c r="H1" s="43"/>
      <c r="I1" s="44"/>
    </row>
    <row r="2" spans="1:9" ht="19.5" customHeight="1" x14ac:dyDescent="0.35">
      <c r="A2" s="3" t="s">
        <v>1</v>
      </c>
      <c r="B2" s="45" t="s">
        <v>28</v>
      </c>
      <c r="C2" s="46"/>
      <c r="D2" s="47"/>
      <c r="E2" s="3" t="s">
        <v>2</v>
      </c>
      <c r="F2" s="4"/>
      <c r="G2" s="45" t="s">
        <v>31</v>
      </c>
      <c r="H2" s="46"/>
      <c r="I2" s="47"/>
    </row>
    <row r="3" spans="1:9" ht="19.5" customHeight="1" x14ac:dyDescent="0.35">
      <c r="A3" s="5" t="s">
        <v>3</v>
      </c>
      <c r="B3" s="48"/>
      <c r="C3" s="49"/>
      <c r="D3" s="21"/>
      <c r="E3" s="50" t="s">
        <v>4</v>
      </c>
      <c r="F3" s="51"/>
      <c r="G3" s="20">
        <v>45922</v>
      </c>
      <c r="H3" s="49"/>
      <c r="I3" s="21"/>
    </row>
    <row r="4" spans="1:9" ht="75" customHeight="1" x14ac:dyDescent="0.35">
      <c r="A4" s="5" t="s">
        <v>5</v>
      </c>
      <c r="B4" s="17" t="s">
        <v>42</v>
      </c>
      <c r="C4" s="24"/>
      <c r="D4" s="24"/>
      <c r="E4" s="24"/>
      <c r="F4" s="24"/>
      <c r="G4" s="24"/>
      <c r="H4" s="24"/>
      <c r="I4" s="25"/>
    </row>
    <row r="5" spans="1:9" ht="169.25" customHeight="1" x14ac:dyDescent="0.35">
      <c r="A5" s="6" t="s">
        <v>6</v>
      </c>
      <c r="B5" s="17" t="s">
        <v>51</v>
      </c>
      <c r="C5" s="24"/>
      <c r="D5" s="24"/>
      <c r="E5" s="24"/>
      <c r="F5" s="24"/>
      <c r="G5" s="24"/>
      <c r="H5" s="24"/>
      <c r="I5" s="25"/>
    </row>
    <row r="6" spans="1:9" ht="19.5" customHeight="1" x14ac:dyDescent="0.35">
      <c r="A6" s="7" t="s">
        <v>7</v>
      </c>
      <c r="B6" s="41" t="s">
        <v>29</v>
      </c>
      <c r="C6" s="24"/>
      <c r="D6" s="24"/>
      <c r="E6" s="24"/>
      <c r="F6" s="24"/>
      <c r="G6" s="24"/>
      <c r="H6" s="24"/>
      <c r="I6" s="25"/>
    </row>
    <row r="7" spans="1:9" ht="19.5" customHeight="1" x14ac:dyDescent="0.35">
      <c r="A7" s="34" t="s">
        <v>8</v>
      </c>
      <c r="B7" s="34"/>
      <c r="C7" s="34"/>
      <c r="D7" s="34" t="s">
        <v>9</v>
      </c>
      <c r="E7" s="34"/>
      <c r="F7" s="34"/>
      <c r="G7" s="34" t="s">
        <v>10</v>
      </c>
      <c r="H7" s="34"/>
      <c r="I7" s="34"/>
    </row>
    <row r="8" spans="1:9" ht="54" customHeight="1" x14ac:dyDescent="0.35">
      <c r="A8" s="16" t="s">
        <v>43</v>
      </c>
      <c r="B8" s="16"/>
      <c r="C8" s="16"/>
      <c r="D8" s="16" t="s">
        <v>44</v>
      </c>
      <c r="E8" s="16"/>
      <c r="F8" s="16"/>
      <c r="G8" s="40" t="s">
        <v>45</v>
      </c>
      <c r="H8" s="40"/>
      <c r="I8" s="40"/>
    </row>
    <row r="9" spans="1:9" ht="44.4" customHeight="1" x14ac:dyDescent="0.35">
      <c r="A9" s="16" t="s">
        <v>32</v>
      </c>
      <c r="B9" s="16"/>
      <c r="C9" s="16"/>
      <c r="D9" s="16" t="s">
        <v>33</v>
      </c>
      <c r="E9" s="16"/>
      <c r="F9" s="16"/>
      <c r="G9" s="40" t="s">
        <v>34</v>
      </c>
      <c r="H9" s="40"/>
      <c r="I9" s="40"/>
    </row>
    <row r="10" spans="1:9" ht="44.4" customHeight="1" x14ac:dyDescent="0.35">
      <c r="A10" s="16" t="s">
        <v>35</v>
      </c>
      <c r="B10" s="23"/>
      <c r="C10" s="23"/>
      <c r="D10" s="16" t="s">
        <v>36</v>
      </c>
      <c r="E10" s="16"/>
      <c r="F10" s="16"/>
      <c r="G10" s="40" t="s">
        <v>37</v>
      </c>
      <c r="H10" s="40"/>
      <c r="I10" s="40"/>
    </row>
    <row r="11" spans="1:9" ht="19.5" customHeight="1" x14ac:dyDescent="0.35">
      <c r="A11" s="36" t="s">
        <v>11</v>
      </c>
      <c r="B11" s="36"/>
      <c r="C11" s="36" t="s">
        <v>23</v>
      </c>
      <c r="D11" s="36"/>
      <c r="E11" s="36" t="s">
        <v>12</v>
      </c>
      <c r="F11" s="36"/>
      <c r="G11" s="36"/>
      <c r="H11" s="36"/>
      <c r="I11" s="36"/>
    </row>
    <row r="12" spans="1:9" ht="19.5" customHeight="1" x14ac:dyDescent="0.35">
      <c r="A12" s="16" t="s">
        <v>25</v>
      </c>
      <c r="B12" s="16"/>
      <c r="C12" s="35">
        <v>5</v>
      </c>
      <c r="D12" s="35"/>
      <c r="E12" s="16"/>
      <c r="F12" s="16"/>
      <c r="G12" s="16"/>
      <c r="H12" s="16"/>
      <c r="I12" s="16"/>
    </row>
    <row r="13" spans="1:9" ht="19.5" customHeight="1" x14ac:dyDescent="0.35">
      <c r="A13" s="16" t="s">
        <v>38</v>
      </c>
      <c r="B13" s="16"/>
      <c r="C13" s="35">
        <v>5</v>
      </c>
      <c r="D13" s="35"/>
      <c r="E13" s="16"/>
      <c r="F13" s="16"/>
      <c r="G13" s="16"/>
      <c r="H13" s="16"/>
      <c r="I13" s="16"/>
    </row>
    <row r="14" spans="1:9" ht="19.5" customHeight="1" x14ac:dyDescent="0.35">
      <c r="A14" s="16" t="s">
        <v>46</v>
      </c>
      <c r="B14" s="16"/>
      <c r="C14" s="35">
        <v>5</v>
      </c>
      <c r="D14" s="35"/>
      <c r="E14" s="16"/>
      <c r="F14" s="16"/>
      <c r="G14" s="16"/>
      <c r="H14" s="16"/>
      <c r="I14" s="16"/>
    </row>
    <row r="15" spans="1:9" ht="19.5" customHeight="1" x14ac:dyDescent="0.35">
      <c r="A15" s="16" t="s">
        <v>26</v>
      </c>
      <c r="B15" s="16"/>
      <c r="C15" s="35">
        <v>4</v>
      </c>
      <c r="D15" s="35"/>
      <c r="E15" s="16"/>
      <c r="F15" s="16"/>
      <c r="G15" s="16"/>
      <c r="H15" s="16"/>
      <c r="I15" s="16"/>
    </row>
    <row r="16" spans="1:9" ht="19.5" customHeight="1" x14ac:dyDescent="0.35">
      <c r="A16" s="16" t="s">
        <v>39</v>
      </c>
      <c r="B16" s="16"/>
      <c r="C16" s="35">
        <v>5</v>
      </c>
      <c r="D16" s="35"/>
      <c r="E16" s="16"/>
      <c r="F16" s="16"/>
      <c r="G16" s="16"/>
      <c r="H16" s="16"/>
      <c r="I16" s="16"/>
    </row>
    <row r="17" spans="1:9" ht="19.5" customHeight="1" x14ac:dyDescent="0.35">
      <c r="A17" s="16" t="s">
        <v>40</v>
      </c>
      <c r="B17" s="16"/>
      <c r="C17" s="35">
        <v>4</v>
      </c>
      <c r="D17" s="35"/>
      <c r="E17" s="16"/>
      <c r="F17" s="16"/>
      <c r="G17" s="16"/>
      <c r="H17" s="16"/>
      <c r="I17" s="16"/>
    </row>
    <row r="18" spans="1:9" ht="19.5" customHeight="1" x14ac:dyDescent="0.35">
      <c r="A18" s="16" t="s">
        <v>41</v>
      </c>
      <c r="B18" s="16"/>
      <c r="C18" s="35">
        <v>3</v>
      </c>
      <c r="D18" s="35"/>
      <c r="E18" s="16"/>
      <c r="F18" s="16"/>
      <c r="G18" s="16"/>
      <c r="H18" s="16"/>
      <c r="I18" s="16"/>
    </row>
    <row r="19" spans="1:9" ht="19.5" customHeight="1" x14ac:dyDescent="0.35">
      <c r="A19" s="16" t="s">
        <v>27</v>
      </c>
      <c r="B19" s="16"/>
      <c r="C19" s="35">
        <v>4</v>
      </c>
      <c r="D19" s="35"/>
      <c r="E19" s="16"/>
      <c r="F19" s="16"/>
      <c r="G19" s="16"/>
      <c r="H19" s="16"/>
      <c r="I19" s="16"/>
    </row>
    <row r="20" spans="1:9" ht="19.5" customHeight="1" x14ac:dyDescent="0.35">
      <c r="A20" s="36" t="s">
        <v>11</v>
      </c>
      <c r="B20" s="37" t="str">
        <f>IF(NOT(ISBLANK(A8)),A8,"NA")</f>
        <v>A1 – Mobile Reading with GM View, Edit &amp; Approval (Dhara Module)
Field Engineer submits meter readings and related survey data via mobile application.
Submitted data is available on web portal, where General Manager can view, edit readings with remarks, and approve or reject the survey.</v>
      </c>
      <c r="C20" s="37"/>
      <c r="D20" s="37" t="str">
        <f>IF(NOT(ISBLANK(A9)),A9,"NA")</f>
        <v>A2 – Mobile Capture with Limited Web Review
Mobile data visible on web; minimal edit/approval options</v>
      </c>
      <c r="E20" s="37"/>
      <c r="F20" s="37" t="str">
        <f>IF(NOT(ISBLANK(A10)),A10,"NA")</f>
        <v>A3 – Mobile-First with Web Validation &amp; Approval (Dhara Module)
Mobile-based data capture with TL/GM web-based review, manual edit (if required), and approval</v>
      </c>
      <c r="G20" s="37"/>
    </row>
    <row r="21" spans="1:9" ht="19.5" customHeight="1" x14ac:dyDescent="0.35">
      <c r="A21" s="36"/>
      <c r="B21" s="9" t="s">
        <v>13</v>
      </c>
      <c r="C21" s="9" t="s">
        <v>14</v>
      </c>
      <c r="D21" s="9" t="s">
        <v>13</v>
      </c>
      <c r="E21" s="9" t="s">
        <v>14</v>
      </c>
      <c r="F21" s="9" t="s">
        <v>13</v>
      </c>
      <c r="G21" s="9" t="s">
        <v>14</v>
      </c>
    </row>
    <row r="22" spans="1:9" ht="19.5" customHeight="1" x14ac:dyDescent="0.35">
      <c r="A22" s="14" t="str">
        <f>IF(NOT(ISBLANK(A12)),A12,"")</f>
        <v>Legal &amp; Regulatory Compliance</v>
      </c>
      <c r="B22" s="1">
        <v>3</v>
      </c>
      <c r="C22" s="10">
        <f t="shared" ref="C22:C29" si="0">IF(NOT(ISBLANK(A12)),B22*C12,"")</f>
        <v>15</v>
      </c>
      <c r="D22" s="1">
        <v>4</v>
      </c>
      <c r="E22" s="10">
        <f t="shared" ref="E22:E29" si="1">IF(NOT(ISBLANK(A12)),D22*C12,"")</f>
        <v>20</v>
      </c>
      <c r="F22" s="1">
        <v>5</v>
      </c>
      <c r="G22" s="10">
        <f t="shared" ref="G22:G29" si="2">IF(NOT(ISBLANK(A12)),F22*C12,"")</f>
        <v>25</v>
      </c>
    </row>
    <row r="23" spans="1:9" ht="19.5" customHeight="1" x14ac:dyDescent="0.35">
      <c r="A23" s="14" t="str">
        <f t="shared" ref="A23:A28" si="3">IF(NOT(ISBLANK(A13)),A13,"")</f>
        <v>Accuracy of Meter Reading Data</v>
      </c>
      <c r="B23" s="1">
        <v>3</v>
      </c>
      <c r="C23" s="10">
        <f t="shared" si="0"/>
        <v>15</v>
      </c>
      <c r="D23" s="1">
        <v>4</v>
      </c>
      <c r="E23" s="10">
        <f t="shared" si="1"/>
        <v>20</v>
      </c>
      <c r="F23" s="1">
        <v>5</v>
      </c>
      <c r="G23" s="10">
        <f t="shared" si="2"/>
        <v>25</v>
      </c>
    </row>
    <row r="24" spans="1:9" ht="19.5" customHeight="1" x14ac:dyDescent="0.35">
      <c r="A24" s="14" t="str">
        <f t="shared" si="3"/>
        <v>Supervisory Control &amp; Governance</v>
      </c>
      <c r="B24" s="1">
        <v>2</v>
      </c>
      <c r="C24" s="10">
        <f t="shared" si="0"/>
        <v>10</v>
      </c>
      <c r="D24" s="1">
        <v>4</v>
      </c>
      <c r="E24" s="10">
        <f t="shared" si="1"/>
        <v>20</v>
      </c>
      <c r="F24" s="1">
        <v>5</v>
      </c>
      <c r="G24" s="10">
        <f t="shared" si="2"/>
        <v>25</v>
      </c>
    </row>
    <row r="25" spans="1:9" ht="19.5" customHeight="1" x14ac:dyDescent="0.35">
      <c r="A25" s="14" t="str">
        <f t="shared" si="3"/>
        <v>Process Automation &amp; Efficiency</v>
      </c>
      <c r="B25" s="1">
        <v>4</v>
      </c>
      <c r="C25" s="10">
        <f t="shared" si="0"/>
        <v>16</v>
      </c>
      <c r="D25" s="1">
        <v>4</v>
      </c>
      <c r="E25" s="10">
        <f t="shared" si="1"/>
        <v>16</v>
      </c>
      <c r="F25" s="1">
        <v>5</v>
      </c>
      <c r="G25" s="10">
        <f t="shared" si="2"/>
        <v>20</v>
      </c>
    </row>
    <row r="26" spans="1:9" ht="19.5" customHeight="1" x14ac:dyDescent="0.35">
      <c r="A26" s="14" t="str">
        <f t="shared" si="3"/>
        <v>Data Security &amp; Integrity</v>
      </c>
      <c r="B26" s="1">
        <v>4</v>
      </c>
      <c r="C26" s="10">
        <f t="shared" si="0"/>
        <v>20</v>
      </c>
      <c r="D26" s="1">
        <v>5</v>
      </c>
      <c r="E26" s="10">
        <f t="shared" si="1"/>
        <v>25</v>
      </c>
      <c r="F26" s="1">
        <v>5</v>
      </c>
      <c r="G26" s="10">
        <f t="shared" si="2"/>
        <v>25</v>
      </c>
    </row>
    <row r="27" spans="1:9" ht="19.5" customHeight="1" x14ac:dyDescent="0.35">
      <c r="A27" s="14" t="str">
        <f t="shared" si="3"/>
        <v>Scalability &amp; Reusability</v>
      </c>
      <c r="B27" s="1">
        <v>4</v>
      </c>
      <c r="C27" s="10">
        <f t="shared" si="0"/>
        <v>16</v>
      </c>
      <c r="D27" s="1">
        <v>4</v>
      </c>
      <c r="E27" s="10">
        <f t="shared" si="1"/>
        <v>16</v>
      </c>
      <c r="F27" s="1">
        <v>4</v>
      </c>
      <c r="G27" s="10">
        <f t="shared" si="2"/>
        <v>16</v>
      </c>
    </row>
    <row r="28" spans="1:9" ht="19.5" customHeight="1" x14ac:dyDescent="0.35">
      <c r="A28" s="14" t="str">
        <f t="shared" si="3"/>
        <v>Ease of Adoption for Field Engineers</v>
      </c>
      <c r="B28" s="1">
        <v>4</v>
      </c>
      <c r="C28" s="10">
        <f t="shared" si="0"/>
        <v>12</v>
      </c>
      <c r="D28" s="1">
        <v>4</v>
      </c>
      <c r="E28" s="10">
        <f t="shared" si="1"/>
        <v>12</v>
      </c>
      <c r="F28" s="1">
        <v>4</v>
      </c>
      <c r="G28" s="10">
        <f t="shared" si="2"/>
        <v>12</v>
      </c>
    </row>
    <row r="29" spans="1:9" ht="19.5" customHeight="1" x14ac:dyDescent="0.35">
      <c r="A29" s="14" t="s">
        <v>27</v>
      </c>
      <c r="B29" s="1">
        <v>3</v>
      </c>
      <c r="C29" s="10">
        <f t="shared" si="0"/>
        <v>12</v>
      </c>
      <c r="D29" s="1">
        <v>4</v>
      </c>
      <c r="E29" s="10">
        <f t="shared" si="1"/>
        <v>16</v>
      </c>
      <c r="F29" s="1">
        <v>5</v>
      </c>
      <c r="G29" s="10">
        <f t="shared" si="2"/>
        <v>20</v>
      </c>
    </row>
    <row r="30" spans="1:9" ht="19.5" customHeight="1" x14ac:dyDescent="0.35">
      <c r="A30" s="8" t="s">
        <v>15</v>
      </c>
      <c r="B30" s="1"/>
      <c r="C30" s="11">
        <f>IF(B20="NA","",AVERAGE(C22:C29))</f>
        <v>14.5</v>
      </c>
      <c r="D30" s="1"/>
      <c r="E30" s="11">
        <f>IF(D20="NA","",AVERAGE(E22:E29))</f>
        <v>18.125</v>
      </c>
      <c r="F30" s="1"/>
      <c r="G30" s="11">
        <f>IF(F20="NA","",AVERAGE(G22:G29))</f>
        <v>21</v>
      </c>
    </row>
    <row r="31" spans="1:9" ht="19.5" customHeight="1" x14ac:dyDescent="0.35">
      <c r="A31" s="38" t="s">
        <v>16</v>
      </c>
      <c r="B31" s="39"/>
      <c r="C31" s="39"/>
      <c r="D31" s="39"/>
      <c r="E31" s="39"/>
      <c r="F31" s="39"/>
      <c r="G31" s="39"/>
      <c r="H31" s="39"/>
      <c r="I31" s="39"/>
    </row>
    <row r="32" spans="1:9" ht="19.5" customHeight="1" x14ac:dyDescent="0.35">
      <c r="A32" s="34" t="s">
        <v>8</v>
      </c>
      <c r="B32" s="34"/>
      <c r="C32" s="34"/>
      <c r="D32" s="34" t="s">
        <v>24</v>
      </c>
      <c r="E32" s="34"/>
      <c r="F32" s="34"/>
      <c r="G32" s="34" t="s">
        <v>17</v>
      </c>
      <c r="H32" s="34"/>
      <c r="I32" s="34"/>
    </row>
    <row r="33" spans="1:9" ht="48" customHeight="1" x14ac:dyDescent="0.35">
      <c r="A33" s="26" t="str">
        <f>IF(B20="NA","",A8)</f>
        <v>A1 – Mobile Reading with GM View, Edit &amp; Approval (Dhara Module)
Field Engineer submits meter readings and related survey data via mobile application.
Submitted data is available on web portal, where General Manager can view, edit readings with remarks, and approve or reject the survey.</v>
      </c>
      <c r="B33" s="26"/>
      <c r="C33" s="26"/>
      <c r="D33" s="27">
        <f>IF(B20="NA","",RANK(C30,$C$30:$G$30,0))</f>
        <v>3</v>
      </c>
      <c r="E33" s="27"/>
      <c r="F33" s="27"/>
      <c r="G33" s="27" t="str">
        <f>IF(AND(NOT(ISBLANK(D33)),ISNUMBER(D33)),IF(D33=1,"Accept","Reject"),"")</f>
        <v>Reject</v>
      </c>
      <c r="H33" s="27"/>
      <c r="I33" s="27"/>
    </row>
    <row r="34" spans="1:9" ht="48" customHeight="1" x14ac:dyDescent="0.35">
      <c r="A34" s="28" t="str">
        <f>IF(D20="NA","",A9)</f>
        <v>A2 – Mobile Capture with Limited Web Review
Mobile data visible on web; minimal edit/approval options</v>
      </c>
      <c r="B34" s="29"/>
      <c r="C34" s="30"/>
      <c r="D34" s="31">
        <f>IF(D20="NA","",RANK(E30,$C$30:$G$30,0))</f>
        <v>2</v>
      </c>
      <c r="E34" s="32"/>
      <c r="F34" s="33"/>
      <c r="G34" s="31" t="str">
        <f>IF(AND(NOT(ISBLANK(D34)),ISNUMBER(D34)),IF(D34=1,"Accept","Reject"),"")</f>
        <v>Reject</v>
      </c>
      <c r="H34" s="32"/>
      <c r="I34" s="33"/>
    </row>
    <row r="35" spans="1:9" ht="48" customHeight="1" x14ac:dyDescent="0.35">
      <c r="A35" s="26" t="str">
        <f>IF(F20="NA","",A10)</f>
        <v>A3 – Mobile-First with Web Validation &amp; Approval (Dhara Module)
Mobile-based data capture with TL/GM web-based review, manual edit (if required), and approval</v>
      </c>
      <c r="B35" s="26"/>
      <c r="C35" s="26"/>
      <c r="D35" s="27">
        <f>IF(F20="NA","",RANK(G30,$C$30:$G$30,0))</f>
        <v>1</v>
      </c>
      <c r="E35" s="27"/>
      <c r="F35" s="27"/>
      <c r="G35" s="27" t="str">
        <f>IF(AND(NOT(ISBLANK(D35)),ISNUMBER(D35)),IF(D35=1,"Accept","Reject"),"")</f>
        <v>Accept</v>
      </c>
      <c r="H35" s="27"/>
      <c r="I35" s="27"/>
    </row>
    <row r="36" spans="1:9" ht="125.4" customHeight="1" x14ac:dyDescent="0.35">
      <c r="A36" s="22" t="s">
        <v>18</v>
      </c>
      <c r="B36" s="22"/>
      <c r="C36" s="16" t="s">
        <v>49</v>
      </c>
      <c r="D36" s="23"/>
      <c r="E36" s="23"/>
      <c r="F36" s="23"/>
      <c r="G36" s="23"/>
      <c r="H36" s="23"/>
      <c r="I36" s="23"/>
    </row>
    <row r="37" spans="1:9" ht="84" customHeight="1" x14ac:dyDescent="0.35">
      <c r="A37" s="22" t="s">
        <v>19</v>
      </c>
      <c r="B37" s="22"/>
      <c r="C37" s="17" t="s">
        <v>47</v>
      </c>
      <c r="D37" s="24"/>
      <c r="E37" s="24"/>
      <c r="F37" s="24"/>
      <c r="G37" s="24"/>
      <c r="H37" s="24"/>
      <c r="I37" s="25"/>
    </row>
    <row r="38" spans="1:9" ht="82.25" customHeight="1" x14ac:dyDescent="0.35">
      <c r="A38" s="22" t="s">
        <v>20</v>
      </c>
      <c r="B38" s="22"/>
      <c r="C38" s="16" t="s">
        <v>48</v>
      </c>
      <c r="D38" s="23"/>
      <c r="E38" s="23"/>
      <c r="F38" s="23"/>
      <c r="G38" s="23"/>
      <c r="H38" s="23"/>
      <c r="I38" s="23"/>
    </row>
    <row r="39" spans="1:9" ht="45" customHeight="1" x14ac:dyDescent="0.35">
      <c r="A39" s="15" t="s">
        <v>10</v>
      </c>
      <c r="B39" s="15"/>
      <c r="C39" s="16" t="s">
        <v>50</v>
      </c>
      <c r="D39" s="16"/>
      <c r="E39" s="16"/>
      <c r="F39" s="16"/>
      <c r="G39" s="16"/>
      <c r="H39" s="16"/>
      <c r="I39" s="16"/>
    </row>
    <row r="40" spans="1:9" ht="19.5" customHeight="1" x14ac:dyDescent="0.35">
      <c r="A40" s="15" t="s">
        <v>21</v>
      </c>
      <c r="B40" s="15"/>
      <c r="C40" s="17" t="s">
        <v>30</v>
      </c>
      <c r="D40" s="18"/>
      <c r="E40" s="18"/>
      <c r="F40" s="19"/>
      <c r="G40" s="12" t="s">
        <v>22</v>
      </c>
      <c r="H40" s="20">
        <v>45922</v>
      </c>
      <c r="I40" s="21"/>
    </row>
    <row r="41" spans="1:9" ht="19.5" customHeight="1" x14ac:dyDescent="0.35">
      <c r="A41" s="13"/>
      <c r="B41" s="13"/>
      <c r="C41" s="13"/>
      <c r="D41" s="13"/>
      <c r="E41" s="13"/>
      <c r="F41" s="13"/>
      <c r="G41" s="13"/>
      <c r="H41" s="13"/>
      <c r="I41" s="13"/>
    </row>
    <row r="42" spans="1:9" ht="19.5" customHeight="1" x14ac:dyDescent="0.35">
      <c r="A42" s="13"/>
      <c r="B42" s="13"/>
      <c r="C42" s="13"/>
      <c r="D42" s="13"/>
      <c r="E42" s="13"/>
      <c r="F42" s="13"/>
      <c r="G42" s="13"/>
      <c r="H42" s="13"/>
      <c r="I42" s="13"/>
    </row>
    <row r="43" spans="1:9" ht="19.5" customHeight="1" x14ac:dyDescent="0.35">
      <c r="A43" s="13"/>
      <c r="B43" s="13"/>
      <c r="C43" s="13"/>
      <c r="D43" s="13"/>
      <c r="E43" s="13"/>
      <c r="F43" s="13"/>
      <c r="G43" s="13"/>
      <c r="H43" s="13"/>
      <c r="I43" s="13"/>
    </row>
    <row r="44" spans="1:9" ht="19.5" customHeight="1" x14ac:dyDescent="0.35">
      <c r="A44" s="13"/>
      <c r="B44" s="13"/>
      <c r="C44" s="13"/>
      <c r="D44" s="13"/>
      <c r="E44" s="13"/>
      <c r="F44" s="13"/>
      <c r="G44" s="13"/>
      <c r="H44" s="13"/>
      <c r="I44" s="13"/>
    </row>
  </sheetData>
  <mergeCells count="76">
    <mergeCell ref="A1:I1"/>
    <mergeCell ref="B2:D2"/>
    <mergeCell ref="G2:I2"/>
    <mergeCell ref="B3:D3"/>
    <mergeCell ref="E3:F3"/>
    <mergeCell ref="G3:I3"/>
    <mergeCell ref="B4:I4"/>
    <mergeCell ref="B5:I5"/>
    <mergeCell ref="B6:I6"/>
    <mergeCell ref="A7:C7"/>
    <mergeCell ref="D7:F7"/>
    <mergeCell ref="G7:I7"/>
    <mergeCell ref="A8:C8"/>
    <mergeCell ref="D8:F8"/>
    <mergeCell ref="G8:I8"/>
    <mergeCell ref="A9:C9"/>
    <mergeCell ref="D9:F9"/>
    <mergeCell ref="G9:I9"/>
    <mergeCell ref="A10:C10"/>
    <mergeCell ref="D10:F10"/>
    <mergeCell ref="G10:I10"/>
    <mergeCell ref="A11:B11"/>
    <mergeCell ref="C11:D11"/>
    <mergeCell ref="E11:I11"/>
    <mergeCell ref="A12:B12"/>
    <mergeCell ref="C12:D12"/>
    <mergeCell ref="E12:I12"/>
    <mergeCell ref="A13:B13"/>
    <mergeCell ref="C13:D13"/>
    <mergeCell ref="E13:I13"/>
    <mergeCell ref="A14:B14"/>
    <mergeCell ref="C14:D14"/>
    <mergeCell ref="E14:I14"/>
    <mergeCell ref="A15:B15"/>
    <mergeCell ref="C15:D15"/>
    <mergeCell ref="E15:I15"/>
    <mergeCell ref="A16:B16"/>
    <mergeCell ref="C16:D16"/>
    <mergeCell ref="E16:I16"/>
    <mergeCell ref="A17:B17"/>
    <mergeCell ref="C17:D17"/>
    <mergeCell ref="E17:I17"/>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35:C35"/>
    <mergeCell ref="D35:F35"/>
    <mergeCell ref="G35:I35"/>
    <mergeCell ref="A33:C33"/>
    <mergeCell ref="D33:F33"/>
    <mergeCell ref="G33:I33"/>
    <mergeCell ref="A34:C34"/>
    <mergeCell ref="D34:F34"/>
    <mergeCell ref="G34:I34"/>
    <mergeCell ref="A36:B36"/>
    <mergeCell ref="C36:I36"/>
    <mergeCell ref="A37:B37"/>
    <mergeCell ref="C37:I37"/>
    <mergeCell ref="A38:B38"/>
    <mergeCell ref="C38:I38"/>
    <mergeCell ref="A39:B39"/>
    <mergeCell ref="C39:I39"/>
    <mergeCell ref="A40:B40"/>
    <mergeCell ref="C40:F40"/>
    <mergeCell ref="H40:I40"/>
  </mergeCells>
  <dataValidations count="1">
    <dataValidation type="list" allowBlank="1" showInputMessage="1" showErrorMessage="1" sqref="B22:B29 D22:D29 F22:F29">
      <formula1>"1,2,3, 4,5"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D21E2ABB2D2C4FB0E5A91234516DC0" ma:contentTypeVersion="9" ma:contentTypeDescription="Create a new document." ma:contentTypeScope="" ma:versionID="192d560c40dc385836dce96eb2990053">
  <xsd:schema xmlns:xsd="http://www.w3.org/2001/XMLSchema" xmlns:xs="http://www.w3.org/2001/XMLSchema" xmlns:p="http://schemas.microsoft.com/office/2006/metadata/properties" xmlns:ns2="0525709d-83f5-4aa2-b8f1-014358ba5028" targetNamespace="http://schemas.microsoft.com/office/2006/metadata/properties" ma:root="true" ma:fieldsID="5dbf577e7226612504307fbbc6adde4b" ns2:_="">
    <xsd:import namespace="0525709d-83f5-4aa2-b8f1-014358ba50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25709d-83f5-4aa2-b8f1-014358ba50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DA1FD4-F437-465C-B64F-25997A5A9900}">
  <ds:schemaRef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0525709d-83f5-4aa2-b8f1-014358ba5028"/>
  </ds:schemaRefs>
</ds:datastoreItem>
</file>

<file path=customXml/itemProps2.xml><?xml version="1.0" encoding="utf-8"?>
<ds:datastoreItem xmlns:ds="http://schemas.openxmlformats.org/officeDocument/2006/customXml" ds:itemID="{A89C17FC-3259-4607-9330-EEE0EF487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25709d-83f5-4aa2-b8f1-014358ba5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7B7AA0-62AC-4EAE-A274-8B16CF118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hp</cp:lastModifiedBy>
  <dcterms:created xsi:type="dcterms:W3CDTF">2017-11-13T13:56:00Z</dcterms:created>
  <dcterms:modified xsi:type="dcterms:W3CDTF">2026-01-26T13:18:40Z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