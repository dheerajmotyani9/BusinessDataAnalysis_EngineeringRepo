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p\Desktop\"/>
    </mc:Choice>
  </mc:AlternateContent>
  <xr:revisionPtr revIDLastSave="0" documentId="13_ncr:1_{E3B22BF5-1D85-47DF-93E2-4FC446C89591}" xr6:coauthVersionLast="47" xr6:coauthVersionMax="47" xr10:uidLastSave="{00000000-0000-0000-0000-000000000000}"/>
  <bookViews>
    <workbookView xWindow="-108" yWindow="-108" windowWidth="23256" windowHeight="12456" xr2:uid="{00000000-000D-0000-FFFF-FFFF00000000}"/>
  </bookViews>
  <sheets>
    <sheet name="Nirmal Modu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1" l="1"/>
  <c r="G30" i="1"/>
  <c r="C30" i="1"/>
  <c r="G29" i="1"/>
  <c r="E29" i="1"/>
  <c r="C29" i="1"/>
  <c r="G28" i="1"/>
  <c r="E28" i="1"/>
  <c r="E30" i="1" s="1"/>
  <c r="C28" i="1"/>
  <c r="A28" i="1"/>
  <c r="G27" i="1"/>
  <c r="E27" i="1"/>
  <c r="C27" i="1"/>
  <c r="A27" i="1"/>
  <c r="G26" i="1"/>
  <c r="E26" i="1"/>
  <c r="C26" i="1"/>
  <c r="A26" i="1"/>
  <c r="G25" i="1"/>
  <c r="E25" i="1"/>
  <c r="C25" i="1"/>
  <c r="A25" i="1"/>
  <c r="G24" i="1"/>
  <c r="E24" i="1"/>
  <c r="C24" i="1"/>
  <c r="A24" i="1"/>
  <c r="G23" i="1"/>
  <c r="E23" i="1"/>
  <c r="C23" i="1"/>
  <c r="A23" i="1"/>
  <c r="G22" i="1"/>
  <c r="E22" i="1"/>
  <c r="C22" i="1"/>
  <c r="A22" i="1"/>
  <c r="F20" i="1"/>
  <c r="D35" i="1" s="1"/>
  <c r="G35" i="1" s="1"/>
  <c r="D20" i="1"/>
  <c r="D34" i="1" s="1"/>
  <c r="G34" i="1" s="1"/>
  <c r="A33" i="1"/>
  <c r="D33" i="1" l="1"/>
  <c r="G33" i="1" s="1"/>
  <c r="A34" i="1"/>
  <c r="A35" i="1"/>
</calcChain>
</file>

<file path=xl/sharedStrings.xml><?xml version="1.0" encoding="utf-8"?>
<sst xmlns="http://schemas.openxmlformats.org/spreadsheetml/2006/main" count="54" uniqueCount="47">
  <si>
    <t>DAR Form</t>
  </si>
  <si>
    <t>Group Name</t>
  </si>
  <si>
    <t>Project Name</t>
  </si>
  <si>
    <t>Decision Seeker</t>
  </si>
  <si>
    <t>Evaluation Date</t>
  </si>
  <si>
    <t>Problem Statement</t>
  </si>
  <si>
    <t>Scope of DAR</t>
  </si>
  <si>
    <t>DAR Team Members</t>
  </si>
  <si>
    <t>Entire Team</t>
  </si>
  <si>
    <t>Alternatives</t>
  </si>
  <si>
    <t>Source of Alternatives</t>
  </si>
  <si>
    <t>Remarks</t>
  </si>
  <si>
    <t>Criteria for Evaluation</t>
  </si>
  <si>
    <t>Weightage 
 (1 = Least important and 5 = Most important)</t>
  </si>
  <si>
    <t>Rationale for Criteria and Weightage Selection</t>
  </si>
  <si>
    <t>Legal &amp; Regulatory Compliance</t>
  </si>
  <si>
    <t>Integration Feasibility</t>
  </si>
  <si>
    <t>Process Automation &amp; Efficiency</t>
  </si>
  <si>
    <t>Data Security &amp; Document Integrity</t>
  </si>
  <si>
    <t>Availability of Technical &amp; Operational Resources</t>
  </si>
  <si>
    <t>Scalability &amp; Reusability</t>
  </si>
  <si>
    <t>Ease of Adoption for Applicants</t>
  </si>
  <si>
    <t>Operational Risk Reduction</t>
  </si>
  <si>
    <t>Score</t>
  </si>
  <si>
    <t>Weighted Score</t>
  </si>
  <si>
    <t>Average Weighted Score</t>
  </si>
  <si>
    <t>Score Range (1 - 5) :  ( 1 = Minimum rating and 5 = Maximum rating)</t>
  </si>
  <si>
    <t>Order (1 = Highest, 4 = Lowest)</t>
  </si>
  <si>
    <t>Result</t>
  </si>
  <si>
    <t>Solution Decision 
(Decision Authority)</t>
  </si>
  <si>
    <t>Risk anticipated</t>
  </si>
  <si>
    <t>Assumptions</t>
  </si>
  <si>
    <t>Decision Authority</t>
  </si>
  <si>
    <t>Date</t>
  </si>
  <si>
    <t>Jal Rekha - Nirmal Module</t>
  </si>
  <si>
    <t>A1 – Manual water sample collection with paper-based recording, manual lab testing, and delayed reporting without system integration</t>
  </si>
  <si>
    <t>Derived from traditional manual water quality monitoring practices where Field Engineers collect samples on paper forms, transport to lab, and labs submit paper-based test reports without digital tracking or real-time validation.</t>
  </si>
  <si>
    <t>A2 – Mobile app for sample collection with basic digital entry and semi-automated lab testing with limited system validation</t>
  </si>
  <si>
    <t>Derived from partially digitized water quality systems that use mobile apps for field data capture but lack comprehensive geofencing, automated sample ID generation, and full laboratory integration with BIS compliance checking.</t>
  </si>
  <si>
    <t>A3 – Geofenced mobile app with automated sample ID generation, FRC testing, comprehensive web-based laboratory portal for 17 BIS parameters, automated pass/fail validation, and fail-fix rectification workflow</t>
  </si>
  <si>
    <t>Derived from industry best practices in digital water quality monitoring, BIS 10500:2012 standards requirements, stakeholder requirements from Field Engineers and Laboratory Contractors, and proven GIS-enabled monitoring systems implemented in other water supply projects.</t>
  </si>
  <si>
    <t>Geofenced mobile app with automated sample ID generation, FRC testing, comprehensive laboratory portal for 17 BIS parameters with automated pass/fail validation (Alternative A3) is selected as the preferred approach for water quality monitoring in the Nirmal module.</t>
  </si>
  <si>
    <t>Network connectivity issues in remote field locations affecting real-time data synchronization
GPS signal weakness affecting geofencing validation at some sampling locations
Manual errors during FRC test result entry by Field Engineers
Laboratory equipment malfunction or improper calibration affecting accuracy of 17 BIS parameters
Sample transportation delays between field collection and laboratory testing
Field Engineers not following geofencing protocols for sample collection
Incomplete or delayed entry of laboratory test results by contractors
System downtime during critical water quality testing periods</t>
  </si>
  <si>
    <t>Field Engineers have Android devices with GPS capability and internet connectivity for data synchronization.
FRC testing kits are properly calibrated and available to all Field Engineers.
Laboratory contractors have equipment and capability to test all 17 BIS 10500:2012 water quality parameters.
Component assignments (WTP, OHT/ESR, villages) from Dhara module are accurate and up-to-date.
PostgreSQL database with PostGIS extensions is properly configured and maintained for spatial data.
Standard operating procedures for geofenced sample collection and FRC testing are followed.
Web portal for laboratory result entry is available and accessible to all contractor laboratories.
Infrastructure (IIS web server, database) is stable and secure during water quality monitoring operations.
SMS gateway and email services are functional for generating alerts on failed water samples.
Samagra integration is available for beneficiary identification and mobile number validation.</t>
  </si>
  <si>
    <t>The Nirmal module successfully integrates water quality monitoring across all critical points - WTP inlet (raw water), WTP outlet (treated water), OHT/ESR (storage), and beneficiary locations (last mile). The system ensures end-to-end digital tracking from field sample collection to laboratory testing with automated validation against BIS 10500:2012 standards. Key features include unique sample ID generation, geofencing for location verification, FRC testing with photo documentation, 17 parameter laboratory testing, automated pass/fail determination, fail-fix rectification workflow, and comprehensive reporting. Real-time alerts for failed samples enable immediate corrective action, ensuring safe drinking water supply across Madhya Pradesh rural water schemes.</t>
  </si>
  <si>
    <t>To select a reliable and efficient water quality monitoring approach for the Nirmal module that ensures accurate testing of water samples from Intake Raw Water/ WTP inlet/outlet, OHT, and beneficiary locations, timely laboratory testing of 17 BIS parameters, automated pass/fail validation against BIS 10500:2012 standards, and fail-fix rectification workflow.</t>
  </si>
  <si>
    <t>Office of the Jal Rekha Commissioner, Madhya Pradesh, in consultation with MPSEDC – authorized to approve the selected testing approach  for  testing of water quality samples in the Nirmal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</si>
</sst>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rial"/>
      <family val="2"/>
    </font>
    <font>
      <sz val="9"/>
      <color theme="1"/>
      <name val="Arial"/>
      <family val="2"/>
    </font>
    <font>
      <b/>
      <sz val="8"/>
      <color theme="1"/>
      <name val="Arial"/>
      <family val="2"/>
    </font>
    <font>
      <sz val="8"/>
      <color theme="1"/>
      <name val="Arial"/>
      <family val="2"/>
    </font>
    <font>
      <b/>
      <sz val="8"/>
      <name val="Arial"/>
      <family val="2"/>
    </font>
    <font>
      <sz val="8"/>
      <name val="Arial"/>
      <family val="2"/>
    </font>
    <font>
      <b/>
      <sz val="8"/>
      <name val="Arial Bold"/>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40">
    <xf numFmtId="0" fontId="0" fillId="0" borderId="0" xfId="0"/>
    <xf numFmtId="0" fontId="3" fillId="2" borderId="1" xfId="0" applyFont="1" applyFill="1" applyBorder="1" applyAlignment="1">
      <alignment horizontal="center" vertical="center"/>
    </xf>
    <xf numFmtId="0" fontId="0" fillId="0" borderId="11" xfId="0" applyBorder="1" applyAlignment="1">
      <alignment vertical="center"/>
    </xf>
    <xf numFmtId="0" fontId="0" fillId="0" borderId="12" xfId="0" applyBorder="1" applyAlignment="1">
      <alignment vertical="center"/>
    </xf>
    <xf numFmtId="0" fontId="1" fillId="0" borderId="0" xfId="0" applyFont="1" applyAlignment="1">
      <alignment vertical="center"/>
    </xf>
    <xf numFmtId="0" fontId="3" fillId="2" borderId="2" xfId="0" applyFont="1" applyFill="1" applyBorder="1" applyAlignment="1" applyProtection="1">
      <alignment vertical="center"/>
      <protection locked="0"/>
    </xf>
    <xf numFmtId="0" fontId="4" fillId="0" borderId="10" xfId="0" applyFont="1" applyBorder="1" applyAlignment="1" applyProtection="1">
      <alignment horizontal="center" vertical="center"/>
      <protection locked="0"/>
    </xf>
    <xf numFmtId="0" fontId="0" fillId="0" borderId="4" xfId="0" applyBorder="1" applyAlignment="1" applyProtection="1">
      <alignment vertical="center"/>
      <protection locked="0"/>
    </xf>
    <xf numFmtId="0" fontId="0" fillId="0" borderId="5" xfId="0" applyBorder="1" applyAlignment="1" applyProtection="1">
      <alignment vertical="center"/>
      <protection locked="0"/>
    </xf>
    <xf numFmtId="0" fontId="3" fillId="2" borderId="3" xfId="0" applyFont="1" applyFill="1" applyBorder="1" applyAlignment="1" applyProtection="1">
      <alignment vertical="center"/>
      <protection locked="0"/>
    </xf>
    <xf numFmtId="0" fontId="3" fillId="2" borderId="6" xfId="0" applyFont="1" applyFill="1" applyBorder="1" applyAlignment="1">
      <alignment horizontal="left" vertical="center"/>
    </xf>
    <xf numFmtId="0" fontId="4" fillId="0" borderId="6" xfId="0" applyFont="1" applyBorder="1" applyAlignment="1" applyProtection="1">
      <alignment horizontal="center" vertical="center"/>
      <protection locked="0"/>
    </xf>
    <xf numFmtId="0" fontId="0" fillId="0" borderId="7" xfId="0" applyBorder="1" applyAlignment="1" applyProtection="1">
      <alignment vertical="center"/>
      <protection locked="0"/>
    </xf>
    <xf numFmtId="0" fontId="0" fillId="0" borderId="8" xfId="0" applyBorder="1" applyAlignment="1" applyProtection="1">
      <alignment vertical="center"/>
      <protection locked="0"/>
    </xf>
    <xf numFmtId="0" fontId="3" fillId="2" borderId="6" xfId="0" applyFont="1" applyFill="1" applyBorder="1" applyAlignment="1" applyProtection="1">
      <alignment horizontal="left" vertical="center"/>
      <protection locked="0"/>
    </xf>
    <xf numFmtId="14" fontId="4" fillId="0" borderId="6" xfId="0" applyNumberFormat="1" applyFont="1" applyBorder="1" applyAlignment="1" applyProtection="1">
      <alignment horizontal="center" vertical="center"/>
      <protection locked="0"/>
    </xf>
    <xf numFmtId="0" fontId="4" fillId="0" borderId="6" xfId="0" applyFont="1" applyBorder="1" applyAlignment="1" applyProtection="1">
      <alignment horizontal="left" vertical="center"/>
      <protection locked="0"/>
    </xf>
    <xf numFmtId="0" fontId="3" fillId="2" borderId="6" xfId="0" applyFont="1" applyFill="1" applyBorder="1" applyAlignment="1">
      <alignment vertical="center"/>
    </xf>
    <xf numFmtId="0" fontId="3" fillId="2" borderId="9"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0" fillId="0" borderId="7" xfId="0" applyBorder="1" applyAlignment="1">
      <alignment vertical="center"/>
    </xf>
    <xf numFmtId="0" fontId="0" fillId="0" borderId="8" xfId="0" applyBorder="1" applyAlignment="1">
      <alignment vertical="center"/>
    </xf>
    <xf numFmtId="0" fontId="4" fillId="0" borderId="6" xfId="0" applyFont="1" applyBorder="1" applyAlignment="1" applyProtection="1">
      <alignment horizontal="left" vertical="center" wrapText="1"/>
      <protection locked="0"/>
    </xf>
    <xf numFmtId="0" fontId="5" fillId="2" borderId="6" xfId="0" applyFont="1" applyFill="1" applyBorder="1" applyAlignment="1">
      <alignment horizontal="center" vertical="center" wrapText="1"/>
    </xf>
    <xf numFmtId="0" fontId="4" fillId="0" borderId="6" xfId="0" applyFont="1" applyBorder="1" applyAlignment="1" applyProtection="1">
      <alignment horizontal="center" vertical="center" wrapText="1"/>
      <protection locked="0"/>
    </xf>
    <xf numFmtId="0" fontId="5" fillId="2" borderId="6" xfId="0" applyFont="1" applyFill="1" applyBorder="1" applyAlignment="1">
      <alignment horizontal="center" vertical="center"/>
    </xf>
    <xf numFmtId="0" fontId="0" fillId="0" borderId="10" xfId="0" applyBorder="1" applyAlignment="1">
      <alignment vertical="center"/>
    </xf>
    <xf numFmtId="0" fontId="5" fillId="2" borderId="6" xfId="0" applyFont="1" applyFill="1" applyBorder="1" applyAlignment="1">
      <alignment horizontal="center" vertical="center" wrapText="1"/>
    </xf>
    <xf numFmtId="0" fontId="6" fillId="3" borderId="6" xfId="0" applyFont="1" applyFill="1" applyBorder="1" applyAlignment="1">
      <alignment horizontal="left" vertical="center" wrapText="1"/>
    </xf>
    <xf numFmtId="0" fontId="4" fillId="0" borderId="6" xfId="0" applyFont="1" applyBorder="1" applyAlignment="1" applyProtection="1">
      <alignment horizontal="center" vertical="center"/>
      <protection locked="0"/>
    </xf>
    <xf numFmtId="0" fontId="4" fillId="3" borderId="6" xfId="0" applyFont="1" applyFill="1" applyBorder="1" applyAlignment="1">
      <alignment horizontal="center" vertical="center"/>
    </xf>
    <xf numFmtId="0" fontId="3" fillId="2" borderId="6" xfId="0" applyFont="1" applyFill="1" applyBorder="1" applyAlignment="1">
      <alignment horizontal="center" vertical="center" wrapText="1"/>
    </xf>
    <xf numFmtId="2" fontId="3" fillId="3" borderId="6" xfId="0" applyNumberFormat="1" applyFont="1" applyFill="1" applyBorder="1" applyAlignment="1">
      <alignment horizontal="center" vertical="center"/>
    </xf>
    <xf numFmtId="0" fontId="5" fillId="4" borderId="6"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4" fillId="3" borderId="6" xfId="0" applyFont="1" applyFill="1" applyBorder="1" applyAlignment="1">
      <alignment horizontal="center" vertical="center"/>
    </xf>
    <xf numFmtId="0" fontId="7" fillId="2" borderId="6" xfId="0" applyFont="1" applyFill="1" applyBorder="1" applyAlignment="1">
      <alignment horizontal="left" vertical="center" wrapText="1"/>
    </xf>
    <xf numFmtId="0" fontId="7" fillId="2" borderId="6" xfId="0" applyFont="1" applyFill="1" applyBorder="1" applyAlignment="1">
      <alignment horizontal="left" vertical="center"/>
    </xf>
    <xf numFmtId="0" fontId="3" fillId="2" borderId="6" xfId="0" applyFont="1" applyFill="1" applyBorder="1" applyAlignment="1">
      <alignment horizontal="center"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IQVIA">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tabSelected="1" topLeftCell="A38" workbookViewId="0">
      <selection activeCell="I48" activeCellId="1" sqref="C38:I38 I48"/>
    </sheetView>
  </sheetViews>
  <sheetFormatPr defaultColWidth="21.77734375" defaultRowHeight="13.8" x14ac:dyDescent="0.3"/>
  <cols>
    <col min="1" max="3" width="21.77734375" style="4" customWidth="1"/>
    <col min="4" max="4" width="11.77734375" style="4" customWidth="1"/>
    <col min="5" max="5" width="21.77734375" style="4" customWidth="1"/>
    <col min="6" max="16384" width="21.77734375" style="4"/>
  </cols>
  <sheetData>
    <row r="1" spans="1:9" ht="19.5" customHeight="1" thickBot="1" x14ac:dyDescent="0.35">
      <c r="A1" s="1" t="s">
        <v>0</v>
      </c>
      <c r="B1" s="2"/>
      <c r="C1" s="2"/>
      <c r="D1" s="2"/>
      <c r="E1" s="2"/>
      <c r="F1" s="2"/>
      <c r="G1" s="2"/>
      <c r="H1" s="2"/>
      <c r="I1" s="3"/>
    </row>
    <row r="2" spans="1:9" ht="19.5" customHeight="1" x14ac:dyDescent="0.3">
      <c r="A2" s="5" t="s">
        <v>1</v>
      </c>
      <c r="B2" s="6"/>
      <c r="C2" s="7"/>
      <c r="D2" s="8"/>
      <c r="E2" s="5" t="s">
        <v>2</v>
      </c>
      <c r="F2" s="9"/>
      <c r="G2" s="6" t="s">
        <v>34</v>
      </c>
      <c r="H2" s="7"/>
      <c r="I2" s="8"/>
    </row>
    <row r="3" spans="1:9" ht="19.5" customHeight="1" x14ac:dyDescent="0.3">
      <c r="A3" s="10" t="s">
        <v>3</v>
      </c>
      <c r="B3" s="11"/>
      <c r="C3" s="12"/>
      <c r="D3" s="13"/>
      <c r="E3" s="14" t="s">
        <v>4</v>
      </c>
      <c r="F3" s="13"/>
      <c r="G3" s="15">
        <v>45716</v>
      </c>
      <c r="H3" s="12"/>
      <c r="I3" s="13"/>
    </row>
    <row r="4" spans="1:9" ht="19.5" customHeight="1" x14ac:dyDescent="0.3">
      <c r="A4" s="10" t="s">
        <v>5</v>
      </c>
      <c r="B4" s="16" t="s">
        <v>45</v>
      </c>
      <c r="C4" s="12"/>
      <c r="D4" s="12"/>
      <c r="E4" s="12"/>
      <c r="F4" s="12"/>
      <c r="G4" s="12"/>
      <c r="H4" s="12"/>
      <c r="I4" s="13"/>
    </row>
    <row r="5" spans="1:9" ht="19.5" customHeight="1" x14ac:dyDescent="0.3">
      <c r="A5" s="17" t="s">
        <v>6</v>
      </c>
      <c r="B5" s="16"/>
      <c r="C5" s="12"/>
      <c r="D5" s="12"/>
      <c r="E5" s="12"/>
      <c r="F5" s="12"/>
      <c r="G5" s="12"/>
      <c r="H5" s="12"/>
      <c r="I5" s="13"/>
    </row>
    <row r="6" spans="1:9" ht="19.5" customHeight="1" x14ac:dyDescent="0.3">
      <c r="A6" s="18" t="s">
        <v>7</v>
      </c>
      <c r="B6" s="16" t="s">
        <v>8</v>
      </c>
      <c r="C6" s="12"/>
      <c r="D6" s="12"/>
      <c r="E6" s="12"/>
      <c r="F6" s="12"/>
      <c r="G6" s="12"/>
      <c r="H6" s="12"/>
      <c r="I6" s="13"/>
    </row>
    <row r="7" spans="1:9" ht="19.5" customHeight="1" x14ac:dyDescent="0.3">
      <c r="A7" s="19" t="s">
        <v>9</v>
      </c>
      <c r="B7" s="20"/>
      <c r="C7" s="21"/>
      <c r="D7" s="19" t="s">
        <v>10</v>
      </c>
      <c r="E7" s="20"/>
      <c r="F7" s="21"/>
      <c r="G7" s="19" t="s">
        <v>11</v>
      </c>
      <c r="H7" s="20"/>
      <c r="I7" s="21"/>
    </row>
    <row r="8" spans="1:9" ht="44.4" customHeight="1" x14ac:dyDescent="0.3">
      <c r="A8" s="22" t="s">
        <v>35</v>
      </c>
      <c r="B8" s="12"/>
      <c r="C8" s="13"/>
      <c r="D8" s="22" t="s">
        <v>36</v>
      </c>
      <c r="E8" s="12"/>
      <c r="F8" s="13"/>
      <c r="G8" s="11"/>
      <c r="H8" s="12"/>
      <c r="I8" s="13"/>
    </row>
    <row r="9" spans="1:9" ht="49.8" customHeight="1" x14ac:dyDescent="0.3">
      <c r="A9" s="22" t="s">
        <v>37</v>
      </c>
      <c r="B9" s="12"/>
      <c r="C9" s="13"/>
      <c r="D9" s="22" t="s">
        <v>38</v>
      </c>
      <c r="E9" s="12"/>
      <c r="F9" s="13"/>
      <c r="G9" s="11"/>
      <c r="H9" s="12"/>
      <c r="I9" s="13"/>
    </row>
    <row r="10" spans="1:9" ht="43.2" customHeight="1" x14ac:dyDescent="0.3">
      <c r="A10" s="22" t="s">
        <v>39</v>
      </c>
      <c r="B10" s="12"/>
      <c r="C10" s="13"/>
      <c r="D10" s="22" t="s">
        <v>40</v>
      </c>
      <c r="E10" s="12"/>
      <c r="F10" s="13"/>
      <c r="G10" s="11"/>
      <c r="H10" s="12"/>
      <c r="I10" s="13"/>
    </row>
    <row r="11" spans="1:9" ht="19.5" customHeight="1" x14ac:dyDescent="0.3">
      <c r="A11" s="23" t="s">
        <v>12</v>
      </c>
      <c r="B11" s="21"/>
      <c r="C11" s="23" t="s">
        <v>13</v>
      </c>
      <c r="D11" s="21"/>
      <c r="E11" s="23" t="s">
        <v>14</v>
      </c>
      <c r="F11" s="20"/>
      <c r="G11" s="20"/>
      <c r="H11" s="20"/>
      <c r="I11" s="21"/>
    </row>
    <row r="12" spans="1:9" ht="19.5" customHeight="1" x14ac:dyDescent="0.3">
      <c r="A12" s="22" t="s">
        <v>15</v>
      </c>
      <c r="B12" s="13"/>
      <c r="C12" s="24">
        <v>5</v>
      </c>
      <c r="D12" s="13"/>
      <c r="E12" s="22"/>
      <c r="F12" s="12"/>
      <c r="G12" s="12"/>
      <c r="H12" s="12"/>
      <c r="I12" s="13"/>
    </row>
    <row r="13" spans="1:9" ht="19.5" customHeight="1" x14ac:dyDescent="0.3">
      <c r="A13" s="22" t="s">
        <v>16</v>
      </c>
      <c r="B13" s="13"/>
      <c r="C13" s="24">
        <v>5</v>
      </c>
      <c r="D13" s="13"/>
      <c r="E13" s="22"/>
      <c r="F13" s="12"/>
      <c r="G13" s="12"/>
      <c r="H13" s="12"/>
      <c r="I13" s="13"/>
    </row>
    <row r="14" spans="1:9" ht="19.5" customHeight="1" x14ac:dyDescent="0.3">
      <c r="A14" s="22" t="s">
        <v>17</v>
      </c>
      <c r="B14" s="13"/>
      <c r="C14" s="24">
        <v>4</v>
      </c>
      <c r="D14" s="13"/>
      <c r="E14" s="22"/>
      <c r="F14" s="12"/>
      <c r="G14" s="12"/>
      <c r="H14" s="12"/>
      <c r="I14" s="13"/>
    </row>
    <row r="15" spans="1:9" ht="19.5" customHeight="1" x14ac:dyDescent="0.3">
      <c r="A15" s="22" t="s">
        <v>18</v>
      </c>
      <c r="B15" s="13"/>
      <c r="C15" s="24">
        <v>5</v>
      </c>
      <c r="D15" s="13"/>
      <c r="E15" s="22"/>
      <c r="F15" s="12"/>
      <c r="G15" s="12"/>
      <c r="H15" s="12"/>
      <c r="I15" s="13"/>
    </row>
    <row r="16" spans="1:9" ht="19.5" customHeight="1" x14ac:dyDescent="0.3">
      <c r="A16" s="22" t="s">
        <v>19</v>
      </c>
      <c r="B16" s="13"/>
      <c r="C16" s="24">
        <v>4</v>
      </c>
      <c r="D16" s="13"/>
      <c r="E16" s="22"/>
      <c r="F16" s="12"/>
      <c r="G16" s="12"/>
      <c r="H16" s="12"/>
      <c r="I16" s="13"/>
    </row>
    <row r="17" spans="1:9" ht="19.5" customHeight="1" x14ac:dyDescent="0.3">
      <c r="A17" s="22" t="s">
        <v>20</v>
      </c>
      <c r="B17" s="13"/>
      <c r="C17" s="24">
        <v>4</v>
      </c>
      <c r="D17" s="13"/>
      <c r="E17" s="22"/>
      <c r="F17" s="12"/>
      <c r="G17" s="12"/>
      <c r="H17" s="12"/>
      <c r="I17" s="13"/>
    </row>
    <row r="18" spans="1:9" ht="19.5" customHeight="1" x14ac:dyDescent="0.3">
      <c r="A18" s="22" t="s">
        <v>21</v>
      </c>
      <c r="B18" s="13"/>
      <c r="C18" s="24">
        <v>3</v>
      </c>
      <c r="D18" s="13"/>
      <c r="E18" s="22"/>
      <c r="F18" s="12"/>
      <c r="G18" s="12"/>
      <c r="H18" s="12"/>
      <c r="I18" s="13"/>
    </row>
    <row r="19" spans="1:9" ht="19.5" customHeight="1" x14ac:dyDescent="0.3">
      <c r="A19" s="22" t="s">
        <v>22</v>
      </c>
      <c r="B19" s="13"/>
      <c r="C19" s="24">
        <v>4</v>
      </c>
      <c r="D19" s="13"/>
      <c r="E19" s="22"/>
      <c r="F19" s="12"/>
      <c r="G19" s="12"/>
      <c r="H19" s="12"/>
      <c r="I19" s="13"/>
    </row>
    <row r="20" spans="1:9" ht="19.5" customHeight="1" x14ac:dyDescent="0.3">
      <c r="A20" s="23" t="s">
        <v>12</v>
      </c>
      <c r="B20" s="25" t="str">
        <f>IF(NOT(ISBLANK(A8)),A8,"NA")</f>
        <v>A1 – Manual water sample collection with paper-based recording, manual lab testing, and delayed reporting without system integration</v>
      </c>
      <c r="C20" s="21"/>
      <c r="D20" s="25" t="str">
        <f>IF(NOT(ISBLANK(A9)),A9,"NA")</f>
        <v>A2 – Mobile app for sample collection with basic digital entry and semi-automated lab testing with limited system validation</v>
      </c>
      <c r="E20" s="21"/>
      <c r="F20" s="25" t="str">
        <f>IF(NOT(ISBLANK(A10)),A10,"NA")</f>
        <v>A3 – Geofenced mobile app with automated sample ID generation, FRC testing, comprehensive web-based laboratory portal for 17 BIS parameters, automated pass/fail validation, and fail-fix rectification workflow</v>
      </c>
      <c r="G20" s="21"/>
    </row>
    <row r="21" spans="1:9" ht="19.5" customHeight="1" x14ac:dyDescent="0.3">
      <c r="A21" s="26"/>
      <c r="B21" s="27" t="s">
        <v>23</v>
      </c>
      <c r="C21" s="27" t="s">
        <v>24</v>
      </c>
      <c r="D21" s="27" t="s">
        <v>23</v>
      </c>
      <c r="E21" s="27" t="s">
        <v>24</v>
      </c>
      <c r="F21" s="27" t="s">
        <v>23</v>
      </c>
      <c r="G21" s="27" t="s">
        <v>24</v>
      </c>
    </row>
    <row r="22" spans="1:9" ht="19.5" customHeight="1" x14ac:dyDescent="0.3">
      <c r="A22" s="28" t="str">
        <f t="shared" ref="A22:A28" si="0">IF(NOT(ISBLANK(A12)),A12,"")</f>
        <v>Legal &amp; Regulatory Compliance</v>
      </c>
      <c r="B22" s="29">
        <v>1</v>
      </c>
      <c r="C22" s="30">
        <f t="shared" ref="C22:C29" si="1">IF(NOT(ISBLANK(A12)),B22*C12,"")</f>
        <v>5</v>
      </c>
      <c r="D22" s="29">
        <v>2</v>
      </c>
      <c r="E22" s="30">
        <f t="shared" ref="E22:E29" si="2">IF(NOT(ISBLANK(A12)),D22*C12,"")</f>
        <v>10</v>
      </c>
      <c r="F22" s="29">
        <v>5</v>
      </c>
      <c r="G22" s="30">
        <f t="shared" ref="G22:G29" si="3">IF(NOT(ISBLANK(A12)),F22*C12,"")</f>
        <v>25</v>
      </c>
    </row>
    <row r="23" spans="1:9" ht="19.5" customHeight="1" x14ac:dyDescent="0.3">
      <c r="A23" s="28" t="str">
        <f t="shared" si="0"/>
        <v>Integration Feasibility</v>
      </c>
      <c r="B23" s="29">
        <v>1</v>
      </c>
      <c r="C23" s="30">
        <f t="shared" si="1"/>
        <v>5</v>
      </c>
      <c r="D23" s="29">
        <v>3</v>
      </c>
      <c r="E23" s="30">
        <f t="shared" si="2"/>
        <v>15</v>
      </c>
      <c r="F23" s="29">
        <v>5</v>
      </c>
      <c r="G23" s="30">
        <f t="shared" si="3"/>
        <v>25</v>
      </c>
    </row>
    <row r="24" spans="1:9" ht="19.5" customHeight="1" x14ac:dyDescent="0.3">
      <c r="A24" s="28" t="str">
        <f t="shared" si="0"/>
        <v>Process Automation &amp; Efficiency</v>
      </c>
      <c r="B24" s="29">
        <v>1</v>
      </c>
      <c r="C24" s="30">
        <f t="shared" si="1"/>
        <v>4</v>
      </c>
      <c r="D24" s="29">
        <v>3</v>
      </c>
      <c r="E24" s="30">
        <f t="shared" si="2"/>
        <v>12</v>
      </c>
      <c r="F24" s="29">
        <v>5</v>
      </c>
      <c r="G24" s="30">
        <f t="shared" si="3"/>
        <v>20</v>
      </c>
    </row>
    <row r="25" spans="1:9" ht="28.2" customHeight="1" x14ac:dyDescent="0.3">
      <c r="A25" s="28" t="str">
        <f t="shared" si="0"/>
        <v>Data Security &amp; Document Integrity</v>
      </c>
      <c r="B25" s="29">
        <v>2</v>
      </c>
      <c r="C25" s="30">
        <f t="shared" si="1"/>
        <v>10</v>
      </c>
      <c r="D25" s="29">
        <v>3</v>
      </c>
      <c r="E25" s="30">
        <f t="shared" si="2"/>
        <v>15</v>
      </c>
      <c r="F25" s="29">
        <v>5</v>
      </c>
      <c r="G25" s="30">
        <f t="shared" si="3"/>
        <v>25</v>
      </c>
    </row>
    <row r="26" spans="1:9" ht="28.8" customHeight="1" x14ac:dyDescent="0.3">
      <c r="A26" s="28" t="str">
        <f t="shared" si="0"/>
        <v>Availability of Technical &amp; Operational Resources</v>
      </c>
      <c r="B26" s="29">
        <v>2</v>
      </c>
      <c r="C26" s="30">
        <f t="shared" si="1"/>
        <v>8</v>
      </c>
      <c r="D26" s="29">
        <v>3</v>
      </c>
      <c r="E26" s="30">
        <f t="shared" si="2"/>
        <v>12</v>
      </c>
      <c r="F26" s="29">
        <v>4</v>
      </c>
      <c r="G26" s="30">
        <f t="shared" si="3"/>
        <v>16</v>
      </c>
    </row>
    <row r="27" spans="1:9" ht="19.5" customHeight="1" x14ac:dyDescent="0.3">
      <c r="A27" s="28" t="str">
        <f t="shared" si="0"/>
        <v>Scalability &amp; Reusability</v>
      </c>
      <c r="B27" s="29">
        <v>1</v>
      </c>
      <c r="C27" s="30">
        <f t="shared" si="1"/>
        <v>4</v>
      </c>
      <c r="D27" s="29">
        <v>3</v>
      </c>
      <c r="E27" s="30">
        <f t="shared" si="2"/>
        <v>12</v>
      </c>
      <c r="F27" s="29">
        <v>5</v>
      </c>
      <c r="G27" s="30">
        <f t="shared" si="3"/>
        <v>20</v>
      </c>
    </row>
    <row r="28" spans="1:9" ht="19.5" customHeight="1" x14ac:dyDescent="0.3">
      <c r="A28" s="28" t="str">
        <f t="shared" si="0"/>
        <v>Ease of Adoption for Applicants</v>
      </c>
      <c r="B28" s="29">
        <v>2</v>
      </c>
      <c r="C28" s="30">
        <f t="shared" si="1"/>
        <v>6</v>
      </c>
      <c r="D28" s="29">
        <v>3</v>
      </c>
      <c r="E28" s="30">
        <f t="shared" si="2"/>
        <v>9</v>
      </c>
      <c r="F28" s="29">
        <v>4</v>
      </c>
      <c r="G28" s="30">
        <f t="shared" si="3"/>
        <v>12</v>
      </c>
    </row>
    <row r="29" spans="1:9" ht="19.5" customHeight="1" x14ac:dyDescent="0.3">
      <c r="A29" s="28"/>
      <c r="B29" s="29">
        <v>1</v>
      </c>
      <c r="C29" s="30">
        <f t="shared" si="1"/>
        <v>4</v>
      </c>
      <c r="D29" s="29">
        <v>3</v>
      </c>
      <c r="E29" s="30">
        <f t="shared" si="2"/>
        <v>12</v>
      </c>
      <c r="F29" s="29">
        <v>5</v>
      </c>
      <c r="G29" s="30">
        <f t="shared" si="3"/>
        <v>20</v>
      </c>
    </row>
    <row r="30" spans="1:9" ht="19.5" customHeight="1" x14ac:dyDescent="0.3">
      <c r="A30" s="31" t="s">
        <v>25</v>
      </c>
      <c r="B30" s="29"/>
      <c r="C30" s="32">
        <f>IF(B20="NA","",AVERAGE(C22:C29))</f>
        <v>5.75</v>
      </c>
      <c r="D30" s="29"/>
      <c r="E30" s="32">
        <f>IF(D20="NA","",AVERAGE(E22:E29))</f>
        <v>12.125</v>
      </c>
      <c r="F30" s="29"/>
      <c r="G30" s="32">
        <f>IF(F20="NA","",AVERAGE(G22:G29))</f>
        <v>20.375</v>
      </c>
    </row>
    <row r="31" spans="1:9" ht="19.5" customHeight="1" x14ac:dyDescent="0.3">
      <c r="A31" s="33" t="s">
        <v>26</v>
      </c>
      <c r="B31" s="20"/>
      <c r="C31" s="20"/>
      <c r="D31" s="20"/>
      <c r="E31" s="20"/>
      <c r="F31" s="20"/>
      <c r="G31" s="20"/>
      <c r="H31" s="20"/>
      <c r="I31" s="21"/>
    </row>
    <row r="32" spans="1:9" ht="19.5" customHeight="1" x14ac:dyDescent="0.3">
      <c r="A32" s="19" t="s">
        <v>9</v>
      </c>
      <c r="B32" s="20"/>
      <c r="C32" s="21"/>
      <c r="D32" s="19" t="s">
        <v>27</v>
      </c>
      <c r="E32" s="20"/>
      <c r="F32" s="21"/>
      <c r="G32" s="19" t="s">
        <v>28</v>
      </c>
      <c r="H32" s="20"/>
      <c r="I32" s="21"/>
    </row>
    <row r="33" spans="1:9" ht="48" customHeight="1" x14ac:dyDescent="0.3">
      <c r="A33" s="34" t="str">
        <f>IF(B20="NA","",A8)</f>
        <v>A1 – Manual water sample collection with paper-based recording, manual lab testing, and delayed reporting without system integration</v>
      </c>
      <c r="B33" s="20"/>
      <c r="C33" s="21"/>
      <c r="D33" s="35">
        <f>IF(B20="NA","",RANK(C30,$C$30:$G$30,0))</f>
        <v>3</v>
      </c>
      <c r="E33" s="20"/>
      <c r="F33" s="21"/>
      <c r="G33" s="35" t="str">
        <f>IF(AND(NOT(ISBLANK(D33)),ISNUMBER(D33)),IF(D33=1,"Accept","Reject"),"")</f>
        <v>Reject</v>
      </c>
      <c r="H33" s="20"/>
      <c r="I33" s="21"/>
    </row>
    <row r="34" spans="1:9" ht="48" customHeight="1" x14ac:dyDescent="0.3">
      <c r="A34" s="34" t="str">
        <f>IF(D20="NA","",A9)</f>
        <v>A2 – Mobile app for sample collection with basic digital entry and semi-automated lab testing with limited system validation</v>
      </c>
      <c r="B34" s="20"/>
      <c r="C34" s="21"/>
      <c r="D34" s="35">
        <f>IF(D20="NA","",RANK(E30,$C$30:$G$30,0))</f>
        <v>2</v>
      </c>
      <c r="E34" s="20"/>
      <c r="F34" s="21"/>
      <c r="G34" s="35" t="str">
        <f>IF(AND(NOT(ISBLANK(D34)),ISNUMBER(D34)),IF(D34=1,"Accept","Reject"),"")</f>
        <v>Reject</v>
      </c>
      <c r="H34" s="20"/>
      <c r="I34" s="21"/>
    </row>
    <row r="35" spans="1:9" ht="48" customHeight="1" x14ac:dyDescent="0.3">
      <c r="A35" s="34" t="str">
        <f>IF(F20="NA","",A10)</f>
        <v>A3 – Geofenced mobile app with automated sample ID generation, FRC testing, comprehensive web-based laboratory portal for 17 BIS parameters, automated pass/fail validation, and fail-fix rectification workflow</v>
      </c>
      <c r="B35" s="20"/>
      <c r="C35" s="21"/>
      <c r="D35" s="35">
        <f>IF(F20="NA","",RANK(G30,$C$30:$G$30,0))</f>
        <v>1</v>
      </c>
      <c r="E35" s="20"/>
      <c r="F35" s="21"/>
      <c r="G35" s="35" t="str">
        <f>IF(AND(NOT(ISBLANK(D35)),ISNUMBER(D35)),IF(D35=1,"Accept","Reject"),"")</f>
        <v>Accept</v>
      </c>
      <c r="H35" s="20"/>
      <c r="I35" s="21"/>
    </row>
    <row r="36" spans="1:9" ht="43.8" customHeight="1" x14ac:dyDescent="0.3">
      <c r="A36" s="36" t="s">
        <v>29</v>
      </c>
      <c r="B36" s="21"/>
      <c r="C36" s="22" t="s">
        <v>41</v>
      </c>
      <c r="D36" s="12"/>
      <c r="E36" s="12"/>
      <c r="F36" s="12"/>
      <c r="G36" s="12"/>
      <c r="H36" s="12"/>
      <c r="I36" s="13"/>
    </row>
    <row r="37" spans="1:9" ht="121.8" customHeight="1" x14ac:dyDescent="0.3">
      <c r="A37" s="36" t="s">
        <v>30</v>
      </c>
      <c r="B37" s="21"/>
      <c r="C37" s="22" t="s">
        <v>42</v>
      </c>
      <c r="D37" s="12"/>
      <c r="E37" s="12"/>
      <c r="F37" s="12"/>
      <c r="G37" s="12"/>
      <c r="H37" s="12"/>
      <c r="I37" s="13"/>
    </row>
    <row r="38" spans="1:9" ht="123" customHeight="1" x14ac:dyDescent="0.3">
      <c r="A38" s="36" t="s">
        <v>31</v>
      </c>
      <c r="B38" s="21"/>
      <c r="C38" s="22" t="s">
        <v>43</v>
      </c>
      <c r="D38" s="12"/>
      <c r="E38" s="12"/>
      <c r="F38" s="12"/>
      <c r="G38" s="12"/>
      <c r="H38" s="12"/>
      <c r="I38" s="13"/>
    </row>
    <row r="39" spans="1:9" ht="19.8" customHeight="1" x14ac:dyDescent="0.3">
      <c r="A39" s="37" t="s">
        <v>11</v>
      </c>
      <c r="B39" s="21"/>
      <c r="C39" s="22" t="s">
        <v>44</v>
      </c>
      <c r="D39" s="12"/>
      <c r="E39" s="12"/>
      <c r="F39" s="12"/>
      <c r="G39" s="12"/>
      <c r="H39" s="12"/>
      <c r="I39" s="13"/>
    </row>
    <row r="40" spans="1:9" ht="41.4" customHeight="1" x14ac:dyDescent="0.3">
      <c r="A40" s="37" t="s">
        <v>32</v>
      </c>
      <c r="B40" s="21"/>
      <c r="C40" s="22" t="s">
        <v>46</v>
      </c>
      <c r="D40" s="12"/>
      <c r="E40" s="12"/>
      <c r="F40" s="13"/>
      <c r="G40" s="38" t="s">
        <v>33</v>
      </c>
      <c r="H40" s="15">
        <v>45721</v>
      </c>
      <c r="I40" s="13"/>
    </row>
    <row r="41" spans="1:9" ht="19.5" customHeight="1" x14ac:dyDescent="0.3">
      <c r="A41" s="39"/>
      <c r="B41" s="39"/>
      <c r="C41" s="39"/>
      <c r="D41" s="39"/>
      <c r="E41" s="39"/>
      <c r="F41" s="39"/>
      <c r="G41" s="39"/>
      <c r="H41" s="39"/>
      <c r="I41" s="39"/>
    </row>
    <row r="42" spans="1:9" ht="19.5" customHeight="1" x14ac:dyDescent="0.3">
      <c r="A42" s="39"/>
      <c r="B42" s="39"/>
      <c r="C42" s="39"/>
      <c r="D42" s="39"/>
      <c r="E42" s="39"/>
      <c r="F42" s="39"/>
      <c r="G42" s="39"/>
      <c r="H42" s="39"/>
      <c r="I42" s="39"/>
    </row>
    <row r="43" spans="1:9" ht="19.5" customHeight="1" x14ac:dyDescent="0.3">
      <c r="A43" s="39"/>
      <c r="B43" s="39"/>
      <c r="C43" s="39"/>
      <c r="D43" s="39"/>
      <c r="E43" s="39"/>
      <c r="F43" s="39"/>
      <c r="G43" s="39"/>
      <c r="H43" s="39"/>
      <c r="I43" s="39"/>
    </row>
    <row r="44" spans="1:9" ht="19.5" customHeight="1" x14ac:dyDescent="0.3">
      <c r="A44" s="39"/>
      <c r="B44" s="39"/>
      <c r="C44" s="39"/>
      <c r="D44" s="39"/>
      <c r="E44" s="39"/>
      <c r="F44" s="39"/>
      <c r="G44" s="39"/>
      <c r="H44" s="39"/>
      <c r="I44" s="39"/>
    </row>
  </sheetData>
  <mergeCells count="76">
    <mergeCell ref="A1:I1"/>
    <mergeCell ref="G8:I8"/>
    <mergeCell ref="A13:B13"/>
    <mergeCell ref="B5:I5"/>
    <mergeCell ref="C13:D13"/>
    <mergeCell ref="E3:F3"/>
    <mergeCell ref="A7:C7"/>
    <mergeCell ref="G7:I7"/>
    <mergeCell ref="B2:D2"/>
    <mergeCell ref="C40:F40"/>
    <mergeCell ref="G2:I2"/>
    <mergeCell ref="A38:B38"/>
    <mergeCell ref="B3:D3"/>
    <mergeCell ref="E16:I16"/>
    <mergeCell ref="A19:B19"/>
    <mergeCell ref="B20:C20"/>
    <mergeCell ref="B6:I6"/>
    <mergeCell ref="C19:D19"/>
    <mergeCell ref="C18:D18"/>
    <mergeCell ref="A39:B39"/>
    <mergeCell ref="E18:I18"/>
    <mergeCell ref="A40:B40"/>
    <mergeCell ref="G9:I9"/>
    <mergeCell ref="A34:C34"/>
    <mergeCell ref="A17:B17"/>
    <mergeCell ref="B4:I4"/>
    <mergeCell ref="C17:D17"/>
    <mergeCell ref="D34:F34"/>
    <mergeCell ref="D10:F10"/>
    <mergeCell ref="D9:F9"/>
    <mergeCell ref="A35:C35"/>
    <mergeCell ref="A18:B18"/>
    <mergeCell ref="D8:F8"/>
    <mergeCell ref="D33:F33"/>
    <mergeCell ref="A12:B12"/>
    <mergeCell ref="A10:C10"/>
    <mergeCell ref="C12:D12"/>
    <mergeCell ref="E15:I15"/>
    <mergeCell ref="C11:D11"/>
    <mergeCell ref="D35:F35"/>
    <mergeCell ref="A9:C9"/>
    <mergeCell ref="E11:I11"/>
    <mergeCell ref="A20:A21"/>
    <mergeCell ref="A31:I31"/>
    <mergeCell ref="A14:B14"/>
    <mergeCell ref="G3:I3"/>
    <mergeCell ref="D7:F7"/>
    <mergeCell ref="E14:I14"/>
    <mergeCell ref="H40:I40"/>
    <mergeCell ref="E17:I17"/>
    <mergeCell ref="G33:I33"/>
    <mergeCell ref="C37:I37"/>
    <mergeCell ref="A33:C33"/>
    <mergeCell ref="A16:B16"/>
    <mergeCell ref="C16:D16"/>
    <mergeCell ref="A32:C32"/>
    <mergeCell ref="A8:C8"/>
    <mergeCell ref="F20:G20"/>
    <mergeCell ref="A37:B37"/>
    <mergeCell ref="E19:I19"/>
    <mergeCell ref="G35:I35"/>
    <mergeCell ref="C39:I39"/>
    <mergeCell ref="D32:F32"/>
    <mergeCell ref="A11:B11"/>
    <mergeCell ref="A36:B36"/>
    <mergeCell ref="C14:D14"/>
    <mergeCell ref="C38:I38"/>
    <mergeCell ref="G34:I34"/>
    <mergeCell ref="E13:I13"/>
    <mergeCell ref="G32:I32"/>
    <mergeCell ref="C36:I36"/>
    <mergeCell ref="D20:E20"/>
    <mergeCell ref="G10:I10"/>
    <mergeCell ref="E12:I12"/>
    <mergeCell ref="A15:B15"/>
    <mergeCell ref="C15:D15"/>
  </mergeCells>
  <dataValidations count="1">
    <dataValidation type="list" allowBlank="1" showInputMessage="1" showErrorMessage="1" sqref="B22:B29 D22:D29 F22:F29" xr:uid="{00000000-0002-0000-0000-000000000000}">
      <formula1>"1,2,3, 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Nirmal Module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 Maheshwari</dc:creator>
  <cp:lastModifiedBy>rupa malviya</cp:lastModifiedBy>
  <dcterms:created xsi:type="dcterms:W3CDTF">2017-11-13T13:56:00Z</dcterms:created>
  <dcterms:modified xsi:type="dcterms:W3CDTF">2026-01-27T07:13:29Z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0x0101008ED21E2ABB2D2C4FB0E5A91234516DC0</vt:lpwstr>
  </property>
</Properties>
</file>