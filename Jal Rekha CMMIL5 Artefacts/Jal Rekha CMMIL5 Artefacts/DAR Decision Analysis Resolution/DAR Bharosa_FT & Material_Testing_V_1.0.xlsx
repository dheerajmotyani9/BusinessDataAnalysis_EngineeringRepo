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DAR\"/>
    </mc:Choice>
  </mc:AlternateContent>
  <bookViews>
    <workbookView xWindow="0" yWindow="0" windowWidth="15530" windowHeight="7190" activeTab="1"/>
  </bookViews>
  <sheets>
    <sheet name="Bharosa" sheetId="3" r:id="rId1"/>
    <sheet name="Material Testing " sheetId="4"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9" i="4" l="1"/>
  <c r="E29" i="4"/>
  <c r="C29" i="4"/>
  <c r="G28" i="4"/>
  <c r="E28" i="4"/>
  <c r="C28" i="4"/>
  <c r="A28" i="4"/>
  <c r="G27" i="4"/>
  <c r="E27" i="4"/>
  <c r="C27" i="4"/>
  <c r="A27" i="4"/>
  <c r="G26" i="4"/>
  <c r="E26" i="4"/>
  <c r="C26" i="4"/>
  <c r="A26" i="4"/>
  <c r="G25" i="4"/>
  <c r="E25" i="4"/>
  <c r="C25" i="4"/>
  <c r="A25" i="4"/>
  <c r="G24" i="4"/>
  <c r="E24" i="4"/>
  <c r="C24" i="4"/>
  <c r="A24" i="4"/>
  <c r="G23" i="4"/>
  <c r="E23" i="4"/>
  <c r="C23" i="4"/>
  <c r="A23" i="4"/>
  <c r="G22" i="4"/>
  <c r="E22" i="4"/>
  <c r="C22" i="4"/>
  <c r="A22" i="4"/>
  <c r="F20" i="4"/>
  <c r="D20" i="4"/>
  <c r="B20" i="4"/>
  <c r="A33" i="4" s="1"/>
  <c r="B20" i="3"/>
  <c r="A33" i="3" s="1"/>
  <c r="G29" i="3"/>
  <c r="E29" i="3"/>
  <c r="C29" i="3"/>
  <c r="G28" i="3"/>
  <c r="E28" i="3"/>
  <c r="C28" i="3"/>
  <c r="A28" i="3"/>
  <c r="G27" i="3"/>
  <c r="E27" i="3"/>
  <c r="C27" i="3"/>
  <c r="A27" i="3"/>
  <c r="G26" i="3"/>
  <c r="E26" i="3"/>
  <c r="C26" i="3"/>
  <c r="A26" i="3"/>
  <c r="G25" i="3"/>
  <c r="E25" i="3"/>
  <c r="C25" i="3"/>
  <c r="A25" i="3"/>
  <c r="G24" i="3"/>
  <c r="E24" i="3"/>
  <c r="C24" i="3"/>
  <c r="A24" i="3"/>
  <c r="G23" i="3"/>
  <c r="E23" i="3"/>
  <c r="C23" i="3"/>
  <c r="A23" i="3"/>
  <c r="G22" i="3"/>
  <c r="E22" i="3"/>
  <c r="C22" i="3"/>
  <c r="A22" i="3"/>
  <c r="F20" i="3"/>
  <c r="D20" i="3"/>
  <c r="A34" i="3" s="1"/>
  <c r="E30" i="4" l="1"/>
  <c r="G30" i="4"/>
  <c r="A34" i="4"/>
  <c r="C30" i="4"/>
  <c r="A35" i="4"/>
  <c r="G30" i="3"/>
  <c r="E30" i="3"/>
  <c r="C30" i="3"/>
  <c r="A35" i="3"/>
  <c r="D33" i="4" l="1"/>
  <c r="G33" i="4" s="1"/>
  <c r="D34" i="4"/>
  <c r="G34" i="4" s="1"/>
  <c r="D35" i="4"/>
  <c r="G35" i="4" s="1"/>
  <c r="D35" i="3"/>
  <c r="G35" i="3" s="1"/>
  <c r="D34" i="3"/>
  <c r="G34" i="3" s="1"/>
  <c r="D33" i="3"/>
  <c r="G33" i="3" s="1"/>
</calcChain>
</file>

<file path=xl/sharedStrings.xml><?xml version="1.0" encoding="utf-8"?>
<sst xmlns="http://schemas.openxmlformats.org/spreadsheetml/2006/main" count="108" uniqueCount="58">
  <si>
    <t>DAR Form</t>
  </si>
  <si>
    <t>Group Name</t>
  </si>
  <si>
    <t>Project Name</t>
  </si>
  <si>
    <t>Decision Seeker</t>
  </si>
  <si>
    <t>Evaluation Date</t>
  </si>
  <si>
    <t>Problem Statement</t>
  </si>
  <si>
    <t>Scope of DAR</t>
  </si>
  <si>
    <t>DAR Team Members</t>
  </si>
  <si>
    <t>Alternatives</t>
  </si>
  <si>
    <t>Source of Alternatives</t>
  </si>
  <si>
    <t>Remarks</t>
  </si>
  <si>
    <t>Criteria for Evaluation</t>
  </si>
  <si>
    <t>Rationale for Criteria and Weightage Selection</t>
  </si>
  <si>
    <t>Score</t>
  </si>
  <si>
    <t>Weighted Score</t>
  </si>
  <si>
    <t>Average Weighted Score</t>
  </si>
  <si>
    <t>Score Range (1 - 5) :  ( 1 = Minimum rating and 5 = Maximum rating)</t>
  </si>
  <si>
    <t>Result</t>
  </si>
  <si>
    <t>Solution Decision 
(Decision Authority)</t>
  </si>
  <si>
    <t>Risk anticipated</t>
  </si>
  <si>
    <t>Assumptions</t>
  </si>
  <si>
    <t>Decision Authority</t>
  </si>
  <si>
    <t>Date</t>
  </si>
  <si>
    <t>Weightage 
 (1 = Least important and 5 = Most important)</t>
  </si>
  <si>
    <t>Order (1 = Highest, 4 = Lowest)</t>
  </si>
  <si>
    <t>Entire Team</t>
  </si>
  <si>
    <t>Legal &amp; Regulatory Compliance</t>
  </si>
  <si>
    <t>Process Automation &amp; Efficiency</t>
  </si>
  <si>
    <t>Data Security &amp; Document Integrity</t>
  </si>
  <si>
    <t>Availability of Technical &amp; Operational Resources</t>
  </si>
  <si>
    <t>Scalability &amp; Reusability</t>
  </si>
  <si>
    <t>Ease of Adoption for Applicants</t>
  </si>
  <si>
    <t>Operational Risk Reduction</t>
  </si>
  <si>
    <t>Jal Rekha</t>
  </si>
  <si>
    <t>To select a reliable factory testing approach for validating water samples against 17 quality parameters in the Bharosa module.</t>
  </si>
  <si>
    <t>A1 – Manual testing and manual entry of results without system validation</t>
  </si>
  <si>
    <t>A2 – Testing using kit with manual entry and basic system validation</t>
  </si>
  <si>
    <t>A3 –Testing using kit with standardized procedure and full system validation in Bharosa module</t>
  </si>
  <si>
    <t>Derived from existing manual water sample testing practices where results are recorded manually without system validation.</t>
  </si>
  <si>
    <t>Derived from current project testing practices using testing kits with manual data entry and limited system validation.</t>
  </si>
  <si>
    <t>Derived from defined project quality standards, standardized testing procedures, and Bharosa module system capabilities for complete data validation.</t>
  </si>
  <si>
    <t>Integration Feasibility</t>
  </si>
  <si>
    <t>Incorrect sample collection or handling by Inspection Officer
Manual data entry errors during result recording
Testing kit malfunction or improper calibration
Incomplete or incorrect validation of any of the 17 parameters
Dependency on system availability during testing</t>
  </si>
  <si>
    <t>Inspection Officers are trained to collect and test water samples using the testing kit.
Testing kits are properly calibrated and suitable for testing all 17 parameters.
Standard operating procedures for sample testing are followed.
Bharosa module is available and supports full system validation during testing.
Required infrastructure and test environment are stable during factory testing.</t>
  </si>
  <si>
    <t>Testing using kit with standardized procedure and full system validation in the Bharosa module (Alternative A3) is selected as the preferred approach for factory testing of water samples.</t>
  </si>
  <si>
    <t>Factory testing completed successfully; all 17 parameters validated and results recorded in the Bharosa module, ensuring compliance with quality standards.</t>
  </si>
  <si>
    <t>To select a reliable approach for field testing and verification of materials used in water supply, ensuring accurate testing by the Field Engineer before approval for use, while maintaining compliance with project quality standards.</t>
  </si>
  <si>
    <t>A1 –Manual testing and recording by Field Engineer without system validation</t>
  </si>
  <si>
    <t>A2 – Field testing with sample verification and manual entry into the system</t>
  </si>
  <si>
    <t>A3 –Field testing using standardized procedures with full system validation and approval by Field Engineer</t>
  </si>
  <si>
    <t>Derived from historical manual field testing practices without system validation.</t>
  </si>
  <si>
    <t>Derived from current field practices with sample verification and basic system entry.</t>
  </si>
  <si>
    <t>Derived from defined project quality standards, SOPs for field testing, and system capabilities to capture results accurately.</t>
  </si>
  <si>
    <t>Errors during material sample collection or field testing by the Field Engineer.
Testing equipment or kit malfunction affecting accuracy of results.
Manual entry errors, mitigated by system validation.
Delays in testing or verification due to Field Engineer availability.
Non-compliance with standard operating procedures (SOPs) during field testing.</t>
  </si>
  <si>
    <t>Field Engineers are trained to collect, test, and verify materials accurately.
Testing equipment/kits are calibrated and suitable for all material parameters.
Standard Operating Procedures (SOPs) for field testing and verification are followed consistently.
The system for recording results is available, functional, and stable during testing.
Only materials that pass verification will be approved for use in water supply.</t>
  </si>
  <si>
    <t>Field testing using standardized procedures with full system validation and approval by Field Engineer – is approved as the preferred approach for material testing.</t>
  </si>
  <si>
    <t>Office of the Jal Rekha Commissioner, Madhya Pradesh, in consultation with MPSEDC and the Project Steering Committee – authorized to approve the selected field testing and verification approach by Field Engineers.</t>
  </si>
  <si>
    <t>Office of the Jal Rekha Commissioner, Madhya Pradesh, in consultation with MPSEDC – authorized to approve the selected testing approach  for factory testing of water samples in the Bharosa module.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</si>
</sst>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4" fillId="0" borderId="9" xfId="0" applyFont="1" applyBorder="1" applyAlignment="1" applyProtection="1">
      <alignment horizontal="center" vertical="top"/>
      <protection locked="0"/>
    </xf>
    <xf numFmtId="0" fontId="1" fillId="0" borderId="0" xfId="0" applyFont="1" applyAlignment="1">
      <alignment vertical="top"/>
    </xf>
    <xf numFmtId="0" fontId="3" fillId="2" borderId="4"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2" borderId="9" xfId="0" applyFont="1" applyFill="1" applyBorder="1" applyAlignment="1">
      <alignment horizontal="left" vertical="top"/>
    </xf>
    <xf numFmtId="0" fontId="3" fillId="2" borderId="9" xfId="0" applyFont="1" applyFill="1" applyBorder="1" applyAlignment="1">
      <alignment vertical="top"/>
    </xf>
    <xf numFmtId="0" fontId="3" fillId="2" borderId="13" xfId="0" applyFont="1" applyFill="1" applyBorder="1" applyAlignment="1">
      <alignment horizontal="left" vertical="top" wrapText="1"/>
    </xf>
    <xf numFmtId="0" fontId="3" fillId="2" borderId="9" xfId="0" applyFont="1" applyFill="1" applyBorder="1" applyAlignment="1">
      <alignment horizontal="center" vertical="top" wrapText="1"/>
    </xf>
    <xf numFmtId="0" fontId="5" fillId="2" borderId="9" xfId="0" applyFont="1" applyFill="1" applyBorder="1" applyAlignment="1">
      <alignment horizontal="center" vertical="top" wrapText="1"/>
    </xf>
    <xf numFmtId="0" fontId="4" fillId="3" borderId="9" xfId="0" applyFont="1" applyFill="1" applyBorder="1" applyAlignment="1">
      <alignment horizontal="center" vertical="top"/>
    </xf>
    <xf numFmtId="2" fontId="3" fillId="3" borderId="9" xfId="0" applyNumberFormat="1" applyFont="1" applyFill="1" applyBorder="1" applyAlignment="1">
      <alignment horizontal="center" vertical="top"/>
    </xf>
    <xf numFmtId="0" fontId="3" fillId="2" borderId="9" xfId="0" applyFont="1" applyFill="1" applyBorder="1" applyAlignment="1">
      <alignment horizontal="center" vertical="top"/>
    </xf>
    <xf numFmtId="0" fontId="2" fillId="0" borderId="0" xfId="0" applyFont="1" applyAlignment="1">
      <alignment vertical="top"/>
    </xf>
    <xf numFmtId="0" fontId="6" fillId="3" borderId="9" xfId="0" applyFont="1" applyFill="1" applyBorder="1" applyAlignment="1">
      <alignment horizontal="left" vertical="top" wrapText="1"/>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4" fillId="0" borderId="6" xfId="0" applyFont="1" applyBorder="1" applyAlignment="1" applyProtection="1">
      <alignment horizontal="center" vertical="top"/>
      <protection locked="0"/>
    </xf>
    <xf numFmtId="0" fontId="4" fillId="0" borderId="7" xfId="0" applyFont="1" applyBorder="1" applyAlignment="1" applyProtection="1">
      <alignment horizontal="center" vertical="top"/>
      <protection locked="0"/>
    </xf>
    <xf numFmtId="0" fontId="4" fillId="0" borderId="8" xfId="0" applyFont="1" applyBorder="1" applyAlignment="1" applyProtection="1">
      <alignment horizontal="center" vertical="top"/>
      <protection locked="0"/>
    </xf>
    <xf numFmtId="0" fontId="4" fillId="0" borderId="10" xfId="0" applyFont="1" applyBorder="1" applyAlignment="1" applyProtection="1">
      <alignment horizontal="center" vertical="top"/>
      <protection locked="0"/>
    </xf>
    <xf numFmtId="0" fontId="4" fillId="0" borderId="11" xfId="0" applyFont="1" applyBorder="1" applyAlignment="1" applyProtection="1">
      <alignment horizontal="center" vertical="top"/>
      <protection locked="0"/>
    </xf>
    <xf numFmtId="0" fontId="4" fillId="0" borderId="12" xfId="0" applyFont="1" applyBorder="1" applyAlignment="1" applyProtection="1">
      <alignment horizontal="center" vertical="top"/>
      <protection locked="0"/>
    </xf>
    <xf numFmtId="0" fontId="3" fillId="2" borderId="10" xfId="0" applyFont="1" applyFill="1" applyBorder="1" applyAlignment="1" applyProtection="1">
      <alignment horizontal="left" vertical="top"/>
      <protection locked="0"/>
    </xf>
    <xf numFmtId="0" fontId="3" fillId="2" borderId="12" xfId="0" applyFont="1" applyFill="1" applyBorder="1" applyAlignment="1" applyProtection="1">
      <alignment horizontal="left" vertical="top"/>
      <protection locked="0"/>
    </xf>
    <xf numFmtId="14" fontId="4" fillId="0" borderId="10" xfId="0" applyNumberFormat="1" applyFont="1" applyBorder="1" applyAlignment="1" applyProtection="1">
      <alignment horizontal="center" vertical="top"/>
      <protection locked="0"/>
    </xf>
    <xf numFmtId="0" fontId="4" fillId="0" borderId="10" xfId="0" applyFont="1" applyBorder="1" applyAlignment="1" applyProtection="1">
      <alignment horizontal="left" vertical="top"/>
      <protection locked="0"/>
    </xf>
    <xf numFmtId="0" fontId="4" fillId="0" borderId="11" xfId="0" applyFont="1" applyBorder="1" applyAlignment="1" applyProtection="1">
      <alignment horizontal="left" vertical="top"/>
      <protection locked="0"/>
    </xf>
    <xf numFmtId="0" fontId="4" fillId="0" borderId="12" xfId="0" applyFont="1" applyBorder="1" applyAlignment="1" applyProtection="1">
      <alignment horizontal="left" vertical="top"/>
      <protection locked="0"/>
    </xf>
    <xf numFmtId="0" fontId="3" fillId="2" borderId="9" xfId="0" applyFont="1" applyFill="1" applyBorder="1" applyAlignment="1">
      <alignment horizontal="center" vertical="top" wrapText="1"/>
    </xf>
    <xf numFmtId="0" fontId="4" fillId="0" borderId="9" xfId="0" applyFont="1" applyBorder="1" applyAlignment="1" applyProtection="1">
      <alignment horizontal="left" vertical="top" wrapText="1"/>
      <protection locked="0"/>
    </xf>
    <xf numFmtId="0" fontId="4" fillId="0" borderId="9" xfId="0" applyFont="1" applyBorder="1" applyAlignment="1" applyProtection="1">
      <alignment horizontal="center" vertical="top"/>
      <protection locked="0"/>
    </xf>
    <xf numFmtId="0" fontId="4" fillId="0" borderId="9" xfId="0" applyFont="1" applyBorder="1" applyAlignment="1" applyProtection="1">
      <alignment horizontal="left" vertical="top"/>
      <protection locked="0"/>
    </xf>
    <xf numFmtId="0" fontId="5" fillId="2" borderId="9" xfId="0" applyFont="1" applyFill="1" applyBorder="1" applyAlignment="1">
      <alignment horizontal="center" vertical="top" wrapText="1"/>
    </xf>
    <xf numFmtId="0" fontId="4" fillId="0" borderId="9" xfId="0" applyFont="1" applyBorder="1" applyAlignment="1" applyProtection="1">
      <alignment horizontal="center" vertical="top" wrapText="1"/>
      <protection locked="0"/>
    </xf>
    <xf numFmtId="0" fontId="5" fillId="2" borderId="9" xfId="0" applyFont="1" applyFill="1" applyBorder="1" applyAlignment="1">
      <alignment horizontal="center" vertical="top"/>
    </xf>
    <xf numFmtId="0" fontId="5" fillId="4" borderId="9" xfId="0" applyFont="1" applyFill="1" applyBorder="1" applyAlignment="1">
      <alignment horizontal="center" vertical="top" wrapText="1"/>
    </xf>
    <xf numFmtId="0" fontId="5" fillId="4" borderId="9" xfId="0" applyFont="1" applyFill="1" applyBorder="1" applyAlignment="1">
      <alignment horizontal="center" vertical="top"/>
    </xf>
    <xf numFmtId="0" fontId="4" fillId="3" borderId="9" xfId="0" applyFont="1" applyFill="1" applyBorder="1" applyAlignment="1">
      <alignment horizontal="left" vertical="top" wrapText="1"/>
    </xf>
    <xf numFmtId="0" fontId="4" fillId="3" borderId="9" xfId="0" applyFont="1" applyFill="1" applyBorder="1" applyAlignment="1">
      <alignment horizontal="center" vertical="top"/>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12" xfId="0" applyFont="1" applyFill="1" applyBorder="1" applyAlignment="1">
      <alignment horizontal="center" vertical="top"/>
    </xf>
    <xf numFmtId="0" fontId="7" fillId="2" borderId="9" xfId="0" applyFont="1" applyFill="1" applyBorder="1" applyAlignment="1">
      <alignment horizontal="left" vertical="top" wrapText="1"/>
    </xf>
    <xf numFmtId="0" fontId="4" fillId="0" borderId="10" xfId="0" applyFont="1" applyBorder="1" applyAlignment="1" applyProtection="1">
      <alignment horizontal="left" vertical="top" wrapText="1"/>
      <protection locked="0"/>
    </xf>
    <xf numFmtId="0" fontId="7" fillId="2" borderId="9" xfId="0" applyFont="1" applyFill="1" applyBorder="1" applyAlignment="1">
      <alignment horizontal="left" vertical="top"/>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opLeftCell="A33" workbookViewId="0">
      <selection activeCell="A33" sqref="A33:C33"/>
    </sheetView>
  </sheetViews>
  <sheetFormatPr defaultColWidth="21.81640625" defaultRowHeight="14" x14ac:dyDescent="0.35"/>
  <cols>
    <col min="1" max="3" width="21.81640625" style="2"/>
    <col min="4" max="4" width="11.81640625" style="2" customWidth="1"/>
    <col min="5" max="16384" width="21.81640625" style="2"/>
  </cols>
  <sheetData>
    <row r="1" spans="1:9" ht="19.5" customHeight="1" thickBot="1" x14ac:dyDescent="0.4">
      <c r="A1" s="15" t="s">
        <v>0</v>
      </c>
      <c r="B1" s="16"/>
      <c r="C1" s="16"/>
      <c r="D1" s="16"/>
      <c r="E1" s="16"/>
      <c r="F1" s="16"/>
      <c r="G1" s="16"/>
      <c r="H1" s="16"/>
      <c r="I1" s="17"/>
    </row>
    <row r="2" spans="1:9" ht="19.5" customHeight="1" x14ac:dyDescent="0.35">
      <c r="A2" s="3" t="s">
        <v>1</v>
      </c>
      <c r="B2" s="18"/>
      <c r="C2" s="19"/>
      <c r="D2" s="20"/>
      <c r="E2" s="3" t="s">
        <v>2</v>
      </c>
      <c r="F2" s="4"/>
      <c r="G2" s="18" t="s">
        <v>33</v>
      </c>
      <c r="H2" s="19"/>
      <c r="I2" s="20"/>
    </row>
    <row r="3" spans="1:9" ht="19.5" customHeight="1" x14ac:dyDescent="0.35">
      <c r="A3" s="5" t="s">
        <v>3</v>
      </c>
      <c r="B3" s="21"/>
      <c r="C3" s="22"/>
      <c r="D3" s="23"/>
      <c r="E3" s="24" t="s">
        <v>4</v>
      </c>
      <c r="F3" s="25"/>
      <c r="G3" s="26">
        <v>45974</v>
      </c>
      <c r="H3" s="22"/>
      <c r="I3" s="23"/>
    </row>
    <row r="4" spans="1:9" ht="19.5" customHeight="1" x14ac:dyDescent="0.35">
      <c r="A4" s="5" t="s">
        <v>5</v>
      </c>
      <c r="B4" s="27" t="s">
        <v>34</v>
      </c>
      <c r="C4" s="28"/>
      <c r="D4" s="28"/>
      <c r="E4" s="28"/>
      <c r="F4" s="28"/>
      <c r="G4" s="28"/>
      <c r="H4" s="28"/>
      <c r="I4" s="29"/>
    </row>
    <row r="5" spans="1:9" ht="19.5" customHeight="1" x14ac:dyDescent="0.35">
      <c r="A5" s="6" t="s">
        <v>6</v>
      </c>
      <c r="B5" s="27"/>
      <c r="C5" s="28"/>
      <c r="D5" s="28"/>
      <c r="E5" s="28"/>
      <c r="F5" s="28"/>
      <c r="G5" s="28"/>
      <c r="H5" s="28"/>
      <c r="I5" s="29"/>
    </row>
    <row r="6" spans="1:9" ht="19.5" customHeight="1" x14ac:dyDescent="0.35">
      <c r="A6" s="7" t="s">
        <v>7</v>
      </c>
      <c r="B6" s="27" t="s">
        <v>25</v>
      </c>
      <c r="C6" s="28"/>
      <c r="D6" s="28"/>
      <c r="E6" s="28"/>
      <c r="F6" s="28"/>
      <c r="G6" s="28"/>
      <c r="H6" s="28"/>
      <c r="I6" s="29"/>
    </row>
    <row r="7" spans="1:9" ht="19.5" customHeight="1" x14ac:dyDescent="0.35">
      <c r="A7" s="30" t="s">
        <v>8</v>
      </c>
      <c r="B7" s="30"/>
      <c r="C7" s="30"/>
      <c r="D7" s="30" t="s">
        <v>9</v>
      </c>
      <c r="E7" s="30"/>
      <c r="F7" s="30"/>
      <c r="G7" s="30" t="s">
        <v>10</v>
      </c>
      <c r="H7" s="30"/>
      <c r="I7" s="30"/>
    </row>
    <row r="8" spans="1:9" ht="24" customHeight="1" x14ac:dyDescent="0.35">
      <c r="A8" s="31" t="s">
        <v>35</v>
      </c>
      <c r="B8" s="31"/>
      <c r="C8" s="31"/>
      <c r="D8" s="31" t="s">
        <v>38</v>
      </c>
      <c r="E8" s="31"/>
      <c r="F8" s="31"/>
      <c r="G8" s="32"/>
      <c r="H8" s="32"/>
      <c r="I8" s="32"/>
    </row>
    <row r="9" spans="1:9" ht="26.4" customHeight="1" x14ac:dyDescent="0.35">
      <c r="A9" s="31" t="s">
        <v>36</v>
      </c>
      <c r="B9" s="31"/>
      <c r="C9" s="31"/>
      <c r="D9" s="31" t="s">
        <v>39</v>
      </c>
      <c r="E9" s="31"/>
      <c r="F9" s="31"/>
      <c r="G9" s="32"/>
      <c r="H9" s="32"/>
      <c r="I9" s="32"/>
    </row>
    <row r="10" spans="1:9" ht="24.65" customHeight="1" x14ac:dyDescent="0.35">
      <c r="A10" s="31" t="s">
        <v>37</v>
      </c>
      <c r="B10" s="33"/>
      <c r="C10" s="33"/>
      <c r="D10" s="31" t="s">
        <v>40</v>
      </c>
      <c r="E10" s="31"/>
      <c r="F10" s="31"/>
      <c r="G10" s="32"/>
      <c r="H10" s="32"/>
      <c r="I10" s="32"/>
    </row>
    <row r="11" spans="1:9" ht="19.5" customHeight="1" x14ac:dyDescent="0.35">
      <c r="A11" s="34" t="s">
        <v>11</v>
      </c>
      <c r="B11" s="34"/>
      <c r="C11" s="34" t="s">
        <v>23</v>
      </c>
      <c r="D11" s="34"/>
      <c r="E11" s="34" t="s">
        <v>12</v>
      </c>
      <c r="F11" s="34"/>
      <c r="G11" s="34"/>
      <c r="H11" s="34"/>
      <c r="I11" s="34"/>
    </row>
    <row r="12" spans="1:9" ht="19.5" customHeight="1" x14ac:dyDescent="0.35">
      <c r="A12" s="31" t="s">
        <v>26</v>
      </c>
      <c r="B12" s="31"/>
      <c r="C12" s="35">
        <v>5</v>
      </c>
      <c r="D12" s="35"/>
      <c r="E12" s="31"/>
      <c r="F12" s="31"/>
      <c r="G12" s="31"/>
      <c r="H12" s="31"/>
      <c r="I12" s="31"/>
    </row>
    <row r="13" spans="1:9" ht="19.5" customHeight="1" x14ac:dyDescent="0.35">
      <c r="A13" s="31" t="s">
        <v>41</v>
      </c>
      <c r="B13" s="31"/>
      <c r="C13" s="35">
        <v>5</v>
      </c>
      <c r="D13" s="35"/>
      <c r="E13" s="31"/>
      <c r="F13" s="31"/>
      <c r="G13" s="31"/>
      <c r="H13" s="31"/>
      <c r="I13" s="31"/>
    </row>
    <row r="14" spans="1:9" ht="19.5" customHeight="1" x14ac:dyDescent="0.35">
      <c r="A14" s="31" t="s">
        <v>27</v>
      </c>
      <c r="B14" s="31"/>
      <c r="C14" s="35">
        <v>4</v>
      </c>
      <c r="D14" s="35"/>
      <c r="E14" s="31"/>
      <c r="F14" s="31"/>
      <c r="G14" s="31"/>
      <c r="H14" s="31"/>
      <c r="I14" s="31"/>
    </row>
    <row r="15" spans="1:9" ht="19.5" customHeight="1" x14ac:dyDescent="0.35">
      <c r="A15" s="31" t="s">
        <v>28</v>
      </c>
      <c r="B15" s="31"/>
      <c r="C15" s="35">
        <v>5</v>
      </c>
      <c r="D15" s="35"/>
      <c r="E15" s="31"/>
      <c r="F15" s="31"/>
      <c r="G15" s="31"/>
      <c r="H15" s="31"/>
      <c r="I15" s="31"/>
    </row>
    <row r="16" spans="1:9" ht="19.5" customHeight="1" x14ac:dyDescent="0.35">
      <c r="A16" s="31" t="s">
        <v>29</v>
      </c>
      <c r="B16" s="31"/>
      <c r="C16" s="35">
        <v>4</v>
      </c>
      <c r="D16" s="35"/>
      <c r="E16" s="31"/>
      <c r="F16" s="31"/>
      <c r="G16" s="31"/>
      <c r="H16" s="31"/>
      <c r="I16" s="31"/>
    </row>
    <row r="17" spans="1:9" ht="19.5" customHeight="1" x14ac:dyDescent="0.35">
      <c r="A17" s="31" t="s">
        <v>30</v>
      </c>
      <c r="B17" s="31"/>
      <c r="C17" s="35">
        <v>4</v>
      </c>
      <c r="D17" s="35"/>
      <c r="E17" s="31"/>
      <c r="F17" s="31"/>
      <c r="G17" s="31"/>
      <c r="H17" s="31"/>
      <c r="I17" s="31"/>
    </row>
    <row r="18" spans="1:9" ht="19.5" customHeight="1" x14ac:dyDescent="0.35">
      <c r="A18" s="31" t="s">
        <v>31</v>
      </c>
      <c r="B18" s="31"/>
      <c r="C18" s="35">
        <v>3</v>
      </c>
      <c r="D18" s="35"/>
      <c r="E18" s="31"/>
      <c r="F18" s="31"/>
      <c r="G18" s="31"/>
      <c r="H18" s="31"/>
      <c r="I18" s="31"/>
    </row>
    <row r="19" spans="1:9" ht="19.5" customHeight="1" x14ac:dyDescent="0.35">
      <c r="A19" s="31" t="s">
        <v>32</v>
      </c>
      <c r="B19" s="31"/>
      <c r="C19" s="35">
        <v>4</v>
      </c>
      <c r="D19" s="35"/>
      <c r="E19" s="31"/>
      <c r="F19" s="31"/>
      <c r="G19" s="31"/>
      <c r="H19" s="31"/>
      <c r="I19" s="31"/>
    </row>
    <row r="20" spans="1:9" ht="19.5" customHeight="1" x14ac:dyDescent="0.35">
      <c r="A20" s="34" t="s">
        <v>11</v>
      </c>
      <c r="B20" s="36" t="str">
        <f>IF(NOT(ISBLANK(A8)),A8,"NA")</f>
        <v>A1 – Manual testing and manual entry of results without system validation</v>
      </c>
      <c r="C20" s="36"/>
      <c r="D20" s="36" t="str">
        <f>IF(NOT(ISBLANK(A9)),A9,"NA")</f>
        <v>A2 – Testing using kit with manual entry and basic system validation</v>
      </c>
      <c r="E20" s="36"/>
      <c r="F20" s="36" t="str">
        <f>IF(NOT(ISBLANK(A10)),A10,"NA")</f>
        <v>A3 –Testing using kit with standardized procedure and full system validation in Bharosa module</v>
      </c>
      <c r="G20" s="36"/>
    </row>
    <row r="21" spans="1:9" ht="19.5" customHeight="1" x14ac:dyDescent="0.35">
      <c r="A21" s="34"/>
      <c r="B21" s="9" t="s">
        <v>13</v>
      </c>
      <c r="C21" s="9" t="s">
        <v>14</v>
      </c>
      <c r="D21" s="9" t="s">
        <v>13</v>
      </c>
      <c r="E21" s="9" t="s">
        <v>14</v>
      </c>
      <c r="F21" s="9" t="s">
        <v>13</v>
      </c>
      <c r="G21" s="9" t="s">
        <v>14</v>
      </c>
    </row>
    <row r="22" spans="1:9" ht="19.5" customHeight="1" x14ac:dyDescent="0.35">
      <c r="A22" s="14" t="str">
        <f>IF(NOT(ISBLANK(A12)),A12,"")</f>
        <v>Legal &amp; Regulatory Compliance</v>
      </c>
      <c r="B22" s="1">
        <v>1</v>
      </c>
      <c r="C22" s="10">
        <f t="shared" ref="C22:C29" si="0">IF(NOT(ISBLANK(A12)),B22*C12,"")</f>
        <v>5</v>
      </c>
      <c r="D22" s="1">
        <v>1</v>
      </c>
      <c r="E22" s="10">
        <f t="shared" ref="E22:E29" si="1">IF(NOT(ISBLANK(A12)),D22*C12,"")</f>
        <v>5</v>
      </c>
      <c r="F22" s="1">
        <v>3</v>
      </c>
      <c r="G22" s="10">
        <f t="shared" ref="G22:G29" si="2">IF(NOT(ISBLANK(A12)),F22*C12,"")</f>
        <v>15</v>
      </c>
    </row>
    <row r="23" spans="1:9" ht="19.5" customHeight="1" x14ac:dyDescent="0.35">
      <c r="A23" s="14" t="str">
        <f t="shared" ref="A23:A28" si="3">IF(NOT(ISBLANK(A13)),A13,"")</f>
        <v>Integration Feasibility</v>
      </c>
      <c r="B23" s="1">
        <v>5</v>
      </c>
      <c r="C23" s="10">
        <f t="shared" si="0"/>
        <v>25</v>
      </c>
      <c r="D23" s="1">
        <v>4</v>
      </c>
      <c r="E23" s="10">
        <f t="shared" si="1"/>
        <v>20</v>
      </c>
      <c r="F23" s="1">
        <v>4</v>
      </c>
      <c r="G23" s="10">
        <f t="shared" si="2"/>
        <v>20</v>
      </c>
    </row>
    <row r="24" spans="1:9" ht="19.5" customHeight="1" x14ac:dyDescent="0.35">
      <c r="A24" s="14" t="str">
        <f t="shared" si="3"/>
        <v>Process Automation &amp; Efficiency</v>
      </c>
      <c r="B24" s="1">
        <v>3</v>
      </c>
      <c r="C24" s="10">
        <f t="shared" si="0"/>
        <v>12</v>
      </c>
      <c r="D24" s="1">
        <v>4</v>
      </c>
      <c r="E24" s="10">
        <f t="shared" si="1"/>
        <v>16</v>
      </c>
      <c r="F24" s="1">
        <v>5</v>
      </c>
      <c r="G24" s="10">
        <f t="shared" si="2"/>
        <v>20</v>
      </c>
    </row>
    <row r="25" spans="1:9" ht="19.5" customHeight="1" x14ac:dyDescent="0.35">
      <c r="A25" s="14" t="str">
        <f t="shared" si="3"/>
        <v>Data Security &amp; Document Integrity</v>
      </c>
      <c r="B25" s="1">
        <v>3</v>
      </c>
      <c r="C25" s="10">
        <f t="shared" si="0"/>
        <v>15</v>
      </c>
      <c r="D25" s="1">
        <v>4</v>
      </c>
      <c r="E25" s="10">
        <f t="shared" si="1"/>
        <v>20</v>
      </c>
      <c r="F25" s="1">
        <v>4</v>
      </c>
      <c r="G25" s="10">
        <f t="shared" si="2"/>
        <v>20</v>
      </c>
    </row>
    <row r="26" spans="1:9" ht="19.5" customHeight="1" x14ac:dyDescent="0.35">
      <c r="A26" s="14" t="str">
        <f t="shared" si="3"/>
        <v>Availability of Technical &amp; Operational Resources</v>
      </c>
      <c r="B26" s="1">
        <v>1</v>
      </c>
      <c r="C26" s="10">
        <f t="shared" si="0"/>
        <v>4</v>
      </c>
      <c r="D26" s="1">
        <v>4</v>
      </c>
      <c r="E26" s="10">
        <f t="shared" si="1"/>
        <v>16</v>
      </c>
      <c r="F26" s="1">
        <v>4</v>
      </c>
      <c r="G26" s="10">
        <f t="shared" si="2"/>
        <v>16</v>
      </c>
    </row>
    <row r="27" spans="1:9" ht="19.5" customHeight="1" x14ac:dyDescent="0.35">
      <c r="A27" s="14" t="str">
        <f t="shared" si="3"/>
        <v>Scalability &amp; Reusability</v>
      </c>
      <c r="B27" s="1">
        <v>2</v>
      </c>
      <c r="C27" s="10">
        <f t="shared" si="0"/>
        <v>8</v>
      </c>
      <c r="D27" s="1">
        <v>4</v>
      </c>
      <c r="E27" s="10">
        <f t="shared" si="1"/>
        <v>16</v>
      </c>
      <c r="F27" s="1">
        <v>4</v>
      </c>
      <c r="G27" s="10">
        <f t="shared" si="2"/>
        <v>16</v>
      </c>
    </row>
    <row r="28" spans="1:9" ht="19.5" customHeight="1" x14ac:dyDescent="0.35">
      <c r="A28" s="14" t="str">
        <f t="shared" si="3"/>
        <v>Ease of Adoption for Applicants</v>
      </c>
      <c r="B28" s="1">
        <v>3</v>
      </c>
      <c r="C28" s="10">
        <f t="shared" si="0"/>
        <v>9</v>
      </c>
      <c r="D28" s="1">
        <v>3</v>
      </c>
      <c r="E28" s="10">
        <f t="shared" si="1"/>
        <v>9</v>
      </c>
      <c r="F28" s="1">
        <v>3</v>
      </c>
      <c r="G28" s="10">
        <f t="shared" si="2"/>
        <v>9</v>
      </c>
    </row>
    <row r="29" spans="1:9" ht="19.5" customHeight="1" x14ac:dyDescent="0.35">
      <c r="A29" s="14"/>
      <c r="B29" s="1"/>
      <c r="C29" s="10">
        <f t="shared" si="0"/>
        <v>0</v>
      </c>
      <c r="D29" s="1"/>
      <c r="E29" s="10">
        <f t="shared" si="1"/>
        <v>0</v>
      </c>
      <c r="F29" s="1"/>
      <c r="G29" s="10">
        <f t="shared" si="2"/>
        <v>0</v>
      </c>
    </row>
    <row r="30" spans="1:9" ht="19.5" customHeight="1" x14ac:dyDescent="0.35">
      <c r="A30" s="8" t="s">
        <v>15</v>
      </c>
      <c r="B30" s="1"/>
      <c r="C30" s="11">
        <f>IF(B20="NA","",AVERAGE(C22:C29))</f>
        <v>9.75</v>
      </c>
      <c r="D30" s="1"/>
      <c r="E30" s="11">
        <f>IF(D20="NA","",AVERAGE(E22:E29))</f>
        <v>12.75</v>
      </c>
      <c r="F30" s="1"/>
      <c r="G30" s="11">
        <f>IF(F20="NA","",AVERAGE(G22:G29))</f>
        <v>14.5</v>
      </c>
    </row>
    <row r="31" spans="1:9" ht="19.5" customHeight="1" x14ac:dyDescent="0.35">
      <c r="A31" s="37" t="s">
        <v>16</v>
      </c>
      <c r="B31" s="38"/>
      <c r="C31" s="38"/>
      <c r="D31" s="38"/>
      <c r="E31" s="38"/>
      <c r="F31" s="38"/>
      <c r="G31" s="38"/>
      <c r="H31" s="38"/>
      <c r="I31" s="38"/>
    </row>
    <row r="32" spans="1:9" ht="19.5" customHeight="1" x14ac:dyDescent="0.35">
      <c r="A32" s="30" t="s">
        <v>8</v>
      </c>
      <c r="B32" s="30"/>
      <c r="C32" s="30"/>
      <c r="D32" s="30" t="s">
        <v>24</v>
      </c>
      <c r="E32" s="30"/>
      <c r="F32" s="30"/>
      <c r="G32" s="30" t="s">
        <v>17</v>
      </c>
      <c r="H32" s="30"/>
      <c r="I32" s="30"/>
    </row>
    <row r="33" spans="1:9" ht="48" customHeight="1" x14ac:dyDescent="0.35">
      <c r="A33" s="39" t="str">
        <f>IF(B20="NA","",A8)</f>
        <v>A1 – Manual testing and manual entry of results without system validation</v>
      </c>
      <c r="B33" s="39"/>
      <c r="C33" s="39"/>
      <c r="D33" s="40">
        <f>IF(B20="NA","",RANK(C30,$C$30:$G$30,0))</f>
        <v>3</v>
      </c>
      <c r="E33" s="40"/>
      <c r="F33" s="40"/>
      <c r="G33" s="40" t="str">
        <f>IF(AND(NOT(ISBLANK(D33)),ISNUMBER(D33)),IF(D33=1,"Accept","Reject"),"")</f>
        <v>Reject</v>
      </c>
      <c r="H33" s="40"/>
      <c r="I33" s="40"/>
    </row>
    <row r="34" spans="1:9" ht="48" customHeight="1" x14ac:dyDescent="0.35">
      <c r="A34" s="41" t="str">
        <f>IF(D20="NA","",A9)</f>
        <v>A2 – Testing using kit with manual entry and basic system validation</v>
      </c>
      <c r="B34" s="42"/>
      <c r="C34" s="43"/>
      <c r="D34" s="44">
        <f>IF(D20="NA","",RANK(E30,$C$30:$G$30,0))</f>
        <v>2</v>
      </c>
      <c r="E34" s="45"/>
      <c r="F34" s="46"/>
      <c r="G34" s="44" t="str">
        <f>IF(AND(NOT(ISBLANK(D34)),ISNUMBER(D34)),IF(D34=1,"Accept","Reject"),"")</f>
        <v>Reject</v>
      </c>
      <c r="H34" s="45"/>
      <c r="I34" s="46"/>
    </row>
    <row r="35" spans="1:9" ht="48" customHeight="1" x14ac:dyDescent="0.35">
      <c r="A35" s="39" t="str">
        <f>IF(F20="NA","",A10)</f>
        <v>A3 –Testing using kit with standardized procedure and full system validation in Bharosa module</v>
      </c>
      <c r="B35" s="39"/>
      <c r="C35" s="39"/>
      <c r="D35" s="40">
        <f>IF(F20="NA","",RANK(G30,$C$30:$G$30,0))</f>
        <v>1</v>
      </c>
      <c r="E35" s="40"/>
      <c r="F35" s="40"/>
      <c r="G35" s="40" t="str">
        <f>IF(AND(NOT(ISBLANK(D35)),ISNUMBER(D35)),IF(D35=1,"Accept","Reject"),"")</f>
        <v>Accept</v>
      </c>
      <c r="H35" s="40"/>
      <c r="I35" s="40"/>
    </row>
    <row r="36" spans="1:9" ht="34.25" customHeight="1" x14ac:dyDescent="0.35">
      <c r="A36" s="47" t="s">
        <v>18</v>
      </c>
      <c r="B36" s="47"/>
      <c r="C36" s="31" t="s">
        <v>44</v>
      </c>
      <c r="D36" s="33"/>
      <c r="E36" s="33"/>
      <c r="F36" s="33"/>
      <c r="G36" s="33"/>
      <c r="H36" s="33"/>
      <c r="I36" s="33"/>
    </row>
    <row r="37" spans="1:9" ht="95.4" customHeight="1" x14ac:dyDescent="0.35">
      <c r="A37" s="47" t="s">
        <v>19</v>
      </c>
      <c r="B37" s="47"/>
      <c r="C37" s="48" t="s">
        <v>42</v>
      </c>
      <c r="D37" s="28"/>
      <c r="E37" s="28"/>
      <c r="F37" s="28"/>
      <c r="G37" s="28"/>
      <c r="H37" s="28"/>
      <c r="I37" s="29"/>
    </row>
    <row r="38" spans="1:9" ht="99.65" customHeight="1" x14ac:dyDescent="0.35">
      <c r="A38" s="47" t="s">
        <v>20</v>
      </c>
      <c r="B38" s="47"/>
      <c r="C38" s="31" t="s">
        <v>43</v>
      </c>
      <c r="D38" s="33"/>
      <c r="E38" s="33"/>
      <c r="F38" s="33"/>
      <c r="G38" s="33"/>
      <c r="H38" s="33"/>
      <c r="I38" s="33"/>
    </row>
    <row r="39" spans="1:9" ht="19.75" customHeight="1" x14ac:dyDescent="0.35">
      <c r="A39" s="49" t="s">
        <v>10</v>
      </c>
      <c r="B39" s="49"/>
      <c r="C39" s="31" t="s">
        <v>45</v>
      </c>
      <c r="D39" s="31"/>
      <c r="E39" s="31"/>
      <c r="F39" s="31"/>
      <c r="G39" s="31"/>
      <c r="H39" s="31"/>
      <c r="I39" s="31"/>
    </row>
    <row r="40" spans="1:9" ht="41.4" customHeight="1" x14ac:dyDescent="0.35">
      <c r="A40" s="49" t="s">
        <v>21</v>
      </c>
      <c r="B40" s="49"/>
      <c r="C40" s="48" t="s">
        <v>57</v>
      </c>
      <c r="D40" s="50"/>
      <c r="E40" s="50"/>
      <c r="F40" s="51"/>
      <c r="G40" s="12" t="s">
        <v>22</v>
      </c>
      <c r="H40" s="26">
        <v>45982</v>
      </c>
      <c r="I40" s="23"/>
    </row>
    <row r="41" spans="1:9" ht="19.5" customHeight="1" x14ac:dyDescent="0.35">
      <c r="A41" s="13"/>
      <c r="B41" s="13"/>
      <c r="C41" s="13"/>
      <c r="D41" s="13"/>
      <c r="E41" s="13"/>
      <c r="F41" s="13"/>
      <c r="G41" s="13"/>
      <c r="H41" s="13"/>
      <c r="I41" s="13"/>
    </row>
    <row r="42" spans="1:9" ht="19.5" customHeight="1" x14ac:dyDescent="0.35">
      <c r="A42" s="13"/>
      <c r="B42" s="13"/>
      <c r="C42" s="13"/>
      <c r="D42" s="13"/>
      <c r="E42" s="13"/>
      <c r="F42" s="13"/>
      <c r="G42" s="13"/>
      <c r="H42" s="13"/>
      <c r="I42" s="13"/>
    </row>
    <row r="43" spans="1:9" ht="19.5" customHeight="1" x14ac:dyDescent="0.35">
      <c r="A43" s="13"/>
      <c r="B43" s="13"/>
      <c r="C43" s="13"/>
      <c r="D43" s="13"/>
      <c r="E43" s="13"/>
      <c r="F43" s="13"/>
      <c r="G43" s="13"/>
      <c r="H43" s="13"/>
      <c r="I43" s="13"/>
    </row>
    <row r="44" spans="1:9" ht="19.5" customHeight="1" x14ac:dyDescent="0.35">
      <c r="A44" s="13"/>
      <c r="B44" s="13"/>
      <c r="C44" s="13"/>
      <c r="D44" s="13"/>
      <c r="E44" s="13"/>
      <c r="F44" s="13"/>
      <c r="G44" s="13"/>
      <c r="H44" s="13"/>
      <c r="I44" s="13"/>
    </row>
  </sheetData>
  <mergeCells count="76">
    <mergeCell ref="A39:B39"/>
    <mergeCell ref="C39:I39"/>
    <mergeCell ref="A40:B40"/>
    <mergeCell ref="C40:F40"/>
    <mergeCell ref="H40:I40"/>
    <mergeCell ref="A36:B36"/>
    <mergeCell ref="C36:I36"/>
    <mergeCell ref="A37:B37"/>
    <mergeCell ref="C37:I37"/>
    <mergeCell ref="A38:B38"/>
    <mergeCell ref="C38:I38"/>
    <mergeCell ref="A35:C35"/>
    <mergeCell ref="D35:F35"/>
    <mergeCell ref="G35:I35"/>
    <mergeCell ref="A33:C33"/>
    <mergeCell ref="D33:F33"/>
    <mergeCell ref="G33:I33"/>
    <mergeCell ref="A34:C34"/>
    <mergeCell ref="D34:F34"/>
    <mergeCell ref="G34:I34"/>
    <mergeCell ref="A32:C32"/>
    <mergeCell ref="D32:F32"/>
    <mergeCell ref="G32:I32"/>
    <mergeCell ref="A18:B18"/>
    <mergeCell ref="C18:D18"/>
    <mergeCell ref="E18:I18"/>
    <mergeCell ref="A19:B19"/>
    <mergeCell ref="C19:D19"/>
    <mergeCell ref="E19:I19"/>
    <mergeCell ref="A20:A21"/>
    <mergeCell ref="B20:C20"/>
    <mergeCell ref="D20:E20"/>
    <mergeCell ref="F20:G20"/>
    <mergeCell ref="A31:I31"/>
    <mergeCell ref="A16:B16"/>
    <mergeCell ref="C16:D16"/>
    <mergeCell ref="E16:I16"/>
    <mergeCell ref="A17:B17"/>
    <mergeCell ref="C17:D17"/>
    <mergeCell ref="E17:I17"/>
    <mergeCell ref="A14:B14"/>
    <mergeCell ref="C14:D14"/>
    <mergeCell ref="E14:I14"/>
    <mergeCell ref="A15:B15"/>
    <mergeCell ref="C15:D15"/>
    <mergeCell ref="E15:I15"/>
    <mergeCell ref="A12:B12"/>
    <mergeCell ref="C12:D12"/>
    <mergeCell ref="E12:I12"/>
    <mergeCell ref="A13:B13"/>
    <mergeCell ref="C13:D13"/>
    <mergeCell ref="E13:I13"/>
    <mergeCell ref="A10:C10"/>
    <mergeCell ref="D10:F10"/>
    <mergeCell ref="G10:I10"/>
    <mergeCell ref="A11:B11"/>
    <mergeCell ref="C11:D11"/>
    <mergeCell ref="E11:I11"/>
    <mergeCell ref="A8:C8"/>
    <mergeCell ref="D8:F8"/>
    <mergeCell ref="G8:I8"/>
    <mergeCell ref="A9:C9"/>
    <mergeCell ref="D9:F9"/>
    <mergeCell ref="G9:I9"/>
    <mergeCell ref="B4:I4"/>
    <mergeCell ref="B5:I5"/>
    <mergeCell ref="B6:I6"/>
    <mergeCell ref="A7:C7"/>
    <mergeCell ref="D7:F7"/>
    <mergeCell ref="G7:I7"/>
    <mergeCell ref="A1:I1"/>
    <mergeCell ref="B2:D2"/>
    <mergeCell ref="G2:I2"/>
    <mergeCell ref="B3:D3"/>
    <mergeCell ref="E3:F3"/>
    <mergeCell ref="G3:I3"/>
  </mergeCells>
  <dataValidations count="1">
    <dataValidation type="list" allowBlank="1" showInputMessage="1" showErrorMessage="1" sqref="B22:B29 D22:D29 F22:F29">
      <formula1>"1,2,3, 4,5"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abSelected="1" workbookViewId="0">
      <selection activeCell="B4" sqref="B4:I4"/>
    </sheetView>
  </sheetViews>
  <sheetFormatPr defaultColWidth="21.81640625" defaultRowHeight="14" x14ac:dyDescent="0.35"/>
  <cols>
    <col min="1" max="3" width="21.81640625" style="2"/>
    <col min="4" max="4" width="11.81640625" style="2" customWidth="1"/>
    <col min="5" max="16384" width="21.81640625" style="2"/>
  </cols>
  <sheetData>
    <row r="1" spans="1:9" ht="19.5" customHeight="1" thickBot="1" x14ac:dyDescent="0.4">
      <c r="A1" s="15" t="s">
        <v>0</v>
      </c>
      <c r="B1" s="16"/>
      <c r="C1" s="16"/>
      <c r="D1" s="16"/>
      <c r="E1" s="16"/>
      <c r="F1" s="16"/>
      <c r="G1" s="16"/>
      <c r="H1" s="16"/>
      <c r="I1" s="17"/>
    </row>
    <row r="2" spans="1:9" ht="19.5" customHeight="1" x14ac:dyDescent="0.35">
      <c r="A2" s="3" t="s">
        <v>1</v>
      </c>
      <c r="B2" s="18"/>
      <c r="C2" s="19"/>
      <c r="D2" s="20"/>
      <c r="E2" s="3" t="s">
        <v>2</v>
      </c>
      <c r="F2" s="4"/>
      <c r="G2" s="18" t="s">
        <v>33</v>
      </c>
      <c r="H2" s="19"/>
      <c r="I2" s="20"/>
    </row>
    <row r="3" spans="1:9" ht="19.5" customHeight="1" x14ac:dyDescent="0.35">
      <c r="A3" s="5" t="s">
        <v>3</v>
      </c>
      <c r="B3" s="21"/>
      <c r="C3" s="22"/>
      <c r="D3" s="23"/>
      <c r="E3" s="24" t="s">
        <v>4</v>
      </c>
      <c r="F3" s="25"/>
      <c r="G3" s="26">
        <v>45990</v>
      </c>
      <c r="H3" s="22"/>
      <c r="I3" s="23"/>
    </row>
    <row r="4" spans="1:9" ht="19.5" customHeight="1" x14ac:dyDescent="0.35">
      <c r="A4" s="5" t="s">
        <v>5</v>
      </c>
      <c r="B4" s="27" t="s">
        <v>46</v>
      </c>
      <c r="C4" s="28"/>
      <c r="D4" s="28"/>
      <c r="E4" s="28"/>
      <c r="F4" s="28"/>
      <c r="G4" s="28"/>
      <c r="H4" s="28"/>
      <c r="I4" s="29"/>
    </row>
    <row r="5" spans="1:9" ht="19.5" customHeight="1" x14ac:dyDescent="0.35">
      <c r="A5" s="6" t="s">
        <v>6</v>
      </c>
      <c r="B5" s="27"/>
      <c r="C5" s="28"/>
      <c r="D5" s="28"/>
      <c r="E5" s="28"/>
      <c r="F5" s="28"/>
      <c r="G5" s="28"/>
      <c r="H5" s="28"/>
      <c r="I5" s="29"/>
    </row>
    <row r="6" spans="1:9" ht="19.5" customHeight="1" x14ac:dyDescent="0.35">
      <c r="A6" s="7" t="s">
        <v>7</v>
      </c>
      <c r="B6" s="27" t="s">
        <v>25</v>
      </c>
      <c r="C6" s="28"/>
      <c r="D6" s="28"/>
      <c r="E6" s="28"/>
      <c r="F6" s="28"/>
      <c r="G6" s="28"/>
      <c r="H6" s="28"/>
      <c r="I6" s="29"/>
    </row>
    <row r="7" spans="1:9" ht="19.5" customHeight="1" x14ac:dyDescent="0.35">
      <c r="A7" s="30" t="s">
        <v>8</v>
      </c>
      <c r="B7" s="30"/>
      <c r="C7" s="30"/>
      <c r="D7" s="30" t="s">
        <v>9</v>
      </c>
      <c r="E7" s="30"/>
      <c r="F7" s="30"/>
      <c r="G7" s="30" t="s">
        <v>10</v>
      </c>
      <c r="H7" s="30"/>
      <c r="I7" s="30"/>
    </row>
    <row r="8" spans="1:9" ht="24" customHeight="1" x14ac:dyDescent="0.35">
      <c r="A8" s="31" t="s">
        <v>47</v>
      </c>
      <c r="B8" s="31"/>
      <c r="C8" s="31"/>
      <c r="D8" s="31" t="s">
        <v>50</v>
      </c>
      <c r="E8" s="31"/>
      <c r="F8" s="31"/>
      <c r="G8" s="32"/>
      <c r="H8" s="32"/>
      <c r="I8" s="32"/>
    </row>
    <row r="9" spans="1:9" ht="26.4" customHeight="1" x14ac:dyDescent="0.35">
      <c r="A9" s="31" t="s">
        <v>48</v>
      </c>
      <c r="B9" s="31"/>
      <c r="C9" s="31"/>
      <c r="D9" s="31" t="s">
        <v>51</v>
      </c>
      <c r="E9" s="31"/>
      <c r="F9" s="31"/>
      <c r="G9" s="32"/>
      <c r="H9" s="32"/>
      <c r="I9" s="32"/>
    </row>
    <row r="10" spans="1:9" ht="24.65" customHeight="1" x14ac:dyDescent="0.35">
      <c r="A10" s="31" t="s">
        <v>49</v>
      </c>
      <c r="B10" s="33"/>
      <c r="C10" s="33"/>
      <c r="D10" s="31" t="s">
        <v>52</v>
      </c>
      <c r="E10" s="31"/>
      <c r="F10" s="31"/>
      <c r="G10" s="32"/>
      <c r="H10" s="32"/>
      <c r="I10" s="32"/>
    </row>
    <row r="11" spans="1:9" ht="19.5" customHeight="1" x14ac:dyDescent="0.35">
      <c r="A11" s="34" t="s">
        <v>11</v>
      </c>
      <c r="B11" s="34"/>
      <c r="C11" s="34" t="s">
        <v>23</v>
      </c>
      <c r="D11" s="34"/>
      <c r="E11" s="34" t="s">
        <v>12</v>
      </c>
      <c r="F11" s="34"/>
      <c r="G11" s="34"/>
      <c r="H11" s="34"/>
      <c r="I11" s="34"/>
    </row>
    <row r="12" spans="1:9" ht="19.5" customHeight="1" x14ac:dyDescent="0.35">
      <c r="A12" s="31" t="s">
        <v>26</v>
      </c>
      <c r="B12" s="31"/>
      <c r="C12" s="35">
        <v>5</v>
      </c>
      <c r="D12" s="35"/>
      <c r="E12" s="31"/>
      <c r="F12" s="31"/>
      <c r="G12" s="31"/>
      <c r="H12" s="31"/>
      <c r="I12" s="31"/>
    </row>
    <row r="13" spans="1:9" ht="19.5" customHeight="1" x14ac:dyDescent="0.35">
      <c r="A13" s="31" t="s">
        <v>41</v>
      </c>
      <c r="B13" s="31"/>
      <c r="C13" s="35">
        <v>5</v>
      </c>
      <c r="D13" s="35"/>
      <c r="E13" s="31"/>
      <c r="F13" s="31"/>
      <c r="G13" s="31"/>
      <c r="H13" s="31"/>
      <c r="I13" s="31"/>
    </row>
    <row r="14" spans="1:9" ht="19.5" customHeight="1" x14ac:dyDescent="0.35">
      <c r="A14" s="31" t="s">
        <v>27</v>
      </c>
      <c r="B14" s="31"/>
      <c r="C14" s="35">
        <v>4</v>
      </c>
      <c r="D14" s="35"/>
      <c r="E14" s="31"/>
      <c r="F14" s="31"/>
      <c r="G14" s="31"/>
      <c r="H14" s="31"/>
      <c r="I14" s="31"/>
    </row>
    <row r="15" spans="1:9" ht="19.5" customHeight="1" x14ac:dyDescent="0.35">
      <c r="A15" s="31" t="s">
        <v>28</v>
      </c>
      <c r="B15" s="31"/>
      <c r="C15" s="35">
        <v>5</v>
      </c>
      <c r="D15" s="35"/>
      <c r="E15" s="31"/>
      <c r="F15" s="31"/>
      <c r="G15" s="31"/>
      <c r="H15" s="31"/>
      <c r="I15" s="31"/>
    </row>
    <row r="16" spans="1:9" ht="19.5" customHeight="1" x14ac:dyDescent="0.35">
      <c r="A16" s="31" t="s">
        <v>29</v>
      </c>
      <c r="B16" s="31"/>
      <c r="C16" s="35">
        <v>4</v>
      </c>
      <c r="D16" s="35"/>
      <c r="E16" s="31"/>
      <c r="F16" s="31"/>
      <c r="G16" s="31"/>
      <c r="H16" s="31"/>
      <c r="I16" s="31"/>
    </row>
    <row r="17" spans="1:9" ht="19.5" customHeight="1" x14ac:dyDescent="0.35">
      <c r="A17" s="31" t="s">
        <v>30</v>
      </c>
      <c r="B17" s="31"/>
      <c r="C17" s="35">
        <v>4</v>
      </c>
      <c r="D17" s="35"/>
      <c r="E17" s="31"/>
      <c r="F17" s="31"/>
      <c r="G17" s="31"/>
      <c r="H17" s="31"/>
      <c r="I17" s="31"/>
    </row>
    <row r="18" spans="1:9" ht="19.5" customHeight="1" x14ac:dyDescent="0.35">
      <c r="A18" s="31" t="s">
        <v>31</v>
      </c>
      <c r="B18" s="31"/>
      <c r="C18" s="35">
        <v>3</v>
      </c>
      <c r="D18" s="35"/>
      <c r="E18" s="31"/>
      <c r="F18" s="31"/>
      <c r="G18" s="31"/>
      <c r="H18" s="31"/>
      <c r="I18" s="31"/>
    </row>
    <row r="19" spans="1:9" ht="19.5" customHeight="1" x14ac:dyDescent="0.35">
      <c r="A19" s="31" t="s">
        <v>32</v>
      </c>
      <c r="B19" s="31"/>
      <c r="C19" s="35">
        <v>4</v>
      </c>
      <c r="D19" s="35"/>
      <c r="E19" s="31"/>
      <c r="F19" s="31"/>
      <c r="G19" s="31"/>
      <c r="H19" s="31"/>
      <c r="I19" s="31"/>
    </row>
    <row r="20" spans="1:9" ht="19.5" customHeight="1" x14ac:dyDescent="0.35">
      <c r="A20" s="34" t="s">
        <v>11</v>
      </c>
      <c r="B20" s="36" t="str">
        <f>IF(NOT(ISBLANK(A8)),A8,"NA")</f>
        <v>A1 –Manual testing and recording by Field Engineer without system validation</v>
      </c>
      <c r="C20" s="36"/>
      <c r="D20" s="36" t="str">
        <f>IF(NOT(ISBLANK(A9)),A9,"NA")</f>
        <v>A2 – Field testing with sample verification and manual entry into the system</v>
      </c>
      <c r="E20" s="36"/>
      <c r="F20" s="36" t="str">
        <f>IF(NOT(ISBLANK(A10)),A10,"NA")</f>
        <v>A3 –Field testing using standardized procedures with full system validation and approval by Field Engineer</v>
      </c>
      <c r="G20" s="36"/>
    </row>
    <row r="21" spans="1:9" ht="19.5" customHeight="1" x14ac:dyDescent="0.35">
      <c r="A21" s="34"/>
      <c r="B21" s="9" t="s">
        <v>13</v>
      </c>
      <c r="C21" s="9" t="s">
        <v>14</v>
      </c>
      <c r="D21" s="9" t="s">
        <v>13</v>
      </c>
      <c r="E21" s="9" t="s">
        <v>14</v>
      </c>
      <c r="F21" s="9" t="s">
        <v>13</v>
      </c>
      <c r="G21" s="9" t="s">
        <v>14</v>
      </c>
    </row>
    <row r="22" spans="1:9" ht="19.5" customHeight="1" x14ac:dyDescent="0.35">
      <c r="A22" s="14" t="str">
        <f>IF(NOT(ISBLANK(A12)),A12,"")</f>
        <v>Legal &amp; Regulatory Compliance</v>
      </c>
      <c r="B22" s="1">
        <v>1</v>
      </c>
      <c r="C22" s="10">
        <f t="shared" ref="C22:C29" si="0">IF(NOT(ISBLANK(A12)),B22*C12,"")</f>
        <v>5</v>
      </c>
      <c r="D22" s="1">
        <v>1</v>
      </c>
      <c r="E22" s="10">
        <f t="shared" ref="E22:E29" si="1">IF(NOT(ISBLANK(A12)),D22*C12,"")</f>
        <v>5</v>
      </c>
      <c r="F22" s="1">
        <v>3</v>
      </c>
      <c r="G22" s="10">
        <f t="shared" ref="G22:G29" si="2">IF(NOT(ISBLANK(A12)),F22*C12,"")</f>
        <v>15</v>
      </c>
    </row>
    <row r="23" spans="1:9" ht="19.5" customHeight="1" x14ac:dyDescent="0.35">
      <c r="A23" s="14" t="str">
        <f t="shared" ref="A23:A28" si="3">IF(NOT(ISBLANK(A13)),A13,"")</f>
        <v>Integration Feasibility</v>
      </c>
      <c r="B23" s="1">
        <v>5</v>
      </c>
      <c r="C23" s="10">
        <f t="shared" si="0"/>
        <v>25</v>
      </c>
      <c r="D23" s="1">
        <v>4</v>
      </c>
      <c r="E23" s="10">
        <f t="shared" si="1"/>
        <v>20</v>
      </c>
      <c r="F23" s="1">
        <v>4</v>
      </c>
      <c r="G23" s="10">
        <f t="shared" si="2"/>
        <v>20</v>
      </c>
    </row>
    <row r="24" spans="1:9" ht="19.5" customHeight="1" x14ac:dyDescent="0.35">
      <c r="A24" s="14" t="str">
        <f t="shared" si="3"/>
        <v>Process Automation &amp; Efficiency</v>
      </c>
      <c r="B24" s="1">
        <v>3</v>
      </c>
      <c r="C24" s="10">
        <f t="shared" si="0"/>
        <v>12</v>
      </c>
      <c r="D24" s="1">
        <v>4</v>
      </c>
      <c r="E24" s="10">
        <f t="shared" si="1"/>
        <v>16</v>
      </c>
      <c r="F24" s="1">
        <v>5</v>
      </c>
      <c r="G24" s="10">
        <f t="shared" si="2"/>
        <v>20</v>
      </c>
    </row>
    <row r="25" spans="1:9" ht="19.5" customHeight="1" x14ac:dyDescent="0.35">
      <c r="A25" s="14" t="str">
        <f t="shared" si="3"/>
        <v>Data Security &amp; Document Integrity</v>
      </c>
      <c r="B25" s="1">
        <v>3</v>
      </c>
      <c r="C25" s="10">
        <f t="shared" si="0"/>
        <v>15</v>
      </c>
      <c r="D25" s="1">
        <v>4</v>
      </c>
      <c r="E25" s="10">
        <f t="shared" si="1"/>
        <v>20</v>
      </c>
      <c r="F25" s="1">
        <v>4</v>
      </c>
      <c r="G25" s="10">
        <f t="shared" si="2"/>
        <v>20</v>
      </c>
    </row>
    <row r="26" spans="1:9" ht="19.5" customHeight="1" x14ac:dyDescent="0.35">
      <c r="A26" s="14" t="str">
        <f t="shared" si="3"/>
        <v>Availability of Technical &amp; Operational Resources</v>
      </c>
      <c r="B26" s="1">
        <v>1</v>
      </c>
      <c r="C26" s="10">
        <f t="shared" si="0"/>
        <v>4</v>
      </c>
      <c r="D26" s="1">
        <v>4</v>
      </c>
      <c r="E26" s="10">
        <f t="shared" si="1"/>
        <v>16</v>
      </c>
      <c r="F26" s="1">
        <v>4</v>
      </c>
      <c r="G26" s="10">
        <f t="shared" si="2"/>
        <v>16</v>
      </c>
    </row>
    <row r="27" spans="1:9" ht="19.5" customHeight="1" x14ac:dyDescent="0.35">
      <c r="A27" s="14" t="str">
        <f t="shared" si="3"/>
        <v>Scalability &amp; Reusability</v>
      </c>
      <c r="B27" s="1">
        <v>2</v>
      </c>
      <c r="C27" s="10">
        <f t="shared" si="0"/>
        <v>8</v>
      </c>
      <c r="D27" s="1">
        <v>4</v>
      </c>
      <c r="E27" s="10">
        <f t="shared" si="1"/>
        <v>16</v>
      </c>
      <c r="F27" s="1">
        <v>4</v>
      </c>
      <c r="G27" s="10">
        <f t="shared" si="2"/>
        <v>16</v>
      </c>
    </row>
    <row r="28" spans="1:9" ht="19.5" customHeight="1" x14ac:dyDescent="0.35">
      <c r="A28" s="14" t="str">
        <f t="shared" si="3"/>
        <v>Ease of Adoption for Applicants</v>
      </c>
      <c r="B28" s="1">
        <v>3</v>
      </c>
      <c r="C28" s="10">
        <f t="shared" si="0"/>
        <v>9</v>
      </c>
      <c r="D28" s="1">
        <v>3</v>
      </c>
      <c r="E28" s="10">
        <f t="shared" si="1"/>
        <v>9</v>
      </c>
      <c r="F28" s="1">
        <v>3</v>
      </c>
      <c r="G28" s="10">
        <f t="shared" si="2"/>
        <v>9</v>
      </c>
    </row>
    <row r="29" spans="1:9" ht="19.5" customHeight="1" x14ac:dyDescent="0.35">
      <c r="A29" s="14"/>
      <c r="B29" s="1"/>
      <c r="C29" s="10">
        <f t="shared" si="0"/>
        <v>0</v>
      </c>
      <c r="D29" s="1"/>
      <c r="E29" s="10">
        <f t="shared" si="1"/>
        <v>0</v>
      </c>
      <c r="F29" s="1"/>
      <c r="G29" s="10">
        <f t="shared" si="2"/>
        <v>0</v>
      </c>
    </row>
    <row r="30" spans="1:9" ht="19.5" customHeight="1" x14ac:dyDescent="0.35">
      <c r="A30" s="8" t="s">
        <v>15</v>
      </c>
      <c r="B30" s="1"/>
      <c r="C30" s="11">
        <f>IF(B20="NA","",AVERAGE(C22:C29))</f>
        <v>9.75</v>
      </c>
      <c r="D30" s="1"/>
      <c r="E30" s="11">
        <f>IF(D20="NA","",AVERAGE(E22:E29))</f>
        <v>12.75</v>
      </c>
      <c r="F30" s="1"/>
      <c r="G30" s="11">
        <f>IF(F20="NA","",AVERAGE(G22:G29))</f>
        <v>14.5</v>
      </c>
    </row>
    <row r="31" spans="1:9" ht="19.5" customHeight="1" x14ac:dyDescent="0.35">
      <c r="A31" s="37" t="s">
        <v>16</v>
      </c>
      <c r="B31" s="38"/>
      <c r="C31" s="38"/>
      <c r="D31" s="38"/>
      <c r="E31" s="38"/>
      <c r="F31" s="38"/>
      <c r="G31" s="38"/>
      <c r="H31" s="38"/>
      <c r="I31" s="38"/>
    </row>
    <row r="32" spans="1:9" ht="19.5" customHeight="1" x14ac:dyDescent="0.35">
      <c r="A32" s="30" t="s">
        <v>8</v>
      </c>
      <c r="B32" s="30"/>
      <c r="C32" s="30"/>
      <c r="D32" s="30" t="s">
        <v>24</v>
      </c>
      <c r="E32" s="30"/>
      <c r="F32" s="30"/>
      <c r="G32" s="30" t="s">
        <v>17</v>
      </c>
      <c r="H32" s="30"/>
      <c r="I32" s="30"/>
    </row>
    <row r="33" spans="1:9" ht="48" customHeight="1" x14ac:dyDescent="0.35">
      <c r="A33" s="39" t="str">
        <f>IF(B20="NA","",A8)</f>
        <v>A1 –Manual testing and recording by Field Engineer without system validation</v>
      </c>
      <c r="B33" s="39"/>
      <c r="C33" s="39"/>
      <c r="D33" s="40">
        <f>IF(B20="NA","",RANK(C30,$C$30:$G$30,0))</f>
        <v>3</v>
      </c>
      <c r="E33" s="40"/>
      <c r="F33" s="40"/>
      <c r="G33" s="40" t="str">
        <f>IF(AND(NOT(ISBLANK(D33)),ISNUMBER(D33)),IF(D33=1,"Accept","Reject"),"")</f>
        <v>Reject</v>
      </c>
      <c r="H33" s="40"/>
      <c r="I33" s="40"/>
    </row>
    <row r="34" spans="1:9" ht="48" customHeight="1" x14ac:dyDescent="0.35">
      <c r="A34" s="41" t="str">
        <f>IF(D20="NA","",A9)</f>
        <v>A2 – Field testing with sample verification and manual entry into the system</v>
      </c>
      <c r="B34" s="42"/>
      <c r="C34" s="43"/>
      <c r="D34" s="44">
        <f>IF(D20="NA","",RANK(E30,$C$30:$G$30,0))</f>
        <v>2</v>
      </c>
      <c r="E34" s="45"/>
      <c r="F34" s="46"/>
      <c r="G34" s="44" t="str">
        <f>IF(AND(NOT(ISBLANK(D34)),ISNUMBER(D34)),IF(D34=1,"Accept","Reject"),"")</f>
        <v>Reject</v>
      </c>
      <c r="H34" s="45"/>
      <c r="I34" s="46"/>
    </row>
    <row r="35" spans="1:9" ht="48" customHeight="1" x14ac:dyDescent="0.35">
      <c r="A35" s="39" t="str">
        <f>IF(F20="NA","",A10)</f>
        <v>A3 –Field testing using standardized procedures with full system validation and approval by Field Engineer</v>
      </c>
      <c r="B35" s="39"/>
      <c r="C35" s="39"/>
      <c r="D35" s="40">
        <f>IF(F20="NA","",RANK(G30,$C$30:$G$30,0))</f>
        <v>1</v>
      </c>
      <c r="E35" s="40"/>
      <c r="F35" s="40"/>
      <c r="G35" s="40" t="str">
        <f>IF(AND(NOT(ISBLANK(D35)),ISNUMBER(D35)),IF(D35=1,"Accept","Reject"),"")</f>
        <v>Accept</v>
      </c>
      <c r="H35" s="40"/>
      <c r="I35" s="40"/>
    </row>
    <row r="36" spans="1:9" ht="34.25" customHeight="1" x14ac:dyDescent="0.35">
      <c r="A36" s="47" t="s">
        <v>18</v>
      </c>
      <c r="B36" s="47"/>
      <c r="C36" s="31" t="s">
        <v>55</v>
      </c>
      <c r="D36" s="33"/>
      <c r="E36" s="33"/>
      <c r="F36" s="33"/>
      <c r="G36" s="33"/>
      <c r="H36" s="33"/>
      <c r="I36" s="33"/>
    </row>
    <row r="37" spans="1:9" ht="95.4" customHeight="1" x14ac:dyDescent="0.35">
      <c r="A37" s="47" t="s">
        <v>19</v>
      </c>
      <c r="B37" s="47"/>
      <c r="C37" s="48" t="s">
        <v>53</v>
      </c>
      <c r="D37" s="28"/>
      <c r="E37" s="28"/>
      <c r="F37" s="28"/>
      <c r="G37" s="28"/>
      <c r="H37" s="28"/>
      <c r="I37" s="29"/>
    </row>
    <row r="38" spans="1:9" ht="99.65" customHeight="1" x14ac:dyDescent="0.35">
      <c r="A38" s="47" t="s">
        <v>20</v>
      </c>
      <c r="B38" s="47"/>
      <c r="C38" s="31" t="s">
        <v>54</v>
      </c>
      <c r="D38" s="33"/>
      <c r="E38" s="33"/>
      <c r="F38" s="33"/>
      <c r="G38" s="33"/>
      <c r="H38" s="33"/>
      <c r="I38" s="33"/>
    </row>
    <row r="39" spans="1:9" ht="19.75" customHeight="1" x14ac:dyDescent="0.35">
      <c r="A39" s="49" t="s">
        <v>10</v>
      </c>
      <c r="B39" s="49"/>
      <c r="C39" s="31" t="s">
        <v>45</v>
      </c>
      <c r="D39" s="31"/>
      <c r="E39" s="31"/>
      <c r="F39" s="31"/>
      <c r="G39" s="31"/>
      <c r="H39" s="31"/>
      <c r="I39" s="31"/>
    </row>
    <row r="40" spans="1:9" ht="41.4" customHeight="1" x14ac:dyDescent="0.35">
      <c r="A40" s="49" t="s">
        <v>21</v>
      </c>
      <c r="B40" s="49"/>
      <c r="C40" s="48" t="s">
        <v>56</v>
      </c>
      <c r="D40" s="50"/>
      <c r="E40" s="50"/>
      <c r="F40" s="51"/>
      <c r="G40" s="12" t="s">
        <v>22</v>
      </c>
      <c r="H40" s="26">
        <v>45990</v>
      </c>
      <c r="I40" s="23"/>
    </row>
    <row r="41" spans="1:9" ht="19.5" customHeight="1" x14ac:dyDescent="0.35">
      <c r="A41" s="13"/>
      <c r="B41" s="13"/>
      <c r="C41" s="13"/>
      <c r="D41" s="13"/>
      <c r="E41" s="13"/>
      <c r="F41" s="13"/>
      <c r="G41" s="13"/>
      <c r="H41" s="13"/>
      <c r="I41" s="13"/>
    </row>
    <row r="42" spans="1:9" ht="19.5" customHeight="1" x14ac:dyDescent="0.35">
      <c r="A42" s="13"/>
      <c r="B42" s="13"/>
      <c r="C42" s="13"/>
      <c r="D42" s="13"/>
      <c r="E42" s="13"/>
      <c r="F42" s="13"/>
      <c r="G42" s="13"/>
      <c r="H42" s="13"/>
      <c r="I42" s="13"/>
    </row>
    <row r="43" spans="1:9" ht="19.5" customHeight="1" x14ac:dyDescent="0.35">
      <c r="A43" s="13"/>
      <c r="B43" s="13"/>
      <c r="C43" s="13"/>
      <c r="D43" s="13"/>
      <c r="E43" s="13"/>
      <c r="F43" s="13"/>
      <c r="G43" s="13"/>
      <c r="H43" s="13"/>
      <c r="I43" s="13"/>
    </row>
    <row r="44" spans="1:9" ht="19.5" customHeight="1" x14ac:dyDescent="0.35">
      <c r="A44" s="13"/>
      <c r="B44" s="13"/>
      <c r="C44" s="13"/>
      <c r="D44" s="13"/>
      <c r="E44" s="13"/>
      <c r="F44" s="13"/>
      <c r="G44" s="13"/>
      <c r="H44" s="13"/>
      <c r="I44" s="13"/>
    </row>
  </sheetData>
  <mergeCells count="76">
    <mergeCell ref="A1:I1"/>
    <mergeCell ref="B2:D2"/>
    <mergeCell ref="G2:I2"/>
    <mergeCell ref="B3:D3"/>
    <mergeCell ref="E3:F3"/>
    <mergeCell ref="G3:I3"/>
    <mergeCell ref="B4:I4"/>
    <mergeCell ref="B5:I5"/>
    <mergeCell ref="B6:I6"/>
    <mergeCell ref="A7:C7"/>
    <mergeCell ref="D7:F7"/>
    <mergeCell ref="G7:I7"/>
    <mergeCell ref="A8:C8"/>
    <mergeCell ref="D8:F8"/>
    <mergeCell ref="G8:I8"/>
    <mergeCell ref="A9:C9"/>
    <mergeCell ref="D9:F9"/>
    <mergeCell ref="G9:I9"/>
    <mergeCell ref="A10:C10"/>
    <mergeCell ref="D10:F10"/>
    <mergeCell ref="G10:I10"/>
    <mergeCell ref="A11:B11"/>
    <mergeCell ref="C11:D11"/>
    <mergeCell ref="E11:I11"/>
    <mergeCell ref="A12:B12"/>
    <mergeCell ref="C12:D12"/>
    <mergeCell ref="E12:I12"/>
    <mergeCell ref="A13:B13"/>
    <mergeCell ref="C13:D13"/>
    <mergeCell ref="E13:I13"/>
    <mergeCell ref="A14:B14"/>
    <mergeCell ref="C14:D14"/>
    <mergeCell ref="E14:I14"/>
    <mergeCell ref="A15:B15"/>
    <mergeCell ref="C15:D15"/>
    <mergeCell ref="E15:I15"/>
    <mergeCell ref="A16:B16"/>
    <mergeCell ref="C16:D16"/>
    <mergeCell ref="E16:I16"/>
    <mergeCell ref="A17:B17"/>
    <mergeCell ref="C17:D17"/>
    <mergeCell ref="E17:I17"/>
    <mergeCell ref="A32:C32"/>
    <mergeCell ref="D32:F32"/>
    <mergeCell ref="G32:I32"/>
    <mergeCell ref="A18:B18"/>
    <mergeCell ref="C18:D18"/>
    <mergeCell ref="E18:I18"/>
    <mergeCell ref="A19:B19"/>
    <mergeCell ref="C19:D19"/>
    <mergeCell ref="E19:I19"/>
    <mergeCell ref="A20:A21"/>
    <mergeCell ref="B20:C20"/>
    <mergeCell ref="D20:E20"/>
    <mergeCell ref="F20:G20"/>
    <mergeCell ref="A31:I31"/>
    <mergeCell ref="A37:B37"/>
    <mergeCell ref="C37:I37"/>
    <mergeCell ref="A33:C33"/>
    <mergeCell ref="D33:F33"/>
    <mergeCell ref="G33:I33"/>
    <mergeCell ref="A34:C34"/>
    <mergeCell ref="D34:F34"/>
    <mergeCell ref="G34:I34"/>
    <mergeCell ref="A35:C35"/>
    <mergeCell ref="D35:F35"/>
    <mergeCell ref="G35:I35"/>
    <mergeCell ref="A36:B36"/>
    <mergeCell ref="C36:I36"/>
    <mergeCell ref="A38:B38"/>
    <mergeCell ref="C38:I38"/>
    <mergeCell ref="A39:B39"/>
    <mergeCell ref="C39:I39"/>
    <mergeCell ref="A40:B40"/>
    <mergeCell ref="C40:F40"/>
    <mergeCell ref="H40:I40"/>
  </mergeCells>
  <dataValidations count="1">
    <dataValidation type="list" allowBlank="1" showInputMessage="1" showErrorMessage="1" sqref="B22:B29 D22:D29 F22:F29">
      <formula1>"1,2,3, 4,5"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D21E2ABB2D2C4FB0E5A91234516DC0" ma:contentTypeVersion="9" ma:contentTypeDescription="Create a new document." ma:contentTypeScope="" ma:versionID="192d560c40dc385836dce96eb2990053">
  <xsd:schema xmlns:xsd="http://www.w3.org/2001/XMLSchema" xmlns:xs="http://www.w3.org/2001/XMLSchema" xmlns:p="http://schemas.microsoft.com/office/2006/metadata/properties" xmlns:ns2="0525709d-83f5-4aa2-b8f1-014358ba5028" targetNamespace="http://schemas.microsoft.com/office/2006/metadata/properties" ma:root="true" ma:fieldsID="5dbf577e7226612504307fbbc6adde4b" ns2:_="">
    <xsd:import namespace="0525709d-83f5-4aa2-b8f1-014358ba502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25709d-83f5-4aa2-b8f1-014358ba50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9C17FC-3259-4607-9330-EEE0EF487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25709d-83f5-4aa2-b8f1-014358ba5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DA1FD4-F437-465C-B64F-25997A5A9900}">
  <ds:schemaRefs>
    <ds:schemaRef ds:uri="http://www.w3.org/XML/1998/namespace"/>
    <ds:schemaRef ds:uri="http://purl.org/dc/term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0525709d-83f5-4aa2-b8f1-014358ba5028"/>
  </ds:schemaRefs>
</ds:datastoreItem>
</file>

<file path=customXml/itemProps3.xml><?xml version="1.0" encoding="utf-8"?>
<ds:datastoreItem xmlns:ds="http://schemas.openxmlformats.org/officeDocument/2006/customXml" ds:itemID="{317B7AA0-62AC-4EAE-A274-8B16CF1188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Bharosa</vt:lpstr>
      <vt:lpstr>Material Testing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hp</cp:lastModifiedBy>
  <dcterms:created xsi:type="dcterms:W3CDTF">2017-11-13T13:56:00Z</dcterms:created>
  <dcterms:modified xsi:type="dcterms:W3CDTF">2026-01-26T13:23:20Z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