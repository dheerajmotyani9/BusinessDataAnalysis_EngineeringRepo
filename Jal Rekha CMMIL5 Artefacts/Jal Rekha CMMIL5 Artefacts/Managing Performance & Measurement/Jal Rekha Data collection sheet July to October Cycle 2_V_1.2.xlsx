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Downloads\MPSeDC MPSSDI GIS\Jal Rekha\CMMI Jal rekha documents 2025\July October Cycle 2\Cycle 2 Estimation\"/>
    </mc:Choice>
  </mc:AlternateContent>
  <bookViews>
    <workbookView xWindow="0" yWindow="0" windowWidth="19200" windowHeight="7190"/>
  </bookViews>
  <sheets>
    <sheet name="DC JultoOct" sheetId="21" r:id="rId1"/>
    <sheet name="PPM Prod Cycle 2" sheetId="20" r:id="rId2"/>
    <sheet name="PPM CT Cycle 2" sheetId="22" r:id="rId3"/>
    <sheet name="PPM DRE Cycle 2" sheetId="23" r:id="rId4"/>
  </sheets>
  <definedNames>
    <definedName name="MY_FUNCTION1" localSheetId="0">LAMBDA(((#REF!-#REF!)/'DC JultoOct'!$H$18)+1)</definedName>
    <definedName name="MY_FUNCTION1">LAMBDA(((#REF!-#REF!)/#REF!)+1)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47" i="23" l="1"/>
  <c r="R43" i="23"/>
  <c r="Q49" i="23" l="1"/>
  <c r="Q38" i="23"/>
  <c r="P38" i="23"/>
  <c r="O49" i="22" l="1"/>
  <c r="P49" i="22"/>
  <c r="N49" i="22"/>
  <c r="O48" i="22"/>
  <c r="P48" i="22"/>
  <c r="N48" i="22"/>
  <c r="P49" i="20"/>
  <c r="Q49" i="20"/>
  <c r="O49" i="20"/>
  <c r="Q48" i="20"/>
  <c r="P48" i="20"/>
  <c r="O48" i="20"/>
  <c r="P37" i="20"/>
  <c r="Q37" i="20"/>
  <c r="O37" i="20"/>
  <c r="Q50" i="23" l="1"/>
  <c r="P49" i="23"/>
  <c r="P50" i="23" l="1"/>
  <c r="P43" i="23" l="1"/>
  <c r="N46" i="22" l="1"/>
  <c r="P41" i="22"/>
  <c r="N41" i="22" s="1"/>
  <c r="P34" i="22"/>
  <c r="O34" i="22"/>
  <c r="N34" i="22"/>
  <c r="R42" i="22" l="1"/>
  <c r="O46" i="20"/>
  <c r="O42" i="20"/>
  <c r="Q42" i="20"/>
  <c r="V46" i="20" l="1"/>
  <c r="U46" i="20"/>
  <c r="T45" i="20"/>
  <c r="T42" i="20"/>
  <c r="T39" i="20"/>
  <c r="T38" i="20"/>
  <c r="T36" i="20"/>
  <c r="W46" i="20" l="1"/>
  <c r="AJ21" i="21"/>
  <c r="AI21" i="21"/>
  <c r="AH21" i="21"/>
  <c r="AG21" i="21"/>
  <c r="AF21" i="21"/>
  <c r="H20" i="21"/>
  <c r="AW20" i="21" s="1"/>
  <c r="H19" i="21"/>
  <c r="BD19" i="21" s="1"/>
  <c r="H18" i="21"/>
  <c r="BC18" i="21" s="1"/>
  <c r="H17" i="21"/>
  <c r="BB17" i="21" s="1"/>
  <c r="H16" i="21"/>
  <c r="BA16" i="21" s="1"/>
  <c r="BH15" i="21"/>
  <c r="AX15" i="21"/>
  <c r="AW15" i="21"/>
  <c r="H15" i="21"/>
  <c r="BD15" i="21" s="1"/>
  <c r="BD14" i="21"/>
  <c r="H14" i="21"/>
  <c r="BH14" i="21" s="1"/>
  <c r="H13" i="21"/>
  <c r="BB13" i="21" s="1"/>
  <c r="H12" i="21"/>
  <c r="AW12" i="21" s="1"/>
  <c r="H11" i="21"/>
  <c r="BD11" i="21" s="1"/>
  <c r="H10" i="21"/>
  <c r="BC10" i="21" s="1"/>
  <c r="BH9" i="21"/>
  <c r="BA9" i="21"/>
  <c r="H9" i="21"/>
  <c r="BB9" i="21" s="1"/>
  <c r="BH8" i="21"/>
  <c r="BG8" i="21"/>
  <c r="AY8" i="21"/>
  <c r="H8" i="21"/>
  <c r="BA8" i="21" s="1"/>
  <c r="BC7" i="21"/>
  <c r="AZ7" i="21"/>
  <c r="H7" i="21"/>
  <c r="BD7" i="21" s="1"/>
  <c r="BD6" i="21"/>
  <c r="AW6" i="21"/>
  <c r="AV6" i="21"/>
  <c r="H6" i="21"/>
  <c r="BH6" i="21" s="1"/>
  <c r="BC5" i="21"/>
  <c r="BA5" i="21"/>
  <c r="AX5" i="21"/>
  <c r="H5" i="21"/>
  <c r="BB5" i="21" s="1"/>
  <c r="H4" i="21"/>
  <c r="AW4" i="21" s="1"/>
  <c r="H3" i="21"/>
  <c r="BD3" i="21" s="1"/>
  <c r="BF2" i="21"/>
  <c r="BA2" i="21"/>
  <c r="H2" i="21"/>
  <c r="BC2" i="21" s="1"/>
  <c r="BG13" i="21" l="1"/>
  <c r="AX16" i="21"/>
  <c r="BA17" i="21"/>
  <c r="AV13" i="21"/>
  <c r="BH13" i="21"/>
  <c r="AY15" i="21"/>
  <c r="AY16" i="21"/>
  <c r="BH17" i="21"/>
  <c r="BD13" i="21"/>
  <c r="AU7" i="21"/>
  <c r="BG5" i="21"/>
  <c r="AW7" i="21"/>
  <c r="BF7" i="21"/>
  <c r="AW9" i="21"/>
  <c r="AZ10" i="21"/>
  <c r="AW13" i="21"/>
  <c r="AZ15" i="21"/>
  <c r="AZ16" i="21"/>
  <c r="BF17" i="21"/>
  <c r="AZ17" i="21"/>
  <c r="BG7" i="21"/>
  <c r="BF9" i="21"/>
  <c r="BD5" i="21"/>
  <c r="BH7" i="21"/>
  <c r="AU9" i="21"/>
  <c r="AU5" i="21"/>
  <c r="BH5" i="21"/>
  <c r="BE5" i="21" s="1"/>
  <c r="AX7" i="21"/>
  <c r="AY9" i="21"/>
  <c r="BA10" i="21"/>
  <c r="AX13" i="21"/>
  <c r="AV14" i="21"/>
  <c r="BA15" i="21"/>
  <c r="BG16" i="21"/>
  <c r="AU13" i="21"/>
  <c r="AV5" i="21"/>
  <c r="AZ2" i="21"/>
  <c r="AW5" i="21"/>
  <c r="AY7" i="21"/>
  <c r="AX8" i="21"/>
  <c r="AZ9" i="21"/>
  <c r="BF10" i="21"/>
  <c r="AY13" i="21"/>
  <c r="AW14" i="21"/>
  <c r="BG15" i="21"/>
  <c r="BE15" i="21" s="1"/>
  <c r="BH16" i="21"/>
  <c r="AZ18" i="21"/>
  <c r="BA18" i="21"/>
  <c r="BA13" i="21"/>
  <c r="AY5" i="21"/>
  <c r="BA7" i="21"/>
  <c r="BE8" i="21"/>
  <c r="BC9" i="21"/>
  <c r="BC13" i="21"/>
  <c r="BF15" i="21"/>
  <c r="AY17" i="21"/>
  <c r="BF18" i="21"/>
  <c r="BD2" i="21"/>
  <c r="BG4" i="21"/>
  <c r="BF6" i="21"/>
  <c r="BB8" i="21"/>
  <c r="AV10" i="21"/>
  <c r="BD10" i="21"/>
  <c r="AW11" i="21"/>
  <c r="AX12" i="21"/>
  <c r="BG12" i="21"/>
  <c r="AZ14" i="21"/>
  <c r="BF14" i="21"/>
  <c r="BB16" i="21"/>
  <c r="AU17" i="21"/>
  <c r="BC17" i="21"/>
  <c r="AV18" i="21"/>
  <c r="BD18" i="21"/>
  <c r="AW19" i="21"/>
  <c r="AX20" i="21"/>
  <c r="BG20" i="21"/>
  <c r="BB4" i="21"/>
  <c r="BB3" i="21"/>
  <c r="AV2" i="21"/>
  <c r="AW3" i="21"/>
  <c r="AX4" i="21"/>
  <c r="AZ6" i="21"/>
  <c r="AW2" i="21"/>
  <c r="AX3" i="21"/>
  <c r="BG3" i="21"/>
  <c r="AY4" i="21"/>
  <c r="BH4" i="21"/>
  <c r="AZ5" i="21"/>
  <c r="BF5" i="21"/>
  <c r="BA6" i="21"/>
  <c r="BB7" i="21"/>
  <c r="AU8" i="21"/>
  <c r="BC8" i="21"/>
  <c r="AV9" i="21"/>
  <c r="BD9" i="21"/>
  <c r="AW10" i="21"/>
  <c r="AX11" i="21"/>
  <c r="BG11" i="21"/>
  <c r="AY12" i="21"/>
  <c r="BH12" i="21"/>
  <c r="AZ13" i="21"/>
  <c r="BF13" i="21"/>
  <c r="BA14" i="21"/>
  <c r="BB15" i="21"/>
  <c r="AU16" i="21"/>
  <c r="BC16" i="21"/>
  <c r="AV17" i="21"/>
  <c r="BD17" i="21"/>
  <c r="AW18" i="21"/>
  <c r="AX19" i="21"/>
  <c r="BG19" i="21"/>
  <c r="AY20" i="21"/>
  <c r="BH20" i="21"/>
  <c r="AX2" i="21"/>
  <c r="AY3" i="21"/>
  <c r="AZ4" i="21"/>
  <c r="BB6" i="21"/>
  <c r="AV8" i="21"/>
  <c r="BD8" i="21"/>
  <c r="AX10" i="21"/>
  <c r="BG10" i="21"/>
  <c r="AY11" i="21"/>
  <c r="BH11" i="21"/>
  <c r="AZ12" i="21"/>
  <c r="BF12" i="21"/>
  <c r="BB14" i="21"/>
  <c r="AU15" i="21"/>
  <c r="BC15" i="21"/>
  <c r="AV16" i="21"/>
  <c r="BD16" i="21"/>
  <c r="AW17" i="21"/>
  <c r="AX18" i="21"/>
  <c r="BG18" i="21"/>
  <c r="AY19" i="21"/>
  <c r="BH19" i="21"/>
  <c r="AZ20" i="21"/>
  <c r="BF20" i="21"/>
  <c r="BG2" i="21"/>
  <c r="BH3" i="21"/>
  <c r="BF4" i="21"/>
  <c r="AY2" i="21"/>
  <c r="BH2" i="21"/>
  <c r="AZ3" i="21"/>
  <c r="BF3" i="21"/>
  <c r="BA4" i="21"/>
  <c r="AU6" i="21"/>
  <c r="BC6" i="21"/>
  <c r="AV7" i="21"/>
  <c r="AW8" i="21"/>
  <c r="AX9" i="21"/>
  <c r="BG9" i="21"/>
  <c r="BE9" i="21" s="1"/>
  <c r="AY10" i="21"/>
  <c r="BH10" i="21"/>
  <c r="AZ11" i="21"/>
  <c r="BF11" i="21"/>
  <c r="BA12" i="21"/>
  <c r="AU14" i="21"/>
  <c r="BC14" i="21"/>
  <c r="AV15" i="21"/>
  <c r="AW16" i="21"/>
  <c r="AX17" i="21"/>
  <c r="BG17" i="21"/>
  <c r="AY18" i="21"/>
  <c r="BH18" i="21"/>
  <c r="AZ19" i="21"/>
  <c r="BF19" i="21"/>
  <c r="BA20" i="21"/>
  <c r="BA11" i="21"/>
  <c r="BB12" i="21"/>
  <c r="BA19" i="21"/>
  <c r="BB20" i="21"/>
  <c r="BC4" i="21"/>
  <c r="BB11" i="21"/>
  <c r="AU12" i="21"/>
  <c r="BC12" i="21"/>
  <c r="BB19" i="21"/>
  <c r="AU20" i="21"/>
  <c r="BC20" i="21"/>
  <c r="AU3" i="21"/>
  <c r="AV4" i="21"/>
  <c r="AX6" i="21"/>
  <c r="BG6" i="21"/>
  <c r="BE6" i="21" s="1"/>
  <c r="AZ8" i="21"/>
  <c r="BF8" i="21"/>
  <c r="BB10" i="21"/>
  <c r="AU11" i="21"/>
  <c r="BC11" i="21"/>
  <c r="AV12" i="21"/>
  <c r="BD12" i="21"/>
  <c r="AX14" i="21"/>
  <c r="BG14" i="21"/>
  <c r="BE14" i="21" s="1"/>
  <c r="BF16" i="21"/>
  <c r="BB18" i="21"/>
  <c r="AU19" i="21"/>
  <c r="BC19" i="21"/>
  <c r="AV20" i="21"/>
  <c r="BD20" i="21"/>
  <c r="BA3" i="21"/>
  <c r="AU4" i="21"/>
  <c r="BB2" i="21"/>
  <c r="BC3" i="21"/>
  <c r="BD4" i="21"/>
  <c r="AU2" i="21"/>
  <c r="AV3" i="21"/>
  <c r="AY6" i="21"/>
  <c r="AU10" i="21"/>
  <c r="AV11" i="21"/>
  <c r="AY14" i="21"/>
  <c r="AU18" i="21"/>
  <c r="AV19" i="21"/>
  <c r="BE7" i="21" l="1"/>
  <c r="BE16" i="21"/>
  <c r="BE17" i="21"/>
  <c r="BE13" i="21"/>
  <c r="BE10" i="21"/>
  <c r="BE19" i="21"/>
  <c r="BE18" i="21"/>
  <c r="BE3" i="21"/>
  <c r="BE20" i="21"/>
  <c r="BE4" i="21"/>
  <c r="BE2" i="21"/>
  <c r="BE11" i="21"/>
  <c r="BE12" i="21"/>
</calcChain>
</file>

<file path=xl/sharedStrings.xml><?xml version="1.0" encoding="utf-8"?>
<sst xmlns="http://schemas.openxmlformats.org/spreadsheetml/2006/main" count="210" uniqueCount="130">
  <si>
    <t>Sr No</t>
  </si>
  <si>
    <t>Department</t>
  </si>
  <si>
    <t>Project Name</t>
  </si>
  <si>
    <t>Module</t>
  </si>
  <si>
    <t>Name of Sub Modules</t>
  </si>
  <si>
    <t xml:space="preserve"> Features/Functionality</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</si>
  <si>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</si>
  <si>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</si>
  <si>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</si>
  <si>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</si>
  <si>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</si>
  <si>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</si>
  <si>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</si>
  <si>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</si>
  <si>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</si>
  <si>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</si>
  <si>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</si>
  <si>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</si>
  <si>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</si>
  <si>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</si>
  <si>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</si>
  <si>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</si>
  <si>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</si>
  <si>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</si>
  <si>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</si>
  <si>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</si>
  <si>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</si>
  <si>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</si>
  <si>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</si>
  <si>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</si>
  <si>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</si>
  <si>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</si>
  <si>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</si>
  <si>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</si>
  <si>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</si>
  <si>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</si>
  <si>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</si>
  <si>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</si>
  <si>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</si>
  <si>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Requirement Rate</t>
  </si>
  <si>
    <t>Design Rate</t>
  </si>
  <si>
    <t>Code Rate</t>
  </si>
  <si>
    <t>Testing Rate</t>
  </si>
  <si>
    <t>Req_Rate</t>
  </si>
  <si>
    <t>Des_Rate</t>
  </si>
  <si>
    <t>Code_Rate</t>
  </si>
  <si>
    <t>Test_Rate</t>
  </si>
  <si>
    <t>Cycle Time</t>
  </si>
  <si>
    <t>Req_CT</t>
  </si>
  <si>
    <t>Des_CT</t>
  </si>
  <si>
    <t>Code_CT</t>
  </si>
  <si>
    <t>Test_CT</t>
  </si>
  <si>
    <t>Total Review Defects</t>
  </si>
  <si>
    <t>Internal Testing</t>
  </si>
  <si>
    <t>Public Health Engineering Department</t>
  </si>
  <si>
    <t>Jal Rekha</t>
  </si>
  <si>
    <t>FHTC</t>
  </si>
  <si>
    <t>FE / Reports</t>
  </si>
  <si>
    <t>Change request FHTC</t>
  </si>
  <si>
    <t>1) Earlier we used NIC services for API Integration. Now updated to Samagra API
2) Updated APK through API to integrate with Samagra
3) Updated Entries for New HSC Report
4) Contractor update the beneficiary tap connection with photograph to GM</t>
  </si>
  <si>
    <t>O&amp;M Billing</t>
  </si>
  <si>
    <t>GM</t>
  </si>
  <si>
    <t xml:space="preserve">1) GM of  O&amp;M module Login and fill basic details
2) GM Advance form details SLBM features &amp; other additional functionalities, scheme status 
3) GM Scheme status and financial calculation for billing 
4) GM uploads documents and data is fetched from Dhara and Nirmal module
5) GM under a scheme assign it to a Contractor 
6) Contractor generate Bill
7) GM PIU or SQC Edit it and forward to GM of O&amp;M then to PMC
8) All can check remarks then forward to Deputy Manager will only processs final bill amount with further remarks
9) PMC recommendations letter annexure duly verified
</t>
  </si>
  <si>
    <t>Contractor</t>
  </si>
  <si>
    <t xml:space="preserve">1) Contractor Basic details, Advance details
2) Fill Financial Calculations as per CPI
3) O&amp;M Billing PIU and SQC page development 
4) O&amp;M Billing Manpower page development &amp; Residual Pressure SP
5) O&amp;M Mapping Bulk users, Gross Bill Deduction, &amp; Net Payable Bill
6) O&amp;M Billing Process for RM &amp; Village &amp; Mapping Management Norms
7) Dhara water supply entries from Portal
</t>
  </si>
  <si>
    <t>Workflow b/w O&amp;M GM &amp; Higher officials</t>
  </si>
  <si>
    <t>1) Establish flow between GM, Contractor 
2) GM O&amp;M, CGM, PD, CFO, CA then MD final approval of bill and status
3) Retrieve all RA bill data correctly &amp; Prepare test data in om_ra_bill table
4) RA Bill is based on scheme id &amp; contractor id, always choose bill month &amp; increment after first year and next month 1 days
5) Edit option and resend to PIU GM then GM send to Contractor.</t>
  </si>
  <si>
    <t>Change request O&amp;M Billing</t>
  </si>
  <si>
    <t>1) Save as Draft at time of entry by GM
2) Census Population location hierarchy needs to be corrected and Next change to make Census population open
3) SLBM Section fields Quality, Quantity, Pressure, UFW, and Complaint, an "Other" option should be added to both the Norms and Penalty dropdowns
4) Changes for Penalty label (Name, Radio button)
5) Type of Increment for CPIW &amp; Yearly calculation changes
6) Scheme Status section ( View Document, Eligibility Increment, Year month update for O &amp; M start &amp; end date)
7) GST services option open for O &amp;M
8) Document upload Yes/No where if done then freeze the screen</t>
  </si>
  <si>
    <t>Bharosa</t>
  </si>
  <si>
    <t>Factory Testing Web</t>
  </si>
  <si>
    <t xml:space="preserve">1) Assign Components to concerned Role 
2) Review and visualize generated report of test samples
3) New Vendor to be added
4) Create API and Service for Bharosa insert and get Inspector Details </t>
  </si>
  <si>
    <t>Factory Testing Mobile</t>
  </si>
  <si>
    <t xml:space="preserve">1) Bharosa Factory testing module entry
2) Fetch Components details as assigned by GM
3) Fill Details on Mobile app of inspector &amp; Component to be tested
4) Upload Doc, Images and Videos
5) Increased count of Inspector
</t>
  </si>
  <si>
    <t>Dhara Rework</t>
  </si>
  <si>
    <t>Change Request - GM PIU User/ TL</t>
  </si>
  <si>
    <t>Change Request - FE / Mobile User</t>
  </si>
  <si>
    <t xml:space="preserve">1)  Assigned Habitation wise mapping to FE
2) Updated few changes in the parameters of meter - Meter functional, Meter not functional, Meter replace, No water supply where default value was set.
3) Assigned WTP meter where entries are repeated for OHT mapping 
</t>
  </si>
  <si>
    <t>Change Request - Admin / Contractor Report View</t>
  </si>
  <si>
    <t>1) View Updated / Changed Water Supply Reports -                                    
  a) DWSR Report  b) MWSR Report  c) Scheme wise report  d) village wise report  e) Bulk user reports  f) UFW Report
2) Drill down features for all reports &amp; correct mapping data
3) Updated changes in Reports ( DWSR, MWSR, Village wise , scheme wise, UFWR)
4) Updated Bulk user report &amp; Dhara Report added at Home Screen of Jal Rekha Portal on public domain
5) CMMI Documentation</t>
  </si>
  <si>
    <t>Master</t>
  </si>
  <si>
    <t>Change Request - GM / Contractor</t>
  </si>
  <si>
    <t xml:space="preserve">Change Request - FE Pipeline Mater </t>
  </si>
  <si>
    <t>1) Updated Pipeline master data integration with RFI Module at various stage
2) Mapping habitations and data issues at PIU level</t>
  </si>
  <si>
    <t>Nirmal</t>
  </si>
  <si>
    <t xml:space="preserve">Change request - WTP, OHT Report </t>
  </si>
  <si>
    <t>1) WTP Report parameter changes
2) Contractor/FE  login - WTP, Intake buffer increase to 200 meter for Raw water sample collection on</t>
  </si>
  <si>
    <t>Change Request - Beneficiary Report</t>
  </si>
  <si>
    <t xml:space="preserve">1) Range facility provided for Date option
2) According to Water sample ID provided search option in the report </t>
  </si>
  <si>
    <t>Sahbhagita</t>
  </si>
  <si>
    <t>Sahbhagita Reports</t>
  </si>
  <si>
    <t>1) Report Modification shown</t>
  </si>
  <si>
    <t>Change Request -GM / PM</t>
  </si>
  <si>
    <t>1) GM login - Sahbhagita report view chnages village wise triggers
2) PM - Video Upload option in sahbhagita activity</t>
  </si>
  <si>
    <t>Sopan</t>
  </si>
  <si>
    <t>Change Request - Contractor (Web / Mobile)</t>
  </si>
  <si>
    <t>1) Conventional &amp; Precast separate option provided for OHT Work  plan start, plan end date on each stage
2) Delete option provided for wrong entry in conventional &amp; then entry in precast OHT
3) Changes in WTP and IPS Forms at each stage
4) Mobile apk changed for - OHT completed in Sopan will not be shown in RFI request Anusharavan module for contractor login
5) Sopan IPS Component updated</t>
  </si>
  <si>
    <t xml:space="preserve">Change Request - GM Document Upload &amp; Reports </t>
  </si>
  <si>
    <t xml:space="preserve">AS-IS </t>
  </si>
  <si>
    <t xml:space="preserve">Mean </t>
  </si>
  <si>
    <t xml:space="preserve">SD </t>
  </si>
  <si>
    <t xml:space="preserve">UCL </t>
  </si>
  <si>
    <t xml:space="preserve">LCL </t>
  </si>
  <si>
    <t>Target</t>
  </si>
  <si>
    <t xml:space="preserve">What if </t>
  </si>
  <si>
    <t xml:space="preserve">USL </t>
  </si>
  <si>
    <t>LSL</t>
  </si>
  <si>
    <t>mean</t>
  </si>
  <si>
    <t>ucl</t>
  </si>
  <si>
    <t>lcl</t>
  </si>
  <si>
    <t>sd</t>
  </si>
  <si>
    <t xml:space="preserve">Action Plan </t>
  </si>
  <si>
    <t>How to Improve Code Rate</t>
  </si>
  <si>
    <t>How to Improve Test  Rate</t>
  </si>
  <si>
    <t>Cycle time</t>
  </si>
  <si>
    <t>Regression Equation</t>
  </si>
  <si>
    <t>=</t>
  </si>
  <si>
    <t>1. Outlier Analysis</t>
  </si>
  <si>
    <t xml:space="preserve">2. Action Plan for Improvement </t>
  </si>
  <si>
    <t>1) Updated  Habitation Mapping functionality to each OHT or by OHT wise and provided VC training
2) Assigned functionality to FE Mobile user 
3) CWGM/CWPM (WTP) functionality added for inside and outside scheme villages mapping and provided VC training
4) Month wise open/close records - To approve/fill meter reading month wise of each component - Intake
5) Month wise open/close records - To approve/fill meter reading month wise of each component - OHT
6) Month wise open/close records - To approve/fill meter reading month wise of each component - WTP
7) Month wise open/close records - To approve/fill meter reading month wise of each component - Bulk User
8) Intake,wtp,oht and Village meter reading modification in web
9) update meter survey for Intake,wtp,oht and Village 
10) For WTP added meters
11) Now all village and habitation open for  OHT mapping in the scheme
12) CMMI Documentation</t>
  </si>
  <si>
    <t>1) Mapping village and its components with Water supply through other Scheme of PIU
2) Pipeline master zone numbers are added at contractor level
3)  Edit functionality provided to contractor before final submission
4) Updated Bulk Meter village mapping
5) Mapping through habitation of scheme village and OHT
6) Mapping  outside scheme village also map
7) WTP meter mapping option added for all 147 schemes
8) CMMI Documentation</t>
  </si>
  <si>
    <t>1) If contractor filled wrong details then GM can edit and can update actual date and freeze option at each stage
2) Drill down functionality, Plan date and actual date by each OHT wise in the reports - Mapping, Monitoring, &amp; Report                                                       
3) Drill down functionality, Plan date and actual date by each WTP wise in the reports - Mapping, Monitoring, &amp; Report
4) Drill down functionality, Plan date and actual date by each Intake wise in the reports - Mapping, Monitoring, &amp; Report
5) Prepare the report with total Panchanama count and total uploaded design data
6) Changes in Panchnama and design drawing separated into pdf format with upload feature            
7) CMMI Documentation</t>
  </si>
  <si>
    <t>1) FE Login - Visit Each Village Household   API  Integration
2) FE login - Connection Tap check, Update and upload with Beneficiary &amp; Tap Photo
3) FE login - Connection rejected (Not proper)  then send it to GM &amp; contractor
4) FE login - Connection accepted then send it to GM
5) API Whitelisting
6) NIC API Integration 
7) HSC Report with all details and photo of beneficiary (mandatory) for FHTC
8) FE send rejected Tap Connection send to Contractor</t>
  </si>
  <si>
    <t xml:space="preserve">Code Review Per Size </t>
  </si>
  <si>
    <t>DRE-1</t>
  </si>
  <si>
    <t>*</t>
  </si>
  <si>
    <t>0.08923 + 0.1335 Code_Rate + 0.03471 Test_Rate</t>
  </si>
  <si>
    <t>-0.131 + 2.166 Code_CT + 1.899 Test_CT</t>
  </si>
  <si>
    <t>Code Review Per Size</t>
  </si>
  <si>
    <t>0.6449 + 1.834 Code Review Per Size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</si>
</sst>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quot;-&quot;mm&quot;-&quot;yyyy"/>
    <numFmt numFmtId="165" formatCode="0.000"/>
  </numFmts>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color theme="1"/>
      <name val="Calibri"/>
      <family val="2"/>
    </font>
    <font>
      <sz val="11"/>
      <name val="Calibri"/>
      <family val="2"/>
    </font>
    <font>
      <sz val="11"/>
      <color rgb="FFFF0000"/>
      <name val="Calibri"/>
      <family val="2"/>
    </font>
    <font>
      <sz val="11"/>
      <color theme="1"/>
      <name val="Calibri"/>
      <family val="2"/>
    </font>
    <font>
      <b/>
      <sz val="11"/>
      <color theme="1"/>
      <name val="Calibri"/>
      <family val="2"/>
      <scheme val="minor"/>
    </font>
    <font>
      <sz val="10"/>
      <name val="Arial"/>
      <family val="2"/>
    </font>
  </fonts>
  <fills count="13">
    <fill>
      <patternFill patternType="none"/>
    </fill>
    <fill>
      <patternFill patternType="gray125"/>
    </fill>
    <fill>
      <patternFill patternType="solid">
        <fgColor rgb="FFC1D7D7"/>
        <bgColor rgb="FFC1D7D7"/>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rgb="FF00B0F0"/>
        <bgColor rgb="FF00B0F0"/>
      </patternFill>
    </fill>
    <fill>
      <patternFill patternType="solid">
        <fgColor rgb="FFB4C6E7"/>
        <bgColor rgb="FFB4C6E7"/>
      </patternFill>
    </fill>
    <fill>
      <patternFill patternType="solid">
        <fgColor theme="0"/>
        <bgColor theme="0"/>
      </patternFill>
    </fill>
    <fill>
      <patternFill patternType="solid">
        <fgColor rgb="FFFFFFFF"/>
        <bgColor rgb="FFFFFFFF"/>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000000"/>
      </left>
      <right/>
      <top style="thin">
        <color rgb="FF000000"/>
      </top>
      <bottom style="thin">
        <color rgb="FF000000"/>
      </bottom>
      <diagonal/>
    </border>
  </borders>
  <cellStyleXfs count="4">
    <xf numFmtId="0" fontId="0" fillId="0" borderId="0"/>
    <xf numFmtId="0" fontId="4" fillId="0" borderId="0"/>
    <xf numFmtId="0" fontId="11" fillId="0" borderId="0"/>
    <xf numFmtId="9" fontId="4" fillId="0" borderId="0" applyFont="0" applyFill="0" applyBorder="0" applyAlignment="0" applyProtection="0"/>
  </cellStyleXfs>
  <cellXfs count="76">
    <xf numFmtId="0" fontId="0" fillId="0" borderId="0" xfId="0"/>
    <xf numFmtId="0" fontId="5" fillId="2" borderId="1" xfId="0" applyFont="1" applyFill="1" applyBorder="1" applyAlignment="1">
      <alignment horizontal="left" vertical="top" wrapText="1"/>
    </xf>
    <xf numFmtId="0" fontId="5" fillId="2" borderId="1" xfId="0" applyFont="1" applyFill="1" applyBorder="1" applyAlignment="1">
      <alignment horizontal="center" vertical="top" wrapText="1"/>
    </xf>
    <xf numFmtId="0" fontId="5" fillId="3"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2"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3" borderId="1" xfId="0" applyFont="1" applyFill="1" applyBorder="1" applyAlignment="1">
      <alignment vertical="top" wrapText="1"/>
    </xf>
    <xf numFmtId="0" fontId="6" fillId="0" borderId="1" xfId="0" applyFont="1" applyBorder="1" applyAlignment="1">
      <alignment horizontal="left" vertical="center"/>
    </xf>
    <xf numFmtId="0" fontId="6" fillId="4" borderId="1" xfId="0" applyFont="1" applyFill="1" applyBorder="1" applyAlignment="1">
      <alignment horizontal="left" vertical="center" wrapText="1"/>
    </xf>
    <xf numFmtId="0" fontId="6" fillId="0" borderId="1" xfId="0" applyFont="1" applyBorder="1" applyAlignment="1">
      <alignment horizontal="left" vertical="top" wrapText="1"/>
    </xf>
    <xf numFmtId="0" fontId="6" fillId="0" borderId="1" xfId="0" applyFont="1" applyBorder="1" applyAlignment="1">
      <alignment horizontal="center" vertical="center"/>
    </xf>
    <xf numFmtId="164" fontId="6" fillId="8" borderId="1" xfId="0" applyNumberFormat="1" applyFont="1" applyFill="1" applyBorder="1" applyAlignment="1">
      <alignment vertical="center"/>
    </xf>
    <xf numFmtId="0" fontId="6" fillId="0" borderId="1" xfId="0" applyFont="1" applyBorder="1" applyAlignment="1">
      <alignment vertical="center"/>
    </xf>
    <xf numFmtId="0" fontId="8" fillId="4" borderId="1" xfId="0" applyFont="1" applyFill="1" applyBorder="1" applyAlignment="1">
      <alignment horizontal="left" vertical="center" wrapText="1"/>
    </xf>
    <xf numFmtId="0" fontId="6" fillId="0" borderId="1" xfId="0" applyFont="1" applyBorder="1" applyAlignment="1">
      <alignment horizontal="left"/>
    </xf>
    <xf numFmtId="0" fontId="6" fillId="4" borderId="1" xfId="0" applyFont="1" applyFill="1" applyBorder="1" applyAlignment="1">
      <alignment vertical="center" wrapText="1"/>
    </xf>
    <xf numFmtId="0" fontId="6" fillId="0" borderId="1" xfId="0" applyFont="1" applyBorder="1"/>
    <xf numFmtId="0" fontId="6" fillId="9" borderId="1" xfId="0" applyFont="1" applyFill="1" applyBorder="1" applyAlignment="1">
      <alignment horizontal="center" vertical="center"/>
    </xf>
    <xf numFmtId="0" fontId="6" fillId="8" borderId="1" xfId="0" applyFont="1" applyFill="1" applyBorder="1" applyAlignment="1">
      <alignment horizontal="center" vertical="center"/>
    </xf>
    <xf numFmtId="0" fontId="8" fillId="4" borderId="1" xfId="0" applyFont="1" applyFill="1" applyBorder="1" applyAlignment="1">
      <alignment vertical="center" wrapText="1"/>
    </xf>
    <xf numFmtId="0" fontId="6" fillId="4" borderId="1" xfId="0" applyFont="1" applyFill="1" applyBorder="1" applyAlignment="1">
      <alignment horizontal="center" vertical="center" wrapText="1"/>
    </xf>
    <xf numFmtId="164" fontId="6" fillId="9" borderId="1" xfId="0" applyNumberFormat="1" applyFont="1" applyFill="1" applyBorder="1" applyAlignment="1">
      <alignment vertical="center"/>
    </xf>
    <xf numFmtId="164" fontId="9" fillId="0" borderId="1" xfId="0" applyNumberFormat="1" applyFont="1" applyBorder="1" applyAlignment="1">
      <alignment horizontal="left" vertical="center"/>
    </xf>
    <xf numFmtId="0" fontId="6" fillId="0" borderId="0" xfId="0" applyFont="1" applyAlignment="1">
      <alignment horizontal="left" vertical="top"/>
    </xf>
    <xf numFmtId="0" fontId="4" fillId="0" borderId="0" xfId="0" applyFont="1"/>
    <xf numFmtId="0" fontId="4" fillId="0" borderId="0" xfId="1"/>
    <xf numFmtId="0" fontId="10" fillId="0" borderId="5" xfId="1" applyFont="1" applyBorder="1" applyAlignment="1">
      <alignment vertical="top"/>
    </xf>
    <xf numFmtId="0" fontId="4" fillId="0" borderId="5" xfId="1" applyBorder="1" applyAlignment="1">
      <alignment vertical="top"/>
    </xf>
    <xf numFmtId="165" fontId="4" fillId="0" borderId="5" xfId="1" applyNumberFormat="1" applyBorder="1" applyAlignment="1">
      <alignment vertical="top"/>
    </xf>
    <xf numFmtId="0" fontId="4" fillId="10" borderId="5" xfId="1" applyFill="1" applyBorder="1"/>
    <xf numFmtId="0" fontId="4" fillId="0" borderId="5" xfId="1" applyBorder="1"/>
    <xf numFmtId="2" fontId="4" fillId="0" borderId="0" xfId="3" applyNumberFormat="1" applyFont="1"/>
    <xf numFmtId="2" fontId="10" fillId="0" borderId="5" xfId="0" applyNumberFormat="1" applyFont="1" applyBorder="1"/>
    <xf numFmtId="2" fontId="10" fillId="0" borderId="6" xfId="0" applyNumberFormat="1" applyFont="1" applyBorder="1"/>
    <xf numFmtId="0" fontId="4" fillId="0" borderId="0" xfId="1" applyAlignment="1">
      <alignment vertical="top"/>
    </xf>
    <xf numFmtId="165" fontId="4" fillId="0" borderId="5" xfId="1" applyNumberFormat="1" applyBorder="1" applyAlignment="1">
      <alignment horizontal="center" vertical="top"/>
    </xf>
    <xf numFmtId="165" fontId="0" fillId="0" borderId="0" xfId="0" applyNumberFormat="1"/>
    <xf numFmtId="0" fontId="5" fillId="2" borderId="7" xfId="0" applyFont="1" applyFill="1" applyBorder="1" applyAlignment="1">
      <alignment vertical="top" wrapText="1"/>
    </xf>
    <xf numFmtId="0" fontId="6" fillId="0" borderId="7" xfId="0" applyFont="1" applyBorder="1" applyAlignment="1">
      <alignment horizontal="left" vertical="center"/>
    </xf>
    <xf numFmtId="0" fontId="5" fillId="2" borderId="5" xfId="0" applyFont="1" applyFill="1" applyBorder="1" applyAlignment="1">
      <alignment vertical="top" wrapText="1"/>
    </xf>
    <xf numFmtId="0" fontId="0" fillId="0" borderId="5" xfId="0" applyBorder="1" applyAlignment="1">
      <alignment vertical="center"/>
    </xf>
    <xf numFmtId="2" fontId="4" fillId="11" borderId="5" xfId="1" applyNumberFormat="1" applyFill="1" applyBorder="1" applyAlignment="1">
      <alignment vertical="top"/>
    </xf>
    <xf numFmtId="0" fontId="4" fillId="11" borderId="5" xfId="1" applyFill="1" applyBorder="1" applyAlignment="1">
      <alignment vertical="top"/>
    </xf>
    <xf numFmtId="0" fontId="4" fillId="11" borderId="5" xfId="1" applyFill="1" applyBorder="1"/>
    <xf numFmtId="0" fontId="3" fillId="0" borderId="0" xfId="0" applyFont="1"/>
    <xf numFmtId="0" fontId="10" fillId="0" borderId="0" xfId="0" applyFont="1"/>
    <xf numFmtId="0" fontId="2" fillId="0" borderId="0" xfId="0" applyFont="1"/>
    <xf numFmtId="0" fontId="0" fillId="0" borderId="5" xfId="0" applyBorder="1" applyAlignment="1">
      <alignment vertical="top"/>
    </xf>
    <xf numFmtId="0" fontId="10" fillId="0" borderId="5" xfId="0" applyFont="1" applyBorder="1" applyAlignment="1">
      <alignment vertical="top"/>
    </xf>
    <xf numFmtId="0" fontId="10" fillId="0" borderId="5" xfId="0" applyFont="1" applyBorder="1"/>
    <xf numFmtId="0" fontId="2" fillId="0" borderId="5" xfId="0" applyFont="1" applyBorder="1"/>
    <xf numFmtId="0" fontId="0" fillId="0" borderId="5" xfId="0" applyBorder="1"/>
    <xf numFmtId="165" fontId="0" fillId="0" borderId="5" xfId="0" applyNumberFormat="1" applyBorder="1" applyAlignment="1">
      <alignment vertical="top"/>
    </xf>
    <xf numFmtId="0" fontId="0" fillId="0" borderId="0" xfId="0" applyAlignment="1">
      <alignment vertical="top"/>
    </xf>
    <xf numFmtId="0" fontId="0" fillId="11" borderId="5" xfId="0" applyFill="1" applyBorder="1" applyAlignment="1">
      <alignment vertical="top"/>
    </xf>
    <xf numFmtId="0" fontId="0" fillId="11" borderId="5" xfId="0" applyFill="1" applyBorder="1"/>
    <xf numFmtId="0" fontId="0" fillId="0" borderId="5" xfId="0" applyBorder="1" applyAlignment="1">
      <alignment horizontal="center"/>
    </xf>
    <xf numFmtId="2" fontId="4" fillId="11" borderId="5" xfId="1" applyNumberFormat="1" applyFill="1" applyBorder="1" applyAlignment="1">
      <alignment horizontal="center" vertical="top"/>
    </xf>
    <xf numFmtId="2" fontId="2" fillId="0" borderId="0" xfId="3" applyNumberFormat="1" applyFont="1"/>
    <xf numFmtId="2" fontId="4" fillId="0" borderId="5" xfId="1" applyNumberFormat="1" applyBorder="1" applyAlignment="1">
      <alignment horizontal="center" vertical="top"/>
    </xf>
    <xf numFmtId="0" fontId="0" fillId="11" borderId="5" xfId="0" applyFill="1" applyBorder="1" applyAlignment="1">
      <alignment horizontal="center"/>
    </xf>
    <xf numFmtId="165" fontId="3" fillId="0" borderId="0" xfId="0" applyNumberFormat="1" applyFont="1"/>
    <xf numFmtId="165" fontId="0" fillId="10" borderId="0" xfId="0" applyNumberFormat="1" applyFill="1"/>
    <xf numFmtId="0" fontId="6" fillId="10" borderId="1" xfId="0" applyFont="1" applyFill="1" applyBorder="1" applyAlignment="1">
      <alignment horizontal="center" vertical="center"/>
    </xf>
    <xf numFmtId="0" fontId="1" fillId="0" borderId="0" xfId="0" applyFont="1"/>
    <xf numFmtId="165" fontId="1" fillId="0" borderId="0" xfId="0" applyNumberFormat="1" applyFont="1"/>
    <xf numFmtId="165" fontId="1" fillId="12" borderId="0" xfId="0" applyNumberFormat="1" applyFont="1" applyFill="1"/>
    <xf numFmtId="0" fontId="0" fillId="12" borderId="5" xfId="0" applyFill="1" applyBorder="1" applyAlignment="1">
      <alignment horizontal="center"/>
    </xf>
    <xf numFmtId="0" fontId="6" fillId="4" borderId="2" xfId="0" applyFont="1" applyFill="1" applyBorder="1" applyAlignment="1">
      <alignment horizontal="center" vertical="center"/>
    </xf>
    <xf numFmtId="0" fontId="7" fillId="0" borderId="3" xfId="0" applyFont="1" applyBorder="1"/>
    <xf numFmtId="0" fontId="6" fillId="4" borderId="2" xfId="0" applyFont="1" applyFill="1" applyBorder="1" applyAlignment="1">
      <alignment horizontal="center" vertical="center" wrapText="1"/>
    </xf>
    <xf numFmtId="0" fontId="7" fillId="0" borderId="4" xfId="0" applyFont="1" applyBorder="1"/>
    <xf numFmtId="0" fontId="6" fillId="4" borderId="2" xfId="0" applyFont="1" applyFill="1" applyBorder="1" applyAlignment="1">
      <alignment vertical="center" wrapText="1"/>
    </xf>
  </cellXfs>
  <cellStyles count="4">
    <cellStyle name="Normal" xfId="0" builtinId="0"/>
    <cellStyle name="Normal 2" xfId="2"/>
    <cellStyle name="Normal 3" xfId="1"/>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274321</xdr:colOff>
      <xdr:row>20</xdr:row>
      <xdr:rowOff>157480</xdr:rowOff>
    </xdr:to>
    <xdr:pic>
      <xdr:nvPicPr>
        <xdr:cNvPr id="2" name="Picture 1"/>
        <xdr:cNvPicPr>
          <a:picLocks noChangeAspect="1"/>
        </xdr:cNvPicPr>
      </xdr:nvPicPr>
      <xdr:blipFill>
        <a:blip xmlns:r="http://schemas.openxmlformats.org/officeDocument/2006/relationships" r:embed="rId1"/>
        <a:stretch>
          <a:fillRect/>
        </a:stretch>
      </xdr:blipFill>
      <xdr:spPr>
        <a:xfrm>
          <a:off x="3657600" y="0"/>
          <a:ext cx="5760720" cy="3840480"/>
        </a:xfrm>
        <a:prstGeom prst="rect">
          <a:avLst/>
        </a:prstGeom>
      </xdr:spPr>
    </xdr:pic>
    <xdr:clientData/>
  </xdr:twoCellAnchor>
  <xdr:twoCellAnchor editAs="oneCell">
    <xdr:from>
      <xdr:col>14</xdr:col>
      <xdr:colOff>0</xdr:colOff>
      <xdr:row>0</xdr:row>
      <xdr:rowOff>0</xdr:rowOff>
    </xdr:from>
    <xdr:to>
      <xdr:col>23</xdr:col>
      <xdr:colOff>274320</xdr:colOff>
      <xdr:row>20</xdr:row>
      <xdr:rowOff>157480</xdr:rowOff>
    </xdr:to>
    <xdr:pic>
      <xdr:nvPicPr>
        <xdr:cNvPr id="3" name="Picture 2"/>
        <xdr:cNvPicPr>
          <a:picLocks noChangeAspect="1"/>
        </xdr:cNvPicPr>
      </xdr:nvPicPr>
      <xdr:blipFill>
        <a:blip xmlns:r="http://schemas.openxmlformats.org/officeDocument/2006/relationships" r:embed="rId2"/>
        <a:stretch>
          <a:fillRect/>
        </a:stretch>
      </xdr:blipFill>
      <xdr:spPr>
        <a:xfrm>
          <a:off x="9753600" y="0"/>
          <a:ext cx="5760720" cy="3840480"/>
        </a:xfrm>
        <a:prstGeom prst="rect">
          <a:avLst/>
        </a:prstGeom>
      </xdr:spPr>
    </xdr:pic>
    <xdr:clientData/>
  </xdr:twoCellAnchor>
  <xdr:twoCellAnchor editAs="oneCell">
    <xdr:from>
      <xdr:col>24</xdr:col>
      <xdr:colOff>0</xdr:colOff>
      <xdr:row>0</xdr:row>
      <xdr:rowOff>0</xdr:rowOff>
    </xdr:from>
    <xdr:to>
      <xdr:col>33</xdr:col>
      <xdr:colOff>182880</xdr:colOff>
      <xdr:row>20</xdr:row>
      <xdr:rowOff>96520</xdr:rowOff>
    </xdr:to>
    <xdr:pic>
      <xdr:nvPicPr>
        <xdr:cNvPr id="4" name="Picture 3"/>
        <xdr:cNvPicPr>
          <a:picLocks noChangeAspect="1"/>
        </xdr:cNvPicPr>
      </xdr:nvPicPr>
      <xdr:blipFill>
        <a:blip xmlns:r="http://schemas.openxmlformats.org/officeDocument/2006/relationships" r:embed="rId3"/>
        <a:stretch>
          <a:fillRect/>
        </a:stretch>
      </xdr:blipFill>
      <xdr:spPr>
        <a:xfrm>
          <a:off x="15849600" y="0"/>
          <a:ext cx="5669280" cy="3779520"/>
        </a:xfrm>
        <a:prstGeom prst="rect">
          <a:avLst/>
        </a:prstGeom>
      </xdr:spPr>
    </xdr:pic>
    <xdr:clientData/>
  </xdr:twoCellAnchor>
  <xdr:twoCellAnchor editAs="oneCell">
    <xdr:from>
      <xdr:col>0</xdr:col>
      <xdr:colOff>0</xdr:colOff>
      <xdr:row>22</xdr:row>
      <xdr:rowOff>12701</xdr:rowOff>
    </xdr:from>
    <xdr:to>
      <xdr:col>9</xdr:col>
      <xdr:colOff>372408</xdr:colOff>
      <xdr:row>68</xdr:row>
      <xdr:rowOff>148332</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4064001"/>
          <a:ext cx="6610350" cy="86065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241300</xdr:colOff>
      <xdr:row>0</xdr:row>
      <xdr:rowOff>0</xdr:rowOff>
    </xdr:from>
    <xdr:to>
      <xdr:col>13</xdr:col>
      <xdr:colOff>149861</xdr:colOff>
      <xdr:row>19</xdr:row>
      <xdr:rowOff>97790</xdr:rowOff>
    </xdr:to>
    <xdr:pic>
      <xdr:nvPicPr>
        <xdr:cNvPr id="2" name="Picture 1"/>
        <xdr:cNvPicPr>
          <a:picLocks noChangeAspect="1"/>
        </xdr:cNvPicPr>
      </xdr:nvPicPr>
      <xdr:blipFill>
        <a:blip xmlns:r="http://schemas.openxmlformats.org/officeDocument/2006/relationships" r:embed="rId1"/>
        <a:stretch>
          <a:fillRect/>
        </a:stretch>
      </xdr:blipFill>
      <xdr:spPr>
        <a:xfrm>
          <a:off x="3898900" y="0"/>
          <a:ext cx="5394960" cy="3596640"/>
        </a:xfrm>
        <a:prstGeom prst="rect">
          <a:avLst/>
        </a:prstGeom>
      </xdr:spPr>
    </xdr:pic>
    <xdr:clientData/>
  </xdr:twoCellAnchor>
  <xdr:twoCellAnchor editAs="oneCell">
    <xdr:from>
      <xdr:col>13</xdr:col>
      <xdr:colOff>514350</xdr:colOff>
      <xdr:row>0</xdr:row>
      <xdr:rowOff>0</xdr:rowOff>
    </xdr:from>
    <xdr:to>
      <xdr:col>22</xdr:col>
      <xdr:colOff>422911</xdr:colOff>
      <xdr:row>19</xdr:row>
      <xdr:rowOff>97790</xdr:rowOff>
    </xdr:to>
    <xdr:pic>
      <xdr:nvPicPr>
        <xdr:cNvPr id="3" name="Picture 2"/>
        <xdr:cNvPicPr>
          <a:picLocks noChangeAspect="1"/>
        </xdr:cNvPicPr>
      </xdr:nvPicPr>
      <xdr:blipFill>
        <a:blip xmlns:r="http://schemas.openxmlformats.org/officeDocument/2006/relationships" r:embed="rId2"/>
        <a:stretch>
          <a:fillRect/>
        </a:stretch>
      </xdr:blipFill>
      <xdr:spPr>
        <a:xfrm>
          <a:off x="9658350" y="0"/>
          <a:ext cx="5394960" cy="3596640"/>
        </a:xfrm>
        <a:prstGeom prst="rect">
          <a:avLst/>
        </a:prstGeom>
      </xdr:spPr>
    </xdr:pic>
    <xdr:clientData/>
  </xdr:twoCellAnchor>
  <xdr:twoCellAnchor editAs="oneCell">
    <xdr:from>
      <xdr:col>23</xdr:col>
      <xdr:colOff>0</xdr:colOff>
      <xdr:row>0</xdr:row>
      <xdr:rowOff>0</xdr:rowOff>
    </xdr:from>
    <xdr:to>
      <xdr:col>31</xdr:col>
      <xdr:colOff>518160</xdr:colOff>
      <xdr:row>19</xdr:row>
      <xdr:rowOff>97790</xdr:rowOff>
    </xdr:to>
    <xdr:pic>
      <xdr:nvPicPr>
        <xdr:cNvPr id="4" name="Picture 3"/>
        <xdr:cNvPicPr>
          <a:picLocks noChangeAspect="1"/>
        </xdr:cNvPicPr>
      </xdr:nvPicPr>
      <xdr:blipFill>
        <a:blip xmlns:r="http://schemas.openxmlformats.org/officeDocument/2006/relationships" r:embed="rId3"/>
        <a:stretch>
          <a:fillRect/>
        </a:stretch>
      </xdr:blipFill>
      <xdr:spPr>
        <a:xfrm>
          <a:off x="15240000" y="0"/>
          <a:ext cx="5394960" cy="3596640"/>
        </a:xfrm>
        <a:prstGeom prst="rect">
          <a:avLst/>
        </a:prstGeom>
      </xdr:spPr>
    </xdr:pic>
    <xdr:clientData/>
  </xdr:twoCellAnchor>
  <xdr:twoCellAnchor editAs="oneCell">
    <xdr:from>
      <xdr:col>0</xdr:col>
      <xdr:colOff>127000</xdr:colOff>
      <xdr:row>22</xdr:row>
      <xdr:rowOff>155231</xdr:rowOff>
    </xdr:from>
    <xdr:to>
      <xdr:col>10</xdr:col>
      <xdr:colOff>28050</xdr:colOff>
      <xdr:row>75</xdr:row>
      <xdr:rowOff>80728</xdr:rowOff>
    </xdr:to>
    <xdr:pic>
      <xdr:nvPicPr>
        <xdr:cNvPr id="5" name="Picture 4"/>
        <xdr:cNvPicPr>
          <a:picLocks noChangeAspect="1"/>
        </xdr:cNvPicPr>
      </xdr:nvPicPr>
      <xdr:blipFill>
        <a:blip xmlns:r="http://schemas.openxmlformats.org/officeDocument/2006/relationships" r:embed="rId4"/>
        <a:stretch>
          <a:fillRect/>
        </a:stretch>
      </xdr:blipFill>
      <xdr:spPr>
        <a:xfrm>
          <a:off x="127000" y="4191009"/>
          <a:ext cx="6189698" cy="96480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17</xdr:col>
      <xdr:colOff>396240</xdr:colOff>
      <xdr:row>23</xdr:row>
      <xdr:rowOff>32572</xdr:rowOff>
    </xdr:to>
    <xdr:pic>
      <xdr:nvPicPr>
        <xdr:cNvPr id="5" name="Picture 4"/>
        <xdr:cNvPicPr>
          <a:picLocks noChangeAspect="1"/>
        </xdr:cNvPicPr>
      </xdr:nvPicPr>
      <xdr:blipFill>
        <a:blip xmlns:r="http://schemas.openxmlformats.org/officeDocument/2006/relationships" r:embed="rId1"/>
        <a:stretch>
          <a:fillRect/>
        </a:stretch>
      </xdr:blipFill>
      <xdr:spPr>
        <a:xfrm>
          <a:off x="2861235" y="0"/>
          <a:ext cx="6492240" cy="4328160"/>
        </a:xfrm>
        <a:prstGeom prst="rect">
          <a:avLst/>
        </a:prstGeom>
      </xdr:spPr>
    </xdr:pic>
    <xdr:clientData/>
  </xdr:twoCellAnchor>
  <xdr:twoCellAnchor editAs="oneCell">
    <xdr:from>
      <xdr:col>19</xdr:col>
      <xdr:colOff>0</xdr:colOff>
      <xdr:row>0</xdr:row>
      <xdr:rowOff>0</xdr:rowOff>
    </xdr:from>
    <xdr:to>
      <xdr:col>28</xdr:col>
      <xdr:colOff>355301</xdr:colOff>
      <xdr:row>22</xdr:row>
      <xdr:rowOff>97416</xdr:rowOff>
    </xdr:to>
    <xdr:pic>
      <xdr:nvPicPr>
        <xdr:cNvPr id="7" name="Picture 6"/>
        <xdr:cNvPicPr>
          <a:picLocks noChangeAspect="1"/>
        </xdr:cNvPicPr>
      </xdr:nvPicPr>
      <xdr:blipFill>
        <a:blip xmlns:r="http://schemas.openxmlformats.org/officeDocument/2006/relationships" r:embed="rId2"/>
        <a:stretch>
          <a:fillRect/>
        </a:stretch>
      </xdr:blipFill>
      <xdr:spPr>
        <a:xfrm>
          <a:off x="12528176" y="0"/>
          <a:ext cx="6309360" cy="4206240"/>
        </a:xfrm>
        <a:prstGeom prst="rect">
          <a:avLst/>
        </a:prstGeom>
      </xdr:spPr>
    </xdr:pic>
    <xdr:clientData/>
  </xdr:twoCellAnchor>
  <xdr:twoCellAnchor editAs="oneCell">
    <xdr:from>
      <xdr:col>0</xdr:col>
      <xdr:colOff>0</xdr:colOff>
      <xdr:row>24</xdr:row>
      <xdr:rowOff>0</xdr:rowOff>
    </xdr:from>
    <xdr:to>
      <xdr:col>10</xdr:col>
      <xdr:colOff>595593</xdr:colOff>
      <xdr:row>90</xdr:row>
      <xdr:rowOff>46504</xdr:rowOff>
    </xdr:to>
    <xdr:pic>
      <xdr:nvPicPr>
        <xdr:cNvPr id="9" name="Picture 8"/>
        <xdr:cNvPicPr>
          <a:picLocks noChangeAspect="1"/>
        </xdr:cNvPicPr>
      </xdr:nvPicPr>
      <xdr:blipFill>
        <a:blip xmlns:r="http://schemas.openxmlformats.org/officeDocument/2006/relationships" r:embed="rId3"/>
        <a:stretch>
          <a:fillRect/>
        </a:stretch>
      </xdr:blipFill>
      <xdr:spPr>
        <a:xfrm>
          <a:off x="0" y="4482353"/>
          <a:ext cx="7610475" cy="123729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00"/>
  <sheetViews>
    <sheetView tabSelected="1" zoomScale="70" zoomScaleNormal="70" workbookViewId="0">
      <pane ySplit="1" topLeftCell="A2" activePane="bottomLeft" state="frozen"/>
      <selection pane="bottomLeft"/>
    </sheetView>
  </sheetViews>
  <sheetFormatPr defaultColWidth="14.453125" defaultRowHeight="15" customHeight="1" x14ac:dyDescent="0.35"/>
  <cols>
    <col min="1" max="2" width="4.08984375" customWidth="1"/>
    <col min="3" max="3" width="7.08984375" customWidth="1"/>
    <col min="4" max="4" width="8.6328125" customWidth="1"/>
    <col min="5" max="5" width="16.90625" customWidth="1"/>
    <col min="6" max="6" width="59.90625" customWidth="1"/>
    <col min="7" max="7" width="4.453125" customWidth="1"/>
    <col min="8" max="11" width="8.6328125" customWidth="1"/>
    <col min="12" max="12" width="9.453125" customWidth="1"/>
    <col min="13" max="15" width="8.6328125" customWidth="1"/>
    <col min="16" max="16" width="11.81640625" customWidth="1"/>
    <col min="17" max="17" width="11.36328125" customWidth="1"/>
    <col min="18" max="23" width="13.08984375" customWidth="1"/>
    <col min="24" max="46" width="8.6328125" customWidth="1"/>
    <col min="47" max="51" width="12.81640625" customWidth="1"/>
    <col min="52" max="56" width="10.54296875" customWidth="1"/>
    <col min="57" max="57" width="8.6328125" customWidth="1"/>
    <col min="59" max="60" width="8.6328125" customWidth="1"/>
  </cols>
  <sheetData>
    <row r="1" spans="1:60" ht="78" customHeight="1" x14ac:dyDescent="0.35">
      <c r="A1" s="1" t="s">
        <v>0</v>
      </c>
      <c r="B1" s="1" t="s">
        <v>1</v>
      </c>
      <c r="C1" s="1" t="s">
        <v>2</v>
      </c>
      <c r="D1" s="1" t="s">
        <v>3</v>
      </c>
      <c r="E1" s="1" t="s">
        <v>4</v>
      </c>
      <c r="F1" s="1" t="s">
        <v>5</v>
      </c>
      <c r="G1" s="1" t="s">
        <v>6</v>
      </c>
      <c r="H1" s="2" t="s">
        <v>7</v>
      </c>
      <c r="I1" s="3" t="s">
        <v>8</v>
      </c>
      <c r="J1" s="3" t="s">
        <v>9</v>
      </c>
      <c r="K1" s="1" t="s">
        <v>10</v>
      </c>
      <c r="L1" s="3" t="s">
        <v>11</v>
      </c>
      <c r="M1" s="3" t="s">
        <v>12</v>
      </c>
      <c r="N1" s="4" t="s">
        <v>13</v>
      </c>
      <c r="O1" s="4" t="s">
        <v>14</v>
      </c>
      <c r="P1" s="1" t="s">
        <v>15</v>
      </c>
      <c r="Q1" s="1" t="s">
        <v>16</v>
      </c>
      <c r="R1" s="1" t="s">
        <v>17</v>
      </c>
      <c r="S1" s="1" t="s">
        <v>18</v>
      </c>
      <c r="T1" s="1" t="s">
        <v>19</v>
      </c>
      <c r="U1" s="1" t="s">
        <v>20</v>
      </c>
      <c r="V1" s="1" t="s">
        <v>21</v>
      </c>
      <c r="W1" s="1" t="s">
        <v>22</v>
      </c>
      <c r="X1" s="4" t="s">
        <v>23</v>
      </c>
      <c r="Y1" s="4" t="s">
        <v>24</v>
      </c>
      <c r="Z1" s="4" t="s">
        <v>25</v>
      </c>
      <c r="AA1" s="4" t="s">
        <v>26</v>
      </c>
      <c r="AB1" s="4" t="s">
        <v>27</v>
      </c>
      <c r="AC1" s="4" t="s">
        <v>28</v>
      </c>
      <c r="AD1" s="4" t="s">
        <v>29</v>
      </c>
      <c r="AE1" s="4" t="s">
        <v>30</v>
      </c>
      <c r="AF1" s="1" t="s">
        <v>31</v>
      </c>
      <c r="AG1" s="1" t="s">
        <v>32</v>
      </c>
      <c r="AH1" s="1" t="s">
        <v>33</v>
      </c>
      <c r="AI1" s="1" t="s">
        <v>34</v>
      </c>
      <c r="AJ1" s="1" t="s">
        <v>35</v>
      </c>
      <c r="AK1" s="1" t="s">
        <v>36</v>
      </c>
      <c r="AL1" s="1" t="s">
        <v>37</v>
      </c>
      <c r="AM1" s="1" t="s">
        <v>38</v>
      </c>
      <c r="AN1" s="1" t="s">
        <v>39</v>
      </c>
      <c r="AO1" s="1" t="s">
        <v>40</v>
      </c>
      <c r="AP1" s="1" t="s">
        <v>41</v>
      </c>
      <c r="AQ1" s="1" t="s">
        <v>42</v>
      </c>
      <c r="AR1" s="5"/>
      <c r="AS1" s="6" t="s">
        <v>38</v>
      </c>
      <c r="AT1" s="5"/>
      <c r="AU1" s="7" t="s">
        <v>37</v>
      </c>
      <c r="AV1" s="8" t="s">
        <v>43</v>
      </c>
      <c r="AW1" s="8" t="s">
        <v>44</v>
      </c>
      <c r="AX1" s="8" t="s">
        <v>45</v>
      </c>
      <c r="AY1" s="8" t="s">
        <v>46</v>
      </c>
      <c r="AZ1" s="6" t="s">
        <v>47</v>
      </c>
      <c r="BA1" s="5" t="s">
        <v>48</v>
      </c>
      <c r="BB1" s="5" t="s">
        <v>49</v>
      </c>
      <c r="BC1" s="5" t="s">
        <v>50</v>
      </c>
      <c r="BD1" s="5" t="s">
        <v>51</v>
      </c>
      <c r="BE1" s="9" t="s">
        <v>124</v>
      </c>
      <c r="BF1" s="42" t="s">
        <v>123</v>
      </c>
      <c r="BG1" s="5" t="s">
        <v>52</v>
      </c>
      <c r="BH1" s="40" t="s">
        <v>53</v>
      </c>
    </row>
    <row r="2" spans="1:60" ht="159.5" x14ac:dyDescent="0.35">
      <c r="A2" s="10">
        <v>1</v>
      </c>
      <c r="B2" s="10" t="s">
        <v>54</v>
      </c>
      <c r="C2" s="10" t="s">
        <v>55</v>
      </c>
      <c r="D2" s="73" t="s">
        <v>56</v>
      </c>
      <c r="E2" s="11" t="s">
        <v>57</v>
      </c>
      <c r="F2" s="12" t="s">
        <v>122</v>
      </c>
      <c r="G2" s="10"/>
      <c r="H2" s="13">
        <f>ROUNDUP(I2/7.1,0)</f>
        <v>33</v>
      </c>
      <c r="I2" s="13">
        <v>232</v>
      </c>
      <c r="J2" s="13">
        <v>272</v>
      </c>
      <c r="K2" s="13">
        <v>272</v>
      </c>
      <c r="L2" s="14">
        <v>45887</v>
      </c>
      <c r="M2" s="14">
        <v>45922</v>
      </c>
      <c r="N2" s="14">
        <v>45887</v>
      </c>
      <c r="O2" s="14">
        <v>45926</v>
      </c>
      <c r="P2" s="14">
        <v>45887</v>
      </c>
      <c r="Q2" s="14">
        <v>45891</v>
      </c>
      <c r="R2" s="14">
        <v>45892</v>
      </c>
      <c r="S2" s="14">
        <v>45895</v>
      </c>
      <c r="T2" s="14">
        <v>45898</v>
      </c>
      <c r="U2" s="14">
        <v>45913</v>
      </c>
      <c r="V2" s="14">
        <v>45919</v>
      </c>
      <c r="W2" s="14">
        <v>45926</v>
      </c>
      <c r="X2" s="13">
        <v>25</v>
      </c>
      <c r="Y2" s="13">
        <v>23</v>
      </c>
      <c r="Z2" s="13">
        <v>107</v>
      </c>
      <c r="AA2" s="13">
        <v>11</v>
      </c>
      <c r="AB2" s="13">
        <v>48</v>
      </c>
      <c r="AC2" s="13">
        <v>8</v>
      </c>
      <c r="AD2" s="13">
        <v>6</v>
      </c>
      <c r="AE2" s="13">
        <v>4</v>
      </c>
      <c r="AF2" s="13">
        <v>1</v>
      </c>
      <c r="AG2" s="13">
        <v>0</v>
      </c>
      <c r="AH2" s="13">
        <v>3</v>
      </c>
      <c r="AI2" s="13">
        <v>1</v>
      </c>
      <c r="AJ2" s="13">
        <v>1</v>
      </c>
      <c r="AK2" s="13">
        <v>1</v>
      </c>
      <c r="AL2" s="15"/>
      <c r="AM2" s="10"/>
      <c r="AN2" s="10"/>
      <c r="AO2" s="10"/>
      <c r="AP2" s="10"/>
      <c r="AQ2" s="10"/>
      <c r="AR2" s="10"/>
      <c r="AS2" s="10"/>
      <c r="AT2" s="10"/>
      <c r="AU2" s="10">
        <f t="shared" ref="AU2:AU20" si="0">H2/I2</f>
        <v>0.14224137931034483</v>
      </c>
      <c r="AV2" s="10">
        <f t="shared" ref="AV2:AV20" si="1">H2/(X2+AD2)</f>
        <v>1.064516129032258</v>
      </c>
      <c r="AW2" s="10">
        <f t="shared" ref="AW2:AW20" si="2">H2/(Y2+AE2)</f>
        <v>1.2222222222222223</v>
      </c>
      <c r="AX2" s="10">
        <f t="shared" ref="AX2:AX20" si="3">H2/(Z2+AA2)</f>
        <v>0.27966101694915252</v>
      </c>
      <c r="AY2" s="10">
        <f t="shared" ref="AY2:AY20" si="4">H2/(AB2+AC2)</f>
        <v>0.5892857142857143</v>
      </c>
      <c r="AZ2" s="10">
        <f>((W2-P2)/H2)</f>
        <v>1.1818181818181819</v>
      </c>
      <c r="BA2" s="10">
        <f>((Q2-P2)/H2)</f>
        <v>0.12121212121212122</v>
      </c>
      <c r="BB2" s="10">
        <f>((S2-R2)/H2)</f>
        <v>9.0909090909090912E-2</v>
      </c>
      <c r="BC2" s="10">
        <f>((U2-T2)/H2)</f>
        <v>0.45454545454545453</v>
      </c>
      <c r="BD2" s="10">
        <f>((W2-V2)/H2)</f>
        <v>0.21212121212121213</v>
      </c>
      <c r="BE2" s="10">
        <f>BG2/(BG2+BH2)</f>
        <v>0.8</v>
      </c>
      <c r="BF2" s="43">
        <f t="shared" ref="BF2:BF20" si="5">AH2/H2</f>
        <v>9.0909090909090912E-2</v>
      </c>
      <c r="BG2" s="10">
        <f t="shared" ref="BG2:BG20" si="6">(AF2+AH2+AG2)/H2</f>
        <v>0.12121212121212122</v>
      </c>
      <c r="BH2" s="41">
        <f t="shared" ref="BH2:BH20" si="7">(AI2)/H2</f>
        <v>3.0303030303030304E-2</v>
      </c>
    </row>
    <row r="3" spans="1:60" ht="78" customHeight="1" x14ac:dyDescent="0.35">
      <c r="A3" s="10"/>
      <c r="B3" s="10"/>
      <c r="C3" s="10"/>
      <c r="D3" s="72"/>
      <c r="E3" s="16" t="s">
        <v>58</v>
      </c>
      <c r="F3" s="12" t="s">
        <v>59</v>
      </c>
      <c r="G3" s="10"/>
      <c r="H3" s="13">
        <f>ROUNDUP(I3/7.1,0)</f>
        <v>16</v>
      </c>
      <c r="I3" s="13">
        <v>112</v>
      </c>
      <c r="J3" s="13">
        <v>132</v>
      </c>
      <c r="K3" s="13">
        <v>132</v>
      </c>
      <c r="L3" s="14">
        <v>45943</v>
      </c>
      <c r="M3" s="14">
        <v>45960</v>
      </c>
      <c r="N3" s="14">
        <v>45944</v>
      </c>
      <c r="O3" s="14">
        <v>45959</v>
      </c>
      <c r="P3" s="14">
        <v>45944</v>
      </c>
      <c r="Q3" s="14">
        <v>45946</v>
      </c>
      <c r="R3" s="14">
        <v>45946</v>
      </c>
      <c r="S3" s="14">
        <v>45948</v>
      </c>
      <c r="T3" s="14">
        <v>45949</v>
      </c>
      <c r="U3" s="14">
        <v>45954</v>
      </c>
      <c r="V3" s="14">
        <v>45956</v>
      </c>
      <c r="W3" s="14">
        <v>45959</v>
      </c>
      <c r="X3" s="13">
        <v>12</v>
      </c>
      <c r="Y3" s="13">
        <v>9</v>
      </c>
      <c r="Z3" s="13">
        <v>48</v>
      </c>
      <c r="AA3" s="13">
        <v>5</v>
      </c>
      <c r="AB3" s="13">
        <v>32</v>
      </c>
      <c r="AC3" s="13">
        <v>3</v>
      </c>
      <c r="AD3" s="13">
        <v>2</v>
      </c>
      <c r="AE3" s="13">
        <v>1</v>
      </c>
      <c r="AF3" s="66">
        <v>1</v>
      </c>
      <c r="AG3" s="13">
        <v>1</v>
      </c>
      <c r="AH3" s="13">
        <v>1</v>
      </c>
      <c r="AI3" s="13">
        <v>0</v>
      </c>
      <c r="AJ3" s="13">
        <v>1</v>
      </c>
      <c r="AK3" s="13">
        <v>0</v>
      </c>
      <c r="AL3" s="15"/>
      <c r="AM3" s="10"/>
      <c r="AN3" s="10"/>
      <c r="AO3" s="10"/>
      <c r="AP3" s="10"/>
      <c r="AQ3" s="10"/>
      <c r="AR3" s="10"/>
      <c r="AS3" s="10"/>
      <c r="AT3" s="10"/>
      <c r="AU3" s="10">
        <f t="shared" si="0"/>
        <v>0.14285714285714285</v>
      </c>
      <c r="AV3" s="10">
        <f t="shared" si="1"/>
        <v>1.1428571428571428</v>
      </c>
      <c r="AW3" s="10">
        <f t="shared" si="2"/>
        <v>1.6</v>
      </c>
      <c r="AX3" s="10">
        <f t="shared" si="3"/>
        <v>0.30188679245283018</v>
      </c>
      <c r="AY3" s="10">
        <f t="shared" si="4"/>
        <v>0.45714285714285713</v>
      </c>
      <c r="AZ3" s="10">
        <f t="shared" ref="AZ3:AZ20" si="8">((W3-P3)/H3)</f>
        <v>0.9375</v>
      </c>
      <c r="BA3" s="10">
        <f t="shared" ref="BA3:BA20" si="9">((Q3-P3)/H3)</f>
        <v>0.125</v>
      </c>
      <c r="BB3" s="10">
        <f t="shared" ref="BB3:BB20" si="10">((S3-R3)/H3)</f>
        <v>0.125</v>
      </c>
      <c r="BC3" s="10">
        <f t="shared" ref="BC3:BC20" si="11">((U3-T3)/H3)</f>
        <v>0.3125</v>
      </c>
      <c r="BD3" s="10">
        <f t="shared" ref="BD3:BD20" si="12">((W3-V3)/H3)</f>
        <v>0.1875</v>
      </c>
      <c r="BE3" s="10">
        <f t="shared" ref="BE3:BE20" si="13">BG3/(BG3+BH3)</f>
        <v>1</v>
      </c>
      <c r="BF3" s="43">
        <f t="shared" si="5"/>
        <v>6.25E-2</v>
      </c>
      <c r="BG3" s="10">
        <f t="shared" si="6"/>
        <v>0.1875</v>
      </c>
      <c r="BH3" s="41">
        <f t="shared" si="7"/>
        <v>0</v>
      </c>
    </row>
    <row r="4" spans="1:60" ht="188.5" x14ac:dyDescent="0.35">
      <c r="A4" s="17">
        <v>2</v>
      </c>
      <c r="B4" s="17" t="s">
        <v>54</v>
      </c>
      <c r="C4" s="17" t="s">
        <v>55</v>
      </c>
      <c r="D4" s="73" t="s">
        <v>60</v>
      </c>
      <c r="E4" s="18" t="s">
        <v>61</v>
      </c>
      <c r="F4" s="12" t="s">
        <v>62</v>
      </c>
      <c r="G4" s="19"/>
      <c r="H4" s="13">
        <f>ROUNDUP(I4/7.1,0)</f>
        <v>41</v>
      </c>
      <c r="I4" s="13">
        <v>288</v>
      </c>
      <c r="J4" s="13">
        <v>342</v>
      </c>
      <c r="K4" s="20">
        <v>288</v>
      </c>
      <c r="L4" s="14">
        <v>45866</v>
      </c>
      <c r="M4" s="14">
        <v>45905</v>
      </c>
      <c r="N4" s="14">
        <v>45866</v>
      </c>
      <c r="O4" s="14">
        <v>45898</v>
      </c>
      <c r="P4" s="14">
        <v>45866</v>
      </c>
      <c r="Q4" s="14">
        <v>45872</v>
      </c>
      <c r="R4" s="14">
        <v>45873</v>
      </c>
      <c r="S4" s="14">
        <v>45876</v>
      </c>
      <c r="T4" s="14">
        <v>45876</v>
      </c>
      <c r="U4" s="14">
        <v>45890</v>
      </c>
      <c r="V4" s="14">
        <v>45891</v>
      </c>
      <c r="W4" s="14">
        <v>45898</v>
      </c>
      <c r="X4" s="21">
        <v>24</v>
      </c>
      <c r="Y4" s="21">
        <v>21</v>
      </c>
      <c r="Z4" s="21">
        <v>156</v>
      </c>
      <c r="AA4" s="21">
        <v>12</v>
      </c>
      <c r="AB4" s="21">
        <v>63</v>
      </c>
      <c r="AC4" s="21">
        <v>4</v>
      </c>
      <c r="AD4" s="21">
        <v>4</v>
      </c>
      <c r="AE4" s="21">
        <v>4</v>
      </c>
      <c r="AF4" s="13">
        <v>1</v>
      </c>
      <c r="AG4" s="13">
        <v>0</v>
      </c>
      <c r="AH4" s="13">
        <v>3</v>
      </c>
      <c r="AI4" s="13">
        <v>1</v>
      </c>
      <c r="AJ4" s="13">
        <v>2</v>
      </c>
      <c r="AK4" s="13">
        <v>0</v>
      </c>
      <c r="AL4" s="15"/>
      <c r="AM4" s="10"/>
      <c r="AN4" s="10"/>
      <c r="AO4" s="19"/>
      <c r="AP4" s="19"/>
      <c r="AQ4" s="19"/>
      <c r="AR4" s="19"/>
      <c r="AS4" s="19"/>
      <c r="AT4" s="19"/>
      <c r="AU4" s="10">
        <f t="shared" si="0"/>
        <v>0.1423611111111111</v>
      </c>
      <c r="AV4" s="10">
        <f t="shared" si="1"/>
        <v>1.4642857142857142</v>
      </c>
      <c r="AW4" s="10">
        <f t="shared" si="2"/>
        <v>1.64</v>
      </c>
      <c r="AX4" s="10">
        <f t="shared" si="3"/>
        <v>0.24404761904761904</v>
      </c>
      <c r="AY4" s="10">
        <f t="shared" si="4"/>
        <v>0.61194029850746268</v>
      </c>
      <c r="AZ4" s="10">
        <f t="shared" si="8"/>
        <v>0.78048780487804881</v>
      </c>
      <c r="BA4" s="10">
        <f t="shared" si="9"/>
        <v>0.14634146341463414</v>
      </c>
      <c r="BB4" s="10">
        <f t="shared" si="10"/>
        <v>7.3170731707317069E-2</v>
      </c>
      <c r="BC4" s="10">
        <f t="shared" si="11"/>
        <v>0.34146341463414637</v>
      </c>
      <c r="BD4" s="10">
        <f t="shared" si="12"/>
        <v>0.17073170731707318</v>
      </c>
      <c r="BE4" s="10">
        <f t="shared" si="13"/>
        <v>0.8</v>
      </c>
      <c r="BF4" s="43">
        <f t="shared" si="5"/>
        <v>7.3170731707317069E-2</v>
      </c>
      <c r="BG4" s="10">
        <f t="shared" si="6"/>
        <v>9.7560975609756101E-2</v>
      </c>
      <c r="BH4" s="41">
        <f t="shared" si="7"/>
        <v>2.4390243902439025E-2</v>
      </c>
    </row>
    <row r="5" spans="1:60" ht="130.5" x14ac:dyDescent="0.35">
      <c r="A5" s="17"/>
      <c r="B5" s="17"/>
      <c r="C5" s="17"/>
      <c r="D5" s="74"/>
      <c r="E5" s="18" t="s">
        <v>63</v>
      </c>
      <c r="F5" s="12" t="s">
        <v>64</v>
      </c>
      <c r="G5" s="19"/>
      <c r="H5" s="13">
        <f t="shared" ref="H5:H7" si="14">ROUNDUP(I5/7.1,0)</f>
        <v>32</v>
      </c>
      <c r="I5" s="13">
        <v>224</v>
      </c>
      <c r="J5" s="13">
        <v>278</v>
      </c>
      <c r="K5" s="13">
        <v>224</v>
      </c>
      <c r="L5" s="14">
        <v>45901</v>
      </c>
      <c r="M5" s="14">
        <v>45922</v>
      </c>
      <c r="N5" s="14">
        <v>45901</v>
      </c>
      <c r="O5" s="14">
        <v>45919</v>
      </c>
      <c r="P5" s="14">
        <v>45901</v>
      </c>
      <c r="Q5" s="14">
        <v>45903</v>
      </c>
      <c r="R5" s="14">
        <v>45904</v>
      </c>
      <c r="S5" s="14">
        <v>45906</v>
      </c>
      <c r="T5" s="14">
        <v>45906</v>
      </c>
      <c r="U5" s="14">
        <v>45914</v>
      </c>
      <c r="V5" s="14">
        <v>45914</v>
      </c>
      <c r="W5" s="14">
        <v>45919</v>
      </c>
      <c r="X5" s="21">
        <v>21</v>
      </c>
      <c r="Y5" s="21">
        <v>16</v>
      </c>
      <c r="Z5" s="21">
        <v>119</v>
      </c>
      <c r="AA5" s="21">
        <v>6</v>
      </c>
      <c r="AB5" s="21">
        <v>55</v>
      </c>
      <c r="AC5" s="21">
        <v>3</v>
      </c>
      <c r="AD5" s="21">
        <v>2</v>
      </c>
      <c r="AE5" s="21">
        <v>2</v>
      </c>
      <c r="AF5" s="13">
        <v>1</v>
      </c>
      <c r="AG5" s="66">
        <v>1</v>
      </c>
      <c r="AH5" s="66">
        <v>2</v>
      </c>
      <c r="AI5" s="13">
        <v>1</v>
      </c>
      <c r="AJ5" s="13">
        <v>1</v>
      </c>
      <c r="AK5" s="13">
        <v>0</v>
      </c>
      <c r="AL5" s="15"/>
      <c r="AM5" s="10"/>
      <c r="AN5" s="10"/>
      <c r="AO5" s="19"/>
      <c r="AP5" s="19"/>
      <c r="AQ5" s="19"/>
      <c r="AR5" s="19"/>
      <c r="AS5" s="19"/>
      <c r="AT5" s="19"/>
      <c r="AU5" s="10">
        <f t="shared" si="0"/>
        <v>0.14285714285714285</v>
      </c>
      <c r="AV5" s="10">
        <f t="shared" si="1"/>
        <v>1.3913043478260869</v>
      </c>
      <c r="AW5" s="10">
        <f t="shared" si="2"/>
        <v>1.7777777777777777</v>
      </c>
      <c r="AX5" s="10">
        <f t="shared" si="3"/>
        <v>0.25600000000000001</v>
      </c>
      <c r="AY5" s="10">
        <f t="shared" si="4"/>
        <v>0.55172413793103448</v>
      </c>
      <c r="AZ5" s="10">
        <f t="shared" si="8"/>
        <v>0.5625</v>
      </c>
      <c r="BA5" s="10">
        <f t="shared" si="9"/>
        <v>6.25E-2</v>
      </c>
      <c r="BB5" s="10">
        <f t="shared" si="10"/>
        <v>6.25E-2</v>
      </c>
      <c r="BC5" s="10">
        <f t="shared" si="11"/>
        <v>0.25</v>
      </c>
      <c r="BD5" s="10">
        <f t="shared" si="12"/>
        <v>0.15625</v>
      </c>
      <c r="BE5" s="10">
        <f t="shared" si="13"/>
        <v>0.8</v>
      </c>
      <c r="BF5" s="43">
        <f t="shared" si="5"/>
        <v>6.25E-2</v>
      </c>
      <c r="BG5" s="10">
        <f t="shared" si="6"/>
        <v>0.125</v>
      </c>
      <c r="BH5" s="41">
        <f t="shared" si="7"/>
        <v>3.125E-2</v>
      </c>
    </row>
    <row r="6" spans="1:60" ht="116" x14ac:dyDescent="0.35">
      <c r="A6" s="17"/>
      <c r="B6" s="17"/>
      <c r="C6" s="17"/>
      <c r="D6" s="74"/>
      <c r="E6" s="18" t="s">
        <v>65</v>
      </c>
      <c r="F6" s="12" t="s">
        <v>66</v>
      </c>
      <c r="G6" s="19"/>
      <c r="H6" s="13">
        <f t="shared" si="14"/>
        <v>16</v>
      </c>
      <c r="I6" s="13">
        <v>112</v>
      </c>
      <c r="J6" s="13">
        <v>102</v>
      </c>
      <c r="K6" s="13">
        <v>112</v>
      </c>
      <c r="L6" s="14">
        <v>45920</v>
      </c>
      <c r="M6" s="14">
        <v>45926</v>
      </c>
      <c r="N6" s="14">
        <v>45921</v>
      </c>
      <c r="O6" s="14">
        <v>45929</v>
      </c>
      <c r="P6" s="14">
        <v>45921</v>
      </c>
      <c r="Q6" s="14">
        <v>45922</v>
      </c>
      <c r="R6" s="14">
        <v>45922</v>
      </c>
      <c r="S6" s="14">
        <v>45923</v>
      </c>
      <c r="T6" s="14">
        <v>45923</v>
      </c>
      <c r="U6" s="14">
        <v>45926</v>
      </c>
      <c r="V6" s="14">
        <v>45926</v>
      </c>
      <c r="W6" s="14">
        <v>45929</v>
      </c>
      <c r="X6" s="21">
        <v>9</v>
      </c>
      <c r="Y6" s="21">
        <v>10</v>
      </c>
      <c r="Z6" s="21">
        <v>55</v>
      </c>
      <c r="AA6" s="21">
        <v>3</v>
      </c>
      <c r="AB6" s="21">
        <v>29</v>
      </c>
      <c r="AC6" s="21">
        <v>2</v>
      </c>
      <c r="AD6" s="21">
        <v>2</v>
      </c>
      <c r="AE6" s="21">
        <v>2</v>
      </c>
      <c r="AF6" s="13">
        <v>1</v>
      </c>
      <c r="AG6" s="66">
        <v>0</v>
      </c>
      <c r="AH6" s="66">
        <v>1</v>
      </c>
      <c r="AI6" s="13">
        <v>1</v>
      </c>
      <c r="AJ6" s="13">
        <v>0</v>
      </c>
      <c r="AK6" s="13">
        <v>0</v>
      </c>
      <c r="AL6" s="15"/>
      <c r="AM6" s="10"/>
      <c r="AN6" s="10"/>
      <c r="AO6" s="19"/>
      <c r="AP6" s="19"/>
      <c r="AQ6" s="19"/>
      <c r="AR6" s="19"/>
      <c r="AS6" s="19"/>
      <c r="AT6" s="19"/>
      <c r="AU6" s="10">
        <f t="shared" si="0"/>
        <v>0.14285714285714285</v>
      </c>
      <c r="AV6" s="10">
        <f t="shared" si="1"/>
        <v>1.4545454545454546</v>
      </c>
      <c r="AW6" s="10">
        <f t="shared" si="2"/>
        <v>1.3333333333333333</v>
      </c>
      <c r="AX6" s="10">
        <f t="shared" si="3"/>
        <v>0.27586206896551724</v>
      </c>
      <c r="AY6" s="10">
        <f t="shared" si="4"/>
        <v>0.5161290322580645</v>
      </c>
      <c r="AZ6" s="10">
        <f t="shared" si="8"/>
        <v>0.5</v>
      </c>
      <c r="BA6" s="10">
        <f t="shared" si="9"/>
        <v>6.25E-2</v>
      </c>
      <c r="BB6" s="10">
        <f t="shared" si="10"/>
        <v>6.25E-2</v>
      </c>
      <c r="BC6" s="10">
        <f t="shared" si="11"/>
        <v>0.1875</v>
      </c>
      <c r="BD6" s="10">
        <f t="shared" si="12"/>
        <v>0.1875</v>
      </c>
      <c r="BE6" s="10">
        <f t="shared" si="13"/>
        <v>0.66666666666666663</v>
      </c>
      <c r="BF6" s="43">
        <f t="shared" si="5"/>
        <v>6.25E-2</v>
      </c>
      <c r="BG6" s="10">
        <f t="shared" si="6"/>
        <v>0.125</v>
      </c>
      <c r="BH6" s="41">
        <f t="shared" si="7"/>
        <v>6.25E-2</v>
      </c>
    </row>
    <row r="7" spans="1:60" ht="174" x14ac:dyDescent="0.35">
      <c r="A7" s="17"/>
      <c r="B7" s="17"/>
      <c r="C7" s="17"/>
      <c r="D7" s="72"/>
      <c r="E7" s="22" t="s">
        <v>67</v>
      </c>
      <c r="F7" s="12" t="s">
        <v>68</v>
      </c>
      <c r="G7" s="19"/>
      <c r="H7" s="13">
        <f t="shared" si="14"/>
        <v>42</v>
      </c>
      <c r="I7" s="13">
        <v>296</v>
      </c>
      <c r="J7" s="13">
        <v>352</v>
      </c>
      <c r="K7" s="13">
        <v>296</v>
      </c>
      <c r="L7" s="14">
        <v>45929</v>
      </c>
      <c r="M7" s="14">
        <v>45964</v>
      </c>
      <c r="N7" s="14">
        <v>45929</v>
      </c>
      <c r="O7" s="14">
        <v>45961</v>
      </c>
      <c r="P7" s="14">
        <v>45929</v>
      </c>
      <c r="Q7" s="14">
        <v>45933</v>
      </c>
      <c r="R7" s="14">
        <v>45934</v>
      </c>
      <c r="S7" s="14">
        <v>45938</v>
      </c>
      <c r="T7" s="14">
        <v>45939</v>
      </c>
      <c r="U7" s="14">
        <v>45951</v>
      </c>
      <c r="V7" s="14">
        <v>45954</v>
      </c>
      <c r="W7" s="14">
        <v>45961</v>
      </c>
      <c r="X7" s="21">
        <v>24</v>
      </c>
      <c r="Y7" s="21">
        <v>23</v>
      </c>
      <c r="Z7" s="21">
        <v>159</v>
      </c>
      <c r="AA7" s="21">
        <v>5</v>
      </c>
      <c r="AB7" s="21">
        <v>74</v>
      </c>
      <c r="AC7" s="21">
        <v>5</v>
      </c>
      <c r="AD7" s="21">
        <v>4</v>
      </c>
      <c r="AE7" s="21">
        <v>2</v>
      </c>
      <c r="AF7" s="13">
        <v>0</v>
      </c>
      <c r="AG7" s="66">
        <v>1</v>
      </c>
      <c r="AH7" s="66">
        <v>3</v>
      </c>
      <c r="AI7" s="13">
        <v>1</v>
      </c>
      <c r="AJ7" s="13">
        <v>0</v>
      </c>
      <c r="AK7" s="13">
        <v>0</v>
      </c>
      <c r="AL7" s="15"/>
      <c r="AM7" s="10"/>
      <c r="AN7" s="10"/>
      <c r="AO7" s="19"/>
      <c r="AP7" s="19"/>
      <c r="AQ7" s="19"/>
      <c r="AR7" s="19"/>
      <c r="AS7" s="19"/>
      <c r="AT7" s="19"/>
      <c r="AU7" s="10">
        <f t="shared" si="0"/>
        <v>0.14189189189189189</v>
      </c>
      <c r="AV7" s="10">
        <f t="shared" si="1"/>
        <v>1.5</v>
      </c>
      <c r="AW7" s="10">
        <f t="shared" si="2"/>
        <v>1.68</v>
      </c>
      <c r="AX7" s="10">
        <f t="shared" si="3"/>
        <v>0.25609756097560976</v>
      </c>
      <c r="AY7" s="10">
        <f t="shared" si="4"/>
        <v>0.53164556962025311</v>
      </c>
      <c r="AZ7" s="10">
        <f t="shared" si="8"/>
        <v>0.76190476190476186</v>
      </c>
      <c r="BA7" s="10">
        <f t="shared" si="9"/>
        <v>9.5238095238095233E-2</v>
      </c>
      <c r="BB7" s="10">
        <f t="shared" si="10"/>
        <v>9.5238095238095233E-2</v>
      </c>
      <c r="BC7" s="10">
        <f t="shared" si="11"/>
        <v>0.2857142857142857</v>
      </c>
      <c r="BD7" s="10">
        <f t="shared" si="12"/>
        <v>0.16666666666666666</v>
      </c>
      <c r="BE7" s="10">
        <f t="shared" si="13"/>
        <v>0.8</v>
      </c>
      <c r="BF7" s="43">
        <f t="shared" si="5"/>
        <v>7.1428571428571425E-2</v>
      </c>
      <c r="BG7" s="10">
        <f t="shared" si="6"/>
        <v>9.5238095238095233E-2</v>
      </c>
      <c r="BH7" s="41">
        <f t="shared" si="7"/>
        <v>2.3809523809523808E-2</v>
      </c>
    </row>
    <row r="8" spans="1:60" ht="78" customHeight="1" x14ac:dyDescent="0.35">
      <c r="A8" s="17">
        <v>3</v>
      </c>
      <c r="B8" s="17" t="s">
        <v>54</v>
      </c>
      <c r="C8" s="17" t="s">
        <v>55</v>
      </c>
      <c r="D8" s="73" t="s">
        <v>69</v>
      </c>
      <c r="E8" s="23" t="s">
        <v>70</v>
      </c>
      <c r="F8" s="12" t="s">
        <v>71</v>
      </c>
      <c r="G8" s="19"/>
      <c r="H8" s="13">
        <f>ROUNDUP(I8/7.1,0)</f>
        <v>10</v>
      </c>
      <c r="I8" s="13">
        <v>64</v>
      </c>
      <c r="J8" s="13">
        <v>80</v>
      </c>
      <c r="K8" s="13">
        <v>64</v>
      </c>
      <c r="L8" s="14">
        <v>45939</v>
      </c>
      <c r="M8" s="14">
        <v>45949</v>
      </c>
      <c r="N8" s="14">
        <v>45940</v>
      </c>
      <c r="O8" s="14">
        <v>45946</v>
      </c>
      <c r="P8" s="14">
        <v>45940</v>
      </c>
      <c r="Q8" s="14">
        <v>45941</v>
      </c>
      <c r="R8" s="14">
        <v>45941</v>
      </c>
      <c r="S8" s="14">
        <v>45942</v>
      </c>
      <c r="T8" s="14">
        <v>45943</v>
      </c>
      <c r="U8" s="14">
        <v>45945</v>
      </c>
      <c r="V8" s="14">
        <v>45945</v>
      </c>
      <c r="W8" s="14">
        <v>45946</v>
      </c>
      <c r="X8" s="13">
        <v>7</v>
      </c>
      <c r="Y8" s="13">
        <v>6</v>
      </c>
      <c r="Z8" s="13">
        <v>30</v>
      </c>
      <c r="AA8" s="13">
        <v>3</v>
      </c>
      <c r="AB8" s="13">
        <v>13</v>
      </c>
      <c r="AC8" s="13">
        <v>2</v>
      </c>
      <c r="AD8" s="13">
        <v>1</v>
      </c>
      <c r="AE8" s="13">
        <v>2</v>
      </c>
      <c r="AF8" s="13">
        <v>1</v>
      </c>
      <c r="AG8" s="66">
        <v>0</v>
      </c>
      <c r="AH8" s="66">
        <v>1</v>
      </c>
      <c r="AI8" s="13">
        <v>1</v>
      </c>
      <c r="AJ8" s="13">
        <v>1</v>
      </c>
      <c r="AK8" s="13">
        <v>0</v>
      </c>
      <c r="AL8" s="15"/>
      <c r="AM8" s="10"/>
      <c r="AN8" s="10"/>
      <c r="AO8" s="19"/>
      <c r="AP8" s="19"/>
      <c r="AQ8" s="19"/>
      <c r="AR8" s="19"/>
      <c r="AS8" s="19"/>
      <c r="AT8" s="19"/>
      <c r="AU8" s="10">
        <f t="shared" si="0"/>
        <v>0.15625</v>
      </c>
      <c r="AV8" s="10">
        <f t="shared" si="1"/>
        <v>1.25</v>
      </c>
      <c r="AW8" s="10">
        <f t="shared" si="2"/>
        <v>1.25</v>
      </c>
      <c r="AX8" s="10">
        <f t="shared" si="3"/>
        <v>0.30303030303030304</v>
      </c>
      <c r="AY8" s="10">
        <f t="shared" si="4"/>
        <v>0.66666666666666663</v>
      </c>
      <c r="AZ8" s="10">
        <f t="shared" si="8"/>
        <v>0.6</v>
      </c>
      <c r="BA8" s="10">
        <f t="shared" si="9"/>
        <v>0.1</v>
      </c>
      <c r="BB8" s="10">
        <f t="shared" si="10"/>
        <v>0.1</v>
      </c>
      <c r="BC8" s="10">
        <f t="shared" si="11"/>
        <v>0.2</v>
      </c>
      <c r="BD8" s="10">
        <f t="shared" si="12"/>
        <v>0.1</v>
      </c>
      <c r="BE8" s="10">
        <f t="shared" si="13"/>
        <v>0.66666666666666663</v>
      </c>
      <c r="BF8" s="43">
        <f t="shared" si="5"/>
        <v>0.1</v>
      </c>
      <c r="BG8" s="10">
        <f t="shared" si="6"/>
        <v>0.2</v>
      </c>
      <c r="BH8" s="41">
        <f t="shared" si="7"/>
        <v>0.1</v>
      </c>
    </row>
    <row r="9" spans="1:60" ht="78" customHeight="1" x14ac:dyDescent="0.35">
      <c r="A9" s="17"/>
      <c r="B9" s="17"/>
      <c r="C9" s="17"/>
      <c r="D9" s="74"/>
      <c r="E9" s="23" t="s">
        <v>72</v>
      </c>
      <c r="F9" s="12" t="s">
        <v>73</v>
      </c>
      <c r="G9" s="19"/>
      <c r="H9" s="13">
        <f>ROUNDUP(I9/7.1,0)</f>
        <v>10</v>
      </c>
      <c r="I9" s="13">
        <v>64</v>
      </c>
      <c r="J9" s="13">
        <v>85</v>
      </c>
      <c r="K9" s="13">
        <v>64</v>
      </c>
      <c r="L9" s="14">
        <v>45950</v>
      </c>
      <c r="M9" s="14">
        <v>45961</v>
      </c>
      <c r="N9" s="14">
        <v>45952</v>
      </c>
      <c r="O9" s="14">
        <v>45960</v>
      </c>
      <c r="P9" s="14">
        <v>45952</v>
      </c>
      <c r="Q9" s="14">
        <v>45953</v>
      </c>
      <c r="R9" s="14">
        <v>45954</v>
      </c>
      <c r="S9" s="14">
        <v>45955</v>
      </c>
      <c r="T9" s="14">
        <v>45955</v>
      </c>
      <c r="U9" s="14">
        <v>45958</v>
      </c>
      <c r="V9" s="14">
        <v>45958</v>
      </c>
      <c r="W9" s="14">
        <v>45960</v>
      </c>
      <c r="X9" s="13">
        <v>6</v>
      </c>
      <c r="Y9" s="13">
        <v>8</v>
      </c>
      <c r="Z9" s="13">
        <v>28</v>
      </c>
      <c r="AA9" s="13">
        <v>4</v>
      </c>
      <c r="AB9" s="13">
        <v>14</v>
      </c>
      <c r="AC9" s="13">
        <v>2</v>
      </c>
      <c r="AD9" s="13">
        <v>1</v>
      </c>
      <c r="AE9" s="13">
        <v>1</v>
      </c>
      <c r="AF9" s="13">
        <v>0</v>
      </c>
      <c r="AG9" s="66">
        <v>1</v>
      </c>
      <c r="AH9" s="66">
        <v>1</v>
      </c>
      <c r="AI9" s="13">
        <v>1</v>
      </c>
      <c r="AJ9" s="13">
        <v>1</v>
      </c>
      <c r="AK9" s="13">
        <v>0</v>
      </c>
      <c r="AL9" s="15"/>
      <c r="AM9" s="10"/>
      <c r="AN9" s="10"/>
      <c r="AO9" s="19"/>
      <c r="AP9" s="19"/>
      <c r="AQ9" s="19"/>
      <c r="AR9" s="19"/>
      <c r="AS9" s="19"/>
      <c r="AT9" s="19"/>
      <c r="AU9" s="10">
        <f t="shared" si="0"/>
        <v>0.15625</v>
      </c>
      <c r="AV9" s="10">
        <f t="shared" si="1"/>
        <v>1.4285714285714286</v>
      </c>
      <c r="AW9" s="10">
        <f t="shared" si="2"/>
        <v>1.1111111111111112</v>
      </c>
      <c r="AX9" s="10">
        <f t="shared" si="3"/>
        <v>0.3125</v>
      </c>
      <c r="AY9" s="10">
        <f t="shared" si="4"/>
        <v>0.625</v>
      </c>
      <c r="AZ9" s="10">
        <f t="shared" si="8"/>
        <v>0.8</v>
      </c>
      <c r="BA9" s="10">
        <f t="shared" si="9"/>
        <v>0.1</v>
      </c>
      <c r="BB9" s="10">
        <f t="shared" si="10"/>
        <v>0.1</v>
      </c>
      <c r="BC9" s="10">
        <f t="shared" si="11"/>
        <v>0.3</v>
      </c>
      <c r="BD9" s="10">
        <f t="shared" si="12"/>
        <v>0.2</v>
      </c>
      <c r="BE9" s="10">
        <f t="shared" si="13"/>
        <v>0.66666666666666663</v>
      </c>
      <c r="BF9" s="43">
        <f t="shared" si="5"/>
        <v>0.1</v>
      </c>
      <c r="BG9" s="10">
        <f t="shared" si="6"/>
        <v>0.2</v>
      </c>
      <c r="BH9" s="41">
        <f t="shared" si="7"/>
        <v>0.1</v>
      </c>
    </row>
    <row r="10" spans="1:60" ht="275.5" x14ac:dyDescent="0.35">
      <c r="A10" s="17">
        <v>3</v>
      </c>
      <c r="B10" s="17" t="s">
        <v>54</v>
      </c>
      <c r="C10" s="19" t="s">
        <v>55</v>
      </c>
      <c r="D10" s="75" t="s">
        <v>74</v>
      </c>
      <c r="E10" s="18" t="s">
        <v>75</v>
      </c>
      <c r="F10" s="12" t="s">
        <v>119</v>
      </c>
      <c r="G10" s="19"/>
      <c r="H10" s="13">
        <f>ROUNDUP(I10/7.1,0)</f>
        <v>92</v>
      </c>
      <c r="I10" s="13">
        <v>648</v>
      </c>
      <c r="J10" s="13">
        <v>740</v>
      </c>
      <c r="K10" s="13">
        <v>648</v>
      </c>
      <c r="L10" s="14">
        <v>45839</v>
      </c>
      <c r="M10" s="14">
        <v>45889</v>
      </c>
      <c r="N10" s="14">
        <v>45841</v>
      </c>
      <c r="O10" s="14">
        <v>45881</v>
      </c>
      <c r="P10" s="14">
        <v>45841</v>
      </c>
      <c r="Q10" s="14">
        <v>45849</v>
      </c>
      <c r="R10" s="14">
        <v>45850</v>
      </c>
      <c r="S10" s="14">
        <v>45856</v>
      </c>
      <c r="T10" s="14">
        <v>45860</v>
      </c>
      <c r="U10" s="14">
        <v>45873</v>
      </c>
      <c r="V10" s="14">
        <v>45870</v>
      </c>
      <c r="W10" s="14">
        <v>45881</v>
      </c>
      <c r="X10" s="13">
        <v>36</v>
      </c>
      <c r="Y10" s="13">
        <v>24</v>
      </c>
      <c r="Z10" s="13">
        <v>328</v>
      </c>
      <c r="AA10" s="13">
        <v>30</v>
      </c>
      <c r="AB10" s="13">
        <v>172</v>
      </c>
      <c r="AC10" s="13">
        <v>30</v>
      </c>
      <c r="AD10" s="13">
        <v>16</v>
      </c>
      <c r="AE10" s="13">
        <v>12</v>
      </c>
      <c r="AF10" s="13">
        <v>1</v>
      </c>
      <c r="AG10" s="66">
        <v>1</v>
      </c>
      <c r="AH10" s="66">
        <v>3</v>
      </c>
      <c r="AI10" s="13">
        <v>2</v>
      </c>
      <c r="AJ10" s="13">
        <v>1</v>
      </c>
      <c r="AK10" s="13">
        <v>1</v>
      </c>
      <c r="AL10" s="15"/>
      <c r="AM10" s="10"/>
      <c r="AN10" s="10"/>
      <c r="AO10" s="19"/>
      <c r="AP10" s="19"/>
      <c r="AQ10" s="19"/>
      <c r="AR10" s="19"/>
      <c r="AS10" s="19"/>
      <c r="AT10" s="19"/>
      <c r="AU10" s="10">
        <f t="shared" si="0"/>
        <v>0.1419753086419753</v>
      </c>
      <c r="AV10" s="10">
        <f t="shared" si="1"/>
        <v>1.7692307692307692</v>
      </c>
      <c r="AW10" s="10">
        <f t="shared" si="2"/>
        <v>2.5555555555555554</v>
      </c>
      <c r="AX10" s="10">
        <f t="shared" si="3"/>
        <v>0.25698324022346369</v>
      </c>
      <c r="AY10" s="10">
        <f t="shared" si="4"/>
        <v>0.45544554455445546</v>
      </c>
      <c r="AZ10" s="10">
        <f t="shared" si="8"/>
        <v>0.43478260869565216</v>
      </c>
      <c r="BA10" s="10">
        <f t="shared" si="9"/>
        <v>8.6956521739130432E-2</v>
      </c>
      <c r="BB10" s="10">
        <f t="shared" si="10"/>
        <v>6.5217391304347824E-2</v>
      </c>
      <c r="BC10" s="10">
        <f t="shared" si="11"/>
        <v>0.14130434782608695</v>
      </c>
      <c r="BD10" s="10">
        <f t="shared" si="12"/>
        <v>0.11956521739130435</v>
      </c>
      <c r="BE10" s="10">
        <f t="shared" si="13"/>
        <v>0.71428571428571419</v>
      </c>
      <c r="BF10" s="43">
        <f t="shared" si="5"/>
        <v>3.2608695652173912E-2</v>
      </c>
      <c r="BG10" s="10">
        <f t="shared" si="6"/>
        <v>5.434782608695652E-2</v>
      </c>
      <c r="BH10" s="41">
        <f t="shared" si="7"/>
        <v>2.1739130434782608E-2</v>
      </c>
    </row>
    <row r="11" spans="1:60" ht="101.5" x14ac:dyDescent="0.35">
      <c r="A11" s="17"/>
      <c r="B11" s="17"/>
      <c r="C11" s="17"/>
      <c r="D11" s="74"/>
      <c r="E11" s="23" t="s">
        <v>76</v>
      </c>
      <c r="F11" s="12" t="s">
        <v>77</v>
      </c>
      <c r="G11" s="19"/>
      <c r="H11" s="13">
        <f t="shared" ref="H11:H20" si="15">ROUNDUP(I11/7.1,0)</f>
        <v>41</v>
      </c>
      <c r="I11" s="13">
        <v>288</v>
      </c>
      <c r="J11" s="13">
        <v>342</v>
      </c>
      <c r="K11" s="13">
        <v>288</v>
      </c>
      <c r="L11" s="14">
        <v>45881</v>
      </c>
      <c r="M11" s="14">
        <v>45899</v>
      </c>
      <c r="N11" s="14">
        <v>45882</v>
      </c>
      <c r="O11" s="14">
        <v>45897</v>
      </c>
      <c r="P11" s="14">
        <v>45882</v>
      </c>
      <c r="Q11" s="14">
        <v>45885</v>
      </c>
      <c r="R11" s="14">
        <v>45884</v>
      </c>
      <c r="S11" s="14">
        <v>45887</v>
      </c>
      <c r="T11" s="14">
        <v>45887</v>
      </c>
      <c r="U11" s="14">
        <v>45893</v>
      </c>
      <c r="V11" s="14">
        <v>45893</v>
      </c>
      <c r="W11" s="14">
        <v>45897</v>
      </c>
      <c r="X11" s="13">
        <v>24</v>
      </c>
      <c r="Y11" s="13">
        <v>20</v>
      </c>
      <c r="Z11" s="13">
        <v>128</v>
      </c>
      <c r="AA11" s="13">
        <v>18</v>
      </c>
      <c r="AB11" s="13">
        <v>76</v>
      </c>
      <c r="AC11" s="13">
        <v>14</v>
      </c>
      <c r="AD11" s="13">
        <v>4</v>
      </c>
      <c r="AE11" s="13">
        <v>4</v>
      </c>
      <c r="AF11" s="13">
        <v>2</v>
      </c>
      <c r="AG11" s="66">
        <v>2</v>
      </c>
      <c r="AH11" s="66">
        <v>3</v>
      </c>
      <c r="AI11" s="13">
        <v>1</v>
      </c>
      <c r="AJ11" s="13">
        <v>1</v>
      </c>
      <c r="AK11" s="13">
        <v>2</v>
      </c>
      <c r="AL11" s="15"/>
      <c r="AM11" s="10"/>
      <c r="AN11" s="10"/>
      <c r="AO11" s="19"/>
      <c r="AP11" s="19"/>
      <c r="AQ11" s="19"/>
      <c r="AR11" s="19"/>
      <c r="AS11" s="19"/>
      <c r="AT11" s="19"/>
      <c r="AU11" s="10">
        <f t="shared" si="0"/>
        <v>0.1423611111111111</v>
      </c>
      <c r="AV11" s="10">
        <f t="shared" si="1"/>
        <v>1.4642857142857142</v>
      </c>
      <c r="AW11" s="10">
        <f t="shared" si="2"/>
        <v>1.7083333333333333</v>
      </c>
      <c r="AX11" s="10">
        <f t="shared" si="3"/>
        <v>0.28082191780821919</v>
      </c>
      <c r="AY11" s="10">
        <f t="shared" si="4"/>
        <v>0.45555555555555555</v>
      </c>
      <c r="AZ11" s="10">
        <f t="shared" si="8"/>
        <v>0.36585365853658536</v>
      </c>
      <c r="BA11" s="10">
        <f t="shared" si="9"/>
        <v>7.3170731707317069E-2</v>
      </c>
      <c r="BB11" s="10">
        <f t="shared" si="10"/>
        <v>7.3170731707317069E-2</v>
      </c>
      <c r="BC11" s="10">
        <f t="shared" si="11"/>
        <v>0.14634146341463414</v>
      </c>
      <c r="BD11" s="10">
        <f t="shared" si="12"/>
        <v>9.7560975609756101E-2</v>
      </c>
      <c r="BE11" s="10">
        <f t="shared" si="13"/>
        <v>0.875</v>
      </c>
      <c r="BF11" s="43">
        <f t="shared" si="5"/>
        <v>7.3170731707317069E-2</v>
      </c>
      <c r="BG11" s="10">
        <f t="shared" si="6"/>
        <v>0.17073170731707318</v>
      </c>
      <c r="BH11" s="41">
        <f t="shared" si="7"/>
        <v>2.4390243902439025E-2</v>
      </c>
    </row>
    <row r="12" spans="1:60" ht="130.5" x14ac:dyDescent="0.35">
      <c r="A12" s="17"/>
      <c r="B12" s="17"/>
      <c r="C12" s="17"/>
      <c r="D12" s="72"/>
      <c r="E12" s="23" t="s">
        <v>78</v>
      </c>
      <c r="F12" s="12" t="s">
        <v>79</v>
      </c>
      <c r="G12" s="19"/>
      <c r="H12" s="13">
        <f t="shared" si="15"/>
        <v>30</v>
      </c>
      <c r="I12" s="13">
        <v>208</v>
      </c>
      <c r="J12" s="13">
        <v>263</v>
      </c>
      <c r="K12" s="13">
        <v>208</v>
      </c>
      <c r="L12" s="24">
        <v>45901</v>
      </c>
      <c r="M12" s="24">
        <v>45930</v>
      </c>
      <c r="N12" s="24">
        <v>45901</v>
      </c>
      <c r="O12" s="24">
        <v>45925</v>
      </c>
      <c r="P12" s="24">
        <v>45901</v>
      </c>
      <c r="Q12" s="24">
        <v>45903</v>
      </c>
      <c r="R12" s="24">
        <v>45904</v>
      </c>
      <c r="S12" s="24">
        <v>45906</v>
      </c>
      <c r="T12" s="24">
        <v>45909</v>
      </c>
      <c r="U12" s="24">
        <v>45918</v>
      </c>
      <c r="V12" s="24">
        <v>45920</v>
      </c>
      <c r="W12" s="24">
        <v>45925</v>
      </c>
      <c r="X12" s="13">
        <v>18</v>
      </c>
      <c r="Y12" s="13">
        <v>12</v>
      </c>
      <c r="Z12" s="13">
        <v>95</v>
      </c>
      <c r="AA12" s="13">
        <v>6</v>
      </c>
      <c r="AB12" s="13">
        <v>69</v>
      </c>
      <c r="AC12" s="13">
        <v>4</v>
      </c>
      <c r="AD12" s="13">
        <v>2</v>
      </c>
      <c r="AE12" s="13">
        <v>2</v>
      </c>
      <c r="AF12" s="13">
        <v>1</v>
      </c>
      <c r="AG12" s="66">
        <v>1</v>
      </c>
      <c r="AH12" s="66">
        <v>2</v>
      </c>
      <c r="AI12" s="13">
        <v>1</v>
      </c>
      <c r="AJ12" s="13">
        <v>1</v>
      </c>
      <c r="AK12" s="13">
        <v>1</v>
      </c>
      <c r="AL12" s="15"/>
      <c r="AM12" s="10"/>
      <c r="AN12" s="10"/>
      <c r="AO12" s="19"/>
      <c r="AP12" s="19"/>
      <c r="AQ12" s="19"/>
      <c r="AR12" s="19"/>
      <c r="AS12" s="19"/>
      <c r="AT12" s="19"/>
      <c r="AU12" s="10">
        <f t="shared" si="0"/>
        <v>0.14423076923076922</v>
      </c>
      <c r="AV12" s="10">
        <f t="shared" si="1"/>
        <v>1.5</v>
      </c>
      <c r="AW12" s="10">
        <f t="shared" si="2"/>
        <v>2.1428571428571428</v>
      </c>
      <c r="AX12" s="10">
        <f t="shared" si="3"/>
        <v>0.29702970297029702</v>
      </c>
      <c r="AY12" s="10">
        <f t="shared" si="4"/>
        <v>0.41095890410958902</v>
      </c>
      <c r="AZ12" s="10">
        <f t="shared" si="8"/>
        <v>0.8</v>
      </c>
      <c r="BA12" s="10">
        <f t="shared" si="9"/>
        <v>6.6666666666666666E-2</v>
      </c>
      <c r="BB12" s="10">
        <f t="shared" si="10"/>
        <v>6.6666666666666666E-2</v>
      </c>
      <c r="BC12" s="10">
        <f t="shared" si="11"/>
        <v>0.3</v>
      </c>
      <c r="BD12" s="10">
        <f t="shared" si="12"/>
        <v>0.16666666666666666</v>
      </c>
      <c r="BE12" s="10">
        <f t="shared" si="13"/>
        <v>0.8</v>
      </c>
      <c r="BF12" s="43">
        <f t="shared" si="5"/>
        <v>6.6666666666666666E-2</v>
      </c>
      <c r="BG12" s="10">
        <f t="shared" si="6"/>
        <v>0.13333333333333333</v>
      </c>
      <c r="BH12" s="41">
        <f t="shared" si="7"/>
        <v>3.3333333333333333E-2</v>
      </c>
    </row>
    <row r="13" spans="1:60" ht="130.5" x14ac:dyDescent="0.35">
      <c r="A13" s="17">
        <v>5</v>
      </c>
      <c r="B13" s="17" t="s">
        <v>54</v>
      </c>
      <c r="C13" s="17" t="s">
        <v>55</v>
      </c>
      <c r="D13" s="73" t="s">
        <v>80</v>
      </c>
      <c r="E13" s="23" t="s">
        <v>81</v>
      </c>
      <c r="F13" s="12" t="s">
        <v>120</v>
      </c>
      <c r="G13" s="19"/>
      <c r="H13" s="13">
        <f t="shared" si="15"/>
        <v>38</v>
      </c>
      <c r="I13" s="13">
        <v>264</v>
      </c>
      <c r="J13" s="13">
        <v>301</v>
      </c>
      <c r="K13" s="13">
        <v>264</v>
      </c>
      <c r="L13" s="14">
        <v>45839</v>
      </c>
      <c r="M13" s="14">
        <v>45860</v>
      </c>
      <c r="N13" s="14">
        <v>45839</v>
      </c>
      <c r="O13" s="14">
        <v>45857</v>
      </c>
      <c r="P13" s="14">
        <v>45839</v>
      </c>
      <c r="Q13" s="14">
        <v>45842</v>
      </c>
      <c r="R13" s="14">
        <v>45843</v>
      </c>
      <c r="S13" s="14">
        <v>45845</v>
      </c>
      <c r="T13" s="14">
        <v>45845</v>
      </c>
      <c r="U13" s="14">
        <v>45853</v>
      </c>
      <c r="V13" s="14">
        <v>45853</v>
      </c>
      <c r="W13" s="14">
        <v>45857</v>
      </c>
      <c r="X13" s="21">
        <v>22</v>
      </c>
      <c r="Y13" s="21">
        <v>15</v>
      </c>
      <c r="Z13" s="21">
        <v>132</v>
      </c>
      <c r="AA13" s="21">
        <v>10</v>
      </c>
      <c r="AB13" s="21">
        <v>69</v>
      </c>
      <c r="AC13" s="21">
        <v>10</v>
      </c>
      <c r="AD13" s="21">
        <v>4</v>
      </c>
      <c r="AE13" s="21">
        <v>2</v>
      </c>
      <c r="AF13" s="13">
        <v>0</v>
      </c>
      <c r="AG13" s="13">
        <v>1</v>
      </c>
      <c r="AH13" s="13">
        <v>3</v>
      </c>
      <c r="AI13" s="13">
        <v>1</v>
      </c>
      <c r="AJ13" s="13">
        <v>1</v>
      </c>
      <c r="AK13" s="13">
        <v>0</v>
      </c>
      <c r="AL13" s="15"/>
      <c r="AM13" s="10"/>
      <c r="AN13" s="10"/>
      <c r="AO13" s="19"/>
      <c r="AP13" s="19"/>
      <c r="AQ13" s="19"/>
      <c r="AR13" s="19"/>
      <c r="AS13" s="19"/>
      <c r="AT13" s="19"/>
      <c r="AU13" s="10">
        <f t="shared" si="0"/>
        <v>0.14393939393939395</v>
      </c>
      <c r="AV13" s="10">
        <f t="shared" si="1"/>
        <v>1.4615384615384615</v>
      </c>
      <c r="AW13" s="10">
        <f t="shared" si="2"/>
        <v>2.2352941176470589</v>
      </c>
      <c r="AX13" s="10">
        <f t="shared" si="3"/>
        <v>0.26760563380281688</v>
      </c>
      <c r="AY13" s="10">
        <f t="shared" si="4"/>
        <v>0.48101265822784811</v>
      </c>
      <c r="AZ13" s="10">
        <f t="shared" si="8"/>
        <v>0.47368421052631576</v>
      </c>
      <c r="BA13" s="10">
        <f t="shared" si="9"/>
        <v>7.8947368421052627E-2</v>
      </c>
      <c r="BB13" s="10">
        <f t="shared" si="10"/>
        <v>5.2631578947368418E-2</v>
      </c>
      <c r="BC13" s="10">
        <f t="shared" si="11"/>
        <v>0.21052631578947367</v>
      </c>
      <c r="BD13" s="10">
        <f t="shared" si="12"/>
        <v>0.10526315789473684</v>
      </c>
      <c r="BE13" s="10">
        <f t="shared" si="13"/>
        <v>0.8</v>
      </c>
      <c r="BF13" s="43">
        <f t="shared" si="5"/>
        <v>7.8947368421052627E-2</v>
      </c>
      <c r="BG13" s="10">
        <f t="shared" si="6"/>
        <v>0.10526315789473684</v>
      </c>
      <c r="BH13" s="41">
        <f t="shared" si="7"/>
        <v>2.6315789473684209E-2</v>
      </c>
    </row>
    <row r="14" spans="1:60" ht="66" customHeight="1" x14ac:dyDescent="0.35">
      <c r="A14" s="17"/>
      <c r="B14" s="17"/>
      <c r="C14" s="17"/>
      <c r="D14" s="72"/>
      <c r="E14" s="23" t="s">
        <v>82</v>
      </c>
      <c r="F14" s="12" t="s">
        <v>83</v>
      </c>
      <c r="G14" s="19"/>
      <c r="H14" s="13">
        <f t="shared" si="15"/>
        <v>10</v>
      </c>
      <c r="I14" s="13">
        <v>64</v>
      </c>
      <c r="J14" s="13">
        <v>88</v>
      </c>
      <c r="K14" s="13">
        <v>64</v>
      </c>
      <c r="L14" s="14">
        <v>45873</v>
      </c>
      <c r="M14" s="14">
        <v>45888</v>
      </c>
      <c r="N14" s="14">
        <v>45874</v>
      </c>
      <c r="O14" s="14">
        <v>45882</v>
      </c>
      <c r="P14" s="14">
        <v>45874</v>
      </c>
      <c r="Q14" s="14">
        <v>45875</v>
      </c>
      <c r="R14" s="14">
        <v>45875</v>
      </c>
      <c r="S14" s="14">
        <v>45876</v>
      </c>
      <c r="T14" s="14">
        <v>45877</v>
      </c>
      <c r="U14" s="14">
        <v>45881</v>
      </c>
      <c r="V14" s="14">
        <v>45881</v>
      </c>
      <c r="W14" s="14">
        <v>45882</v>
      </c>
      <c r="X14" s="21">
        <v>8</v>
      </c>
      <c r="Y14" s="21">
        <v>5</v>
      </c>
      <c r="Z14" s="21">
        <v>32</v>
      </c>
      <c r="AA14" s="21">
        <v>2</v>
      </c>
      <c r="AB14" s="21">
        <v>13</v>
      </c>
      <c r="AC14" s="21">
        <v>2</v>
      </c>
      <c r="AD14" s="21">
        <v>1</v>
      </c>
      <c r="AE14" s="21">
        <v>1</v>
      </c>
      <c r="AF14" s="13">
        <v>1</v>
      </c>
      <c r="AG14" s="13">
        <v>1</v>
      </c>
      <c r="AH14" s="13">
        <v>1</v>
      </c>
      <c r="AI14" s="13">
        <v>1</v>
      </c>
      <c r="AJ14" s="13">
        <v>0</v>
      </c>
      <c r="AK14" s="13">
        <v>1</v>
      </c>
      <c r="AL14" s="15"/>
      <c r="AM14" s="10"/>
      <c r="AN14" s="10"/>
      <c r="AO14" s="19"/>
      <c r="AP14" s="19"/>
      <c r="AQ14" s="19"/>
      <c r="AR14" s="19"/>
      <c r="AS14" s="19"/>
      <c r="AT14" s="19"/>
      <c r="AU14" s="10">
        <f t="shared" si="0"/>
        <v>0.15625</v>
      </c>
      <c r="AV14" s="10">
        <f t="shared" si="1"/>
        <v>1.1111111111111112</v>
      </c>
      <c r="AW14" s="10">
        <f t="shared" si="2"/>
        <v>1.6666666666666667</v>
      </c>
      <c r="AX14" s="10">
        <f t="shared" si="3"/>
        <v>0.29411764705882354</v>
      </c>
      <c r="AY14" s="10">
        <f t="shared" si="4"/>
        <v>0.66666666666666663</v>
      </c>
      <c r="AZ14" s="10">
        <f t="shared" si="8"/>
        <v>0.8</v>
      </c>
      <c r="BA14" s="10">
        <f t="shared" si="9"/>
        <v>0.1</v>
      </c>
      <c r="BB14" s="10">
        <f t="shared" si="10"/>
        <v>0.1</v>
      </c>
      <c r="BC14" s="10">
        <f t="shared" si="11"/>
        <v>0.4</v>
      </c>
      <c r="BD14" s="10">
        <f t="shared" si="12"/>
        <v>0.1</v>
      </c>
      <c r="BE14" s="10">
        <f t="shared" si="13"/>
        <v>0.74999999999999989</v>
      </c>
      <c r="BF14" s="43">
        <f t="shared" si="5"/>
        <v>0.1</v>
      </c>
      <c r="BG14" s="10">
        <f t="shared" si="6"/>
        <v>0.3</v>
      </c>
      <c r="BH14" s="41">
        <f t="shared" si="7"/>
        <v>0.1</v>
      </c>
    </row>
    <row r="15" spans="1:60" ht="78" customHeight="1" x14ac:dyDescent="0.35">
      <c r="A15" s="17">
        <v>6</v>
      </c>
      <c r="B15" s="17" t="s">
        <v>54</v>
      </c>
      <c r="C15" s="17" t="s">
        <v>55</v>
      </c>
      <c r="D15" s="71" t="s">
        <v>84</v>
      </c>
      <c r="E15" s="23" t="s">
        <v>85</v>
      </c>
      <c r="F15" s="12" t="s">
        <v>86</v>
      </c>
      <c r="G15" s="19"/>
      <c r="H15" s="13">
        <f t="shared" si="15"/>
        <v>6</v>
      </c>
      <c r="I15" s="13">
        <v>42</v>
      </c>
      <c r="J15" s="13">
        <v>53</v>
      </c>
      <c r="K15" s="13">
        <v>42</v>
      </c>
      <c r="L15" s="14">
        <v>45846</v>
      </c>
      <c r="M15" s="14">
        <v>45859</v>
      </c>
      <c r="N15" s="14">
        <v>45847</v>
      </c>
      <c r="O15" s="14">
        <v>45853</v>
      </c>
      <c r="P15" s="14">
        <v>45847</v>
      </c>
      <c r="Q15" s="14">
        <v>45848</v>
      </c>
      <c r="R15" s="14">
        <v>45848</v>
      </c>
      <c r="S15" s="14">
        <v>45849</v>
      </c>
      <c r="T15" s="14">
        <v>45849</v>
      </c>
      <c r="U15" s="14">
        <v>45852</v>
      </c>
      <c r="V15" s="14">
        <v>45850</v>
      </c>
      <c r="W15" s="14">
        <v>45852</v>
      </c>
      <c r="X15" s="21">
        <v>4</v>
      </c>
      <c r="Y15" s="21">
        <v>3</v>
      </c>
      <c r="Z15" s="21">
        <v>21</v>
      </c>
      <c r="AA15" s="21">
        <v>2</v>
      </c>
      <c r="AB15" s="21">
        <v>7</v>
      </c>
      <c r="AC15" s="21">
        <v>1</v>
      </c>
      <c r="AD15" s="21">
        <v>2</v>
      </c>
      <c r="AE15" s="21">
        <v>2</v>
      </c>
      <c r="AF15" s="13">
        <v>0</v>
      </c>
      <c r="AG15" s="13">
        <v>1</v>
      </c>
      <c r="AH15" s="13">
        <v>1</v>
      </c>
      <c r="AI15" s="13">
        <v>0</v>
      </c>
      <c r="AJ15" s="13">
        <v>0</v>
      </c>
      <c r="AK15" s="13">
        <v>0</v>
      </c>
      <c r="AL15" s="15"/>
      <c r="AM15" s="10"/>
      <c r="AN15" s="10"/>
      <c r="AO15" s="19"/>
      <c r="AP15" s="19"/>
      <c r="AQ15" s="19"/>
      <c r="AR15" s="19"/>
      <c r="AS15" s="19"/>
      <c r="AT15" s="19"/>
      <c r="AU15" s="10">
        <f t="shared" si="0"/>
        <v>0.14285714285714285</v>
      </c>
      <c r="AV15" s="10">
        <f t="shared" si="1"/>
        <v>1</v>
      </c>
      <c r="AW15" s="10">
        <f t="shared" si="2"/>
        <v>1.2</v>
      </c>
      <c r="AX15" s="10">
        <f t="shared" si="3"/>
        <v>0.2608695652173913</v>
      </c>
      <c r="AY15" s="10">
        <f t="shared" si="4"/>
        <v>0.75</v>
      </c>
      <c r="AZ15" s="10">
        <f t="shared" si="8"/>
        <v>0.83333333333333337</v>
      </c>
      <c r="BA15" s="10">
        <f t="shared" si="9"/>
        <v>0.16666666666666666</v>
      </c>
      <c r="BB15" s="10">
        <f t="shared" si="10"/>
        <v>0.16666666666666666</v>
      </c>
      <c r="BC15" s="10">
        <f t="shared" si="11"/>
        <v>0.5</v>
      </c>
      <c r="BD15" s="10">
        <f t="shared" si="12"/>
        <v>0.33333333333333331</v>
      </c>
      <c r="BE15" s="10">
        <f t="shared" si="13"/>
        <v>1</v>
      </c>
      <c r="BF15" s="43">
        <f t="shared" si="5"/>
        <v>0.16666666666666666</v>
      </c>
      <c r="BG15" s="10">
        <f t="shared" si="6"/>
        <v>0.33333333333333331</v>
      </c>
      <c r="BH15" s="41">
        <f t="shared" si="7"/>
        <v>0</v>
      </c>
    </row>
    <row r="16" spans="1:60" ht="78" customHeight="1" x14ac:dyDescent="0.35">
      <c r="A16" s="17"/>
      <c r="B16" s="17"/>
      <c r="C16" s="17"/>
      <c r="D16" s="72"/>
      <c r="E16" s="23" t="s">
        <v>87</v>
      </c>
      <c r="F16" s="12" t="s">
        <v>88</v>
      </c>
      <c r="G16" s="19"/>
      <c r="H16" s="13">
        <f t="shared" si="15"/>
        <v>5</v>
      </c>
      <c r="I16" s="13">
        <v>34</v>
      </c>
      <c r="J16" s="13">
        <v>38</v>
      </c>
      <c r="K16" s="13">
        <v>34</v>
      </c>
      <c r="L16" s="14">
        <v>45901</v>
      </c>
      <c r="M16" s="14">
        <v>45908</v>
      </c>
      <c r="N16" s="14">
        <v>45903</v>
      </c>
      <c r="O16" s="14">
        <v>45908</v>
      </c>
      <c r="P16" s="14">
        <v>45903</v>
      </c>
      <c r="Q16" s="14">
        <v>45904</v>
      </c>
      <c r="R16" s="14">
        <v>45904</v>
      </c>
      <c r="S16" s="14">
        <v>45905</v>
      </c>
      <c r="T16" s="14">
        <v>45906</v>
      </c>
      <c r="U16" s="14">
        <v>45907</v>
      </c>
      <c r="V16" s="14">
        <v>45907</v>
      </c>
      <c r="W16" s="14">
        <v>45908</v>
      </c>
      <c r="X16" s="21">
        <v>4</v>
      </c>
      <c r="Y16" s="21">
        <v>4</v>
      </c>
      <c r="Z16" s="21">
        <v>13</v>
      </c>
      <c r="AA16" s="21">
        <v>1</v>
      </c>
      <c r="AB16" s="21">
        <v>9</v>
      </c>
      <c r="AC16" s="21">
        <v>1</v>
      </c>
      <c r="AD16" s="21">
        <v>1</v>
      </c>
      <c r="AE16" s="21">
        <v>1</v>
      </c>
      <c r="AF16" s="13">
        <v>1</v>
      </c>
      <c r="AG16" s="13">
        <v>0</v>
      </c>
      <c r="AH16" s="13">
        <v>0</v>
      </c>
      <c r="AI16" s="13">
        <v>1</v>
      </c>
      <c r="AJ16" s="13">
        <v>1</v>
      </c>
      <c r="AK16" s="13">
        <v>1</v>
      </c>
      <c r="AL16" s="15"/>
      <c r="AM16" s="10"/>
      <c r="AN16" s="10"/>
      <c r="AO16" s="19"/>
      <c r="AP16" s="19"/>
      <c r="AQ16" s="19"/>
      <c r="AR16" s="19"/>
      <c r="AS16" s="19"/>
      <c r="AT16" s="19"/>
      <c r="AU16" s="10">
        <f t="shared" si="0"/>
        <v>0.14705882352941177</v>
      </c>
      <c r="AV16" s="10">
        <f t="shared" si="1"/>
        <v>1</v>
      </c>
      <c r="AW16" s="10">
        <f t="shared" si="2"/>
        <v>1</v>
      </c>
      <c r="AX16" s="10">
        <f t="shared" si="3"/>
        <v>0.35714285714285715</v>
      </c>
      <c r="AY16" s="10">
        <f t="shared" si="4"/>
        <v>0.5</v>
      </c>
      <c r="AZ16" s="10">
        <f t="shared" si="8"/>
        <v>1</v>
      </c>
      <c r="BA16" s="10">
        <f t="shared" si="9"/>
        <v>0.2</v>
      </c>
      <c r="BB16" s="10">
        <f t="shared" si="10"/>
        <v>0.2</v>
      </c>
      <c r="BC16" s="10">
        <f t="shared" si="11"/>
        <v>0.2</v>
      </c>
      <c r="BD16" s="10">
        <f t="shared" si="12"/>
        <v>0.2</v>
      </c>
      <c r="BE16" s="10">
        <f t="shared" si="13"/>
        <v>0.5</v>
      </c>
      <c r="BF16" s="43">
        <f t="shared" si="5"/>
        <v>0</v>
      </c>
      <c r="BG16" s="10">
        <f t="shared" si="6"/>
        <v>0.2</v>
      </c>
      <c r="BH16" s="41">
        <f t="shared" si="7"/>
        <v>0.2</v>
      </c>
    </row>
    <row r="17" spans="1:60" ht="78" customHeight="1" x14ac:dyDescent="0.35">
      <c r="A17" s="17">
        <v>7</v>
      </c>
      <c r="B17" s="17" t="s">
        <v>54</v>
      </c>
      <c r="C17" s="17" t="s">
        <v>55</v>
      </c>
      <c r="D17" s="71" t="s">
        <v>89</v>
      </c>
      <c r="E17" s="23" t="s">
        <v>90</v>
      </c>
      <c r="F17" s="12" t="s">
        <v>91</v>
      </c>
      <c r="G17" s="19"/>
      <c r="H17" s="13">
        <f t="shared" si="15"/>
        <v>5</v>
      </c>
      <c r="I17" s="13">
        <v>32</v>
      </c>
      <c r="J17" s="13">
        <v>42</v>
      </c>
      <c r="K17" s="13">
        <v>32</v>
      </c>
      <c r="L17" s="14">
        <v>45908</v>
      </c>
      <c r="M17" s="14">
        <v>45918</v>
      </c>
      <c r="N17" s="14">
        <v>45908</v>
      </c>
      <c r="O17" s="14">
        <v>45916</v>
      </c>
      <c r="P17" s="14">
        <v>45908</v>
      </c>
      <c r="Q17" s="14">
        <v>45909</v>
      </c>
      <c r="R17" s="14">
        <v>45910</v>
      </c>
      <c r="S17" s="14">
        <v>45911</v>
      </c>
      <c r="T17" s="14">
        <v>45913</v>
      </c>
      <c r="U17" s="14">
        <v>45915</v>
      </c>
      <c r="V17" s="14">
        <v>45915</v>
      </c>
      <c r="W17" s="14">
        <v>45916</v>
      </c>
      <c r="X17" s="21">
        <v>2</v>
      </c>
      <c r="Y17" s="21">
        <v>2</v>
      </c>
      <c r="Z17" s="21">
        <v>16</v>
      </c>
      <c r="AA17" s="21">
        <v>1</v>
      </c>
      <c r="AB17" s="21">
        <v>6</v>
      </c>
      <c r="AC17" s="21">
        <v>1</v>
      </c>
      <c r="AD17" s="21">
        <v>2</v>
      </c>
      <c r="AE17" s="21">
        <v>2</v>
      </c>
      <c r="AF17" s="13">
        <v>0</v>
      </c>
      <c r="AG17" s="13">
        <v>2</v>
      </c>
      <c r="AH17" s="13">
        <v>1</v>
      </c>
      <c r="AI17" s="13">
        <v>2</v>
      </c>
      <c r="AJ17" s="13">
        <v>0</v>
      </c>
      <c r="AK17" s="13">
        <v>1</v>
      </c>
      <c r="AL17" s="15"/>
      <c r="AM17" s="10"/>
      <c r="AN17" s="10"/>
      <c r="AO17" s="19"/>
      <c r="AP17" s="19"/>
      <c r="AQ17" s="19"/>
      <c r="AR17" s="19"/>
      <c r="AS17" s="19"/>
      <c r="AT17" s="19"/>
      <c r="AU17" s="10">
        <f t="shared" si="0"/>
        <v>0.15625</v>
      </c>
      <c r="AV17" s="10">
        <f t="shared" si="1"/>
        <v>1.25</v>
      </c>
      <c r="AW17" s="10">
        <f t="shared" si="2"/>
        <v>1.25</v>
      </c>
      <c r="AX17" s="10">
        <f t="shared" si="3"/>
        <v>0.29411764705882354</v>
      </c>
      <c r="AY17" s="10">
        <f t="shared" si="4"/>
        <v>0.7142857142857143</v>
      </c>
      <c r="AZ17" s="10">
        <f t="shared" si="8"/>
        <v>1.6</v>
      </c>
      <c r="BA17" s="10">
        <f t="shared" si="9"/>
        <v>0.2</v>
      </c>
      <c r="BB17" s="10">
        <f t="shared" si="10"/>
        <v>0.2</v>
      </c>
      <c r="BC17" s="10">
        <f t="shared" si="11"/>
        <v>0.4</v>
      </c>
      <c r="BD17" s="10">
        <f t="shared" si="12"/>
        <v>0.2</v>
      </c>
      <c r="BE17" s="10">
        <f t="shared" si="13"/>
        <v>0.6</v>
      </c>
      <c r="BF17" s="43">
        <f t="shared" si="5"/>
        <v>0.2</v>
      </c>
      <c r="BG17" s="10">
        <f t="shared" si="6"/>
        <v>0.6</v>
      </c>
      <c r="BH17" s="41">
        <f t="shared" si="7"/>
        <v>0.4</v>
      </c>
    </row>
    <row r="18" spans="1:60" ht="78" customHeight="1" x14ac:dyDescent="0.35">
      <c r="A18" s="17"/>
      <c r="B18" s="17"/>
      <c r="C18" s="17"/>
      <c r="D18" s="72"/>
      <c r="E18" s="23" t="s">
        <v>92</v>
      </c>
      <c r="F18" s="12" t="s">
        <v>93</v>
      </c>
      <c r="G18" s="19"/>
      <c r="H18" s="13">
        <f t="shared" si="15"/>
        <v>5</v>
      </c>
      <c r="I18" s="13">
        <v>32</v>
      </c>
      <c r="J18" s="13">
        <v>40</v>
      </c>
      <c r="K18" s="13">
        <v>32</v>
      </c>
      <c r="L18" s="25">
        <v>45945</v>
      </c>
      <c r="M18" s="25">
        <v>45960</v>
      </c>
      <c r="N18" s="25">
        <v>45945</v>
      </c>
      <c r="O18" s="25">
        <v>45959</v>
      </c>
      <c r="P18" s="25">
        <v>45945</v>
      </c>
      <c r="Q18" s="25">
        <v>45946</v>
      </c>
      <c r="R18" s="25">
        <v>45947</v>
      </c>
      <c r="S18" s="25">
        <v>45948</v>
      </c>
      <c r="T18" s="25">
        <v>45949</v>
      </c>
      <c r="U18" s="25">
        <v>45951</v>
      </c>
      <c r="V18" s="25">
        <v>45950</v>
      </c>
      <c r="W18" s="25">
        <v>45952</v>
      </c>
      <c r="X18" s="21">
        <v>3</v>
      </c>
      <c r="Y18" s="21">
        <v>3</v>
      </c>
      <c r="Z18" s="21">
        <v>14</v>
      </c>
      <c r="AA18" s="21">
        <v>1</v>
      </c>
      <c r="AB18" s="21">
        <v>7</v>
      </c>
      <c r="AC18" s="21">
        <v>2</v>
      </c>
      <c r="AD18" s="21">
        <v>1</v>
      </c>
      <c r="AE18" s="21">
        <v>1</v>
      </c>
      <c r="AF18" s="13">
        <v>1</v>
      </c>
      <c r="AG18" s="13">
        <v>0</v>
      </c>
      <c r="AH18" s="13">
        <v>1</v>
      </c>
      <c r="AI18" s="13">
        <v>1</v>
      </c>
      <c r="AJ18" s="13">
        <v>0</v>
      </c>
      <c r="AK18" s="13">
        <v>1</v>
      </c>
      <c r="AL18" s="15"/>
      <c r="AM18" s="10"/>
      <c r="AN18" s="10"/>
      <c r="AO18" s="19"/>
      <c r="AP18" s="19"/>
      <c r="AQ18" s="19"/>
      <c r="AR18" s="19"/>
      <c r="AS18" s="19"/>
      <c r="AT18" s="19"/>
      <c r="AU18" s="10">
        <f t="shared" si="0"/>
        <v>0.15625</v>
      </c>
      <c r="AV18" s="10">
        <f t="shared" si="1"/>
        <v>1.25</v>
      </c>
      <c r="AW18" s="10">
        <f t="shared" si="2"/>
        <v>1.25</v>
      </c>
      <c r="AX18" s="10">
        <f t="shared" si="3"/>
        <v>0.33333333333333331</v>
      </c>
      <c r="AY18" s="10">
        <f t="shared" si="4"/>
        <v>0.55555555555555558</v>
      </c>
      <c r="AZ18" s="10">
        <f t="shared" si="8"/>
        <v>1.4</v>
      </c>
      <c r="BA18" s="10">
        <f t="shared" si="9"/>
        <v>0.2</v>
      </c>
      <c r="BB18" s="10">
        <f t="shared" si="10"/>
        <v>0.2</v>
      </c>
      <c r="BC18" s="10">
        <f t="shared" si="11"/>
        <v>0.4</v>
      </c>
      <c r="BD18" s="10">
        <f t="shared" si="12"/>
        <v>0.4</v>
      </c>
      <c r="BE18" s="10">
        <f t="shared" si="13"/>
        <v>0.66666666666666663</v>
      </c>
      <c r="BF18" s="43">
        <f t="shared" si="5"/>
        <v>0.2</v>
      </c>
      <c r="BG18" s="10">
        <f t="shared" si="6"/>
        <v>0.4</v>
      </c>
      <c r="BH18" s="41">
        <f t="shared" si="7"/>
        <v>0.2</v>
      </c>
    </row>
    <row r="19" spans="1:60" ht="116" x14ac:dyDescent="0.35">
      <c r="A19" s="17">
        <v>8</v>
      </c>
      <c r="B19" s="17" t="s">
        <v>54</v>
      </c>
      <c r="C19" s="17" t="s">
        <v>55</v>
      </c>
      <c r="D19" s="73" t="s">
        <v>94</v>
      </c>
      <c r="E19" s="23" t="s">
        <v>95</v>
      </c>
      <c r="F19" s="12" t="s">
        <v>96</v>
      </c>
      <c r="G19" s="19"/>
      <c r="H19" s="13">
        <f t="shared" si="15"/>
        <v>56</v>
      </c>
      <c r="I19" s="13">
        <v>394</v>
      </c>
      <c r="J19" s="13">
        <v>461</v>
      </c>
      <c r="K19" s="13">
        <v>394</v>
      </c>
      <c r="L19" s="14">
        <v>45839</v>
      </c>
      <c r="M19" s="14">
        <v>45879</v>
      </c>
      <c r="N19" s="14">
        <v>45839</v>
      </c>
      <c r="O19" s="14">
        <v>45873</v>
      </c>
      <c r="P19" s="14">
        <v>45839</v>
      </c>
      <c r="Q19" s="14">
        <v>45843</v>
      </c>
      <c r="R19" s="14">
        <v>45844</v>
      </c>
      <c r="S19" s="14">
        <v>45849</v>
      </c>
      <c r="T19" s="14">
        <v>45850</v>
      </c>
      <c r="U19" s="14">
        <v>45864</v>
      </c>
      <c r="V19" s="14">
        <v>45864</v>
      </c>
      <c r="W19" s="14">
        <v>45873</v>
      </c>
      <c r="X19" s="21">
        <v>26</v>
      </c>
      <c r="Y19" s="21">
        <v>30</v>
      </c>
      <c r="Z19" s="21">
        <v>182</v>
      </c>
      <c r="AA19" s="21">
        <v>16</v>
      </c>
      <c r="AB19" s="21">
        <v>120</v>
      </c>
      <c r="AC19" s="21">
        <v>12</v>
      </c>
      <c r="AD19" s="21">
        <v>4</v>
      </c>
      <c r="AE19" s="21">
        <v>4</v>
      </c>
      <c r="AF19" s="66">
        <v>1</v>
      </c>
      <c r="AG19" s="13">
        <v>1</v>
      </c>
      <c r="AH19" s="13">
        <v>2</v>
      </c>
      <c r="AI19" s="13">
        <v>1</v>
      </c>
      <c r="AJ19" s="13">
        <v>0</v>
      </c>
      <c r="AK19" s="13">
        <v>1</v>
      </c>
      <c r="AL19" s="15"/>
      <c r="AM19" s="10"/>
      <c r="AN19" s="10"/>
      <c r="AO19" s="19"/>
      <c r="AP19" s="19"/>
      <c r="AQ19" s="19"/>
      <c r="AR19" s="19"/>
      <c r="AS19" s="19"/>
      <c r="AT19" s="19"/>
      <c r="AU19" s="10">
        <f t="shared" si="0"/>
        <v>0.14213197969543148</v>
      </c>
      <c r="AV19" s="10">
        <f t="shared" si="1"/>
        <v>1.8666666666666667</v>
      </c>
      <c r="AW19" s="10">
        <f t="shared" si="2"/>
        <v>1.6470588235294117</v>
      </c>
      <c r="AX19" s="10">
        <f t="shared" si="3"/>
        <v>0.28282828282828282</v>
      </c>
      <c r="AY19" s="10">
        <f t="shared" si="4"/>
        <v>0.42424242424242425</v>
      </c>
      <c r="AZ19" s="10">
        <f t="shared" si="8"/>
        <v>0.6071428571428571</v>
      </c>
      <c r="BA19" s="10">
        <f t="shared" si="9"/>
        <v>7.1428571428571425E-2</v>
      </c>
      <c r="BB19" s="10">
        <f t="shared" si="10"/>
        <v>8.9285714285714288E-2</v>
      </c>
      <c r="BC19" s="10">
        <f t="shared" si="11"/>
        <v>0.25</v>
      </c>
      <c r="BD19" s="10">
        <f t="shared" si="12"/>
        <v>0.16071428571428573</v>
      </c>
      <c r="BE19" s="10">
        <f t="shared" si="13"/>
        <v>0.8</v>
      </c>
      <c r="BF19" s="43">
        <f t="shared" si="5"/>
        <v>3.5714285714285712E-2</v>
      </c>
      <c r="BG19" s="10">
        <f t="shared" si="6"/>
        <v>7.1428571428571425E-2</v>
      </c>
      <c r="BH19" s="41">
        <f t="shared" si="7"/>
        <v>1.7857142857142856E-2</v>
      </c>
    </row>
    <row r="20" spans="1:60" ht="188.5" x14ac:dyDescent="0.35">
      <c r="A20" s="17"/>
      <c r="B20" s="17"/>
      <c r="C20" s="17"/>
      <c r="D20" s="72"/>
      <c r="E20" s="23" t="s">
        <v>97</v>
      </c>
      <c r="F20" s="12" t="s">
        <v>121</v>
      </c>
      <c r="G20" s="19"/>
      <c r="H20" s="13">
        <f t="shared" si="15"/>
        <v>25</v>
      </c>
      <c r="I20" s="13">
        <v>177</v>
      </c>
      <c r="J20" s="13">
        <v>167</v>
      </c>
      <c r="K20" s="13">
        <v>177</v>
      </c>
      <c r="L20" s="14">
        <v>45880</v>
      </c>
      <c r="M20" s="14">
        <v>45906</v>
      </c>
      <c r="N20" s="14">
        <v>45881</v>
      </c>
      <c r="O20" s="14">
        <v>45907</v>
      </c>
      <c r="P20" s="14">
        <v>45881</v>
      </c>
      <c r="Q20" s="14">
        <v>45882</v>
      </c>
      <c r="R20" s="14">
        <v>45881</v>
      </c>
      <c r="S20" s="14">
        <v>45883</v>
      </c>
      <c r="T20" s="14">
        <v>45889</v>
      </c>
      <c r="U20" s="14">
        <v>45898</v>
      </c>
      <c r="V20" s="14">
        <v>45903</v>
      </c>
      <c r="W20" s="14">
        <v>45907</v>
      </c>
      <c r="X20" s="21">
        <v>10</v>
      </c>
      <c r="Y20" s="21">
        <v>13</v>
      </c>
      <c r="Z20" s="21">
        <v>101</v>
      </c>
      <c r="AA20" s="21">
        <v>8</v>
      </c>
      <c r="AB20" s="21">
        <v>35</v>
      </c>
      <c r="AC20" s="21">
        <v>4</v>
      </c>
      <c r="AD20" s="21">
        <v>3</v>
      </c>
      <c r="AE20" s="21">
        <v>3</v>
      </c>
      <c r="AF20" s="13">
        <v>0</v>
      </c>
      <c r="AG20" s="13">
        <v>1</v>
      </c>
      <c r="AH20" s="13">
        <v>2</v>
      </c>
      <c r="AI20" s="66">
        <v>1</v>
      </c>
      <c r="AJ20" s="13">
        <v>0</v>
      </c>
      <c r="AK20" s="13">
        <v>0</v>
      </c>
      <c r="AL20" s="15"/>
      <c r="AM20" s="10"/>
      <c r="AN20" s="10"/>
      <c r="AO20" s="19"/>
      <c r="AP20" s="19"/>
      <c r="AQ20" s="19"/>
      <c r="AR20" s="19"/>
      <c r="AS20" s="19"/>
      <c r="AT20" s="19"/>
      <c r="AU20" s="10">
        <f t="shared" si="0"/>
        <v>0.14124293785310735</v>
      </c>
      <c r="AV20" s="10">
        <f t="shared" si="1"/>
        <v>1.9230769230769231</v>
      </c>
      <c r="AW20" s="10">
        <f t="shared" si="2"/>
        <v>1.5625</v>
      </c>
      <c r="AX20" s="10">
        <f t="shared" si="3"/>
        <v>0.22935779816513763</v>
      </c>
      <c r="AY20" s="10">
        <f t="shared" si="4"/>
        <v>0.64102564102564108</v>
      </c>
      <c r="AZ20" s="10">
        <f t="shared" si="8"/>
        <v>1.04</v>
      </c>
      <c r="BA20" s="10">
        <f t="shared" si="9"/>
        <v>0.04</v>
      </c>
      <c r="BB20" s="10">
        <f t="shared" si="10"/>
        <v>0.08</v>
      </c>
      <c r="BC20" s="10">
        <f t="shared" si="11"/>
        <v>0.36</v>
      </c>
      <c r="BD20" s="10">
        <f t="shared" si="12"/>
        <v>0.16</v>
      </c>
      <c r="BE20" s="10">
        <f t="shared" si="13"/>
        <v>0.75</v>
      </c>
      <c r="BF20" s="43">
        <f t="shared" si="5"/>
        <v>0.08</v>
      </c>
      <c r="BG20" s="10">
        <f t="shared" si="6"/>
        <v>0.12</v>
      </c>
      <c r="BH20" s="41">
        <f t="shared" si="7"/>
        <v>0.04</v>
      </c>
    </row>
    <row r="21" spans="1:60" ht="78" customHeight="1" x14ac:dyDescent="0.35">
      <c r="F21" s="26"/>
      <c r="AF21">
        <f>SUM(AF2:AF20)</f>
        <v>14</v>
      </c>
      <c r="AG21">
        <f>SUM(AG2:AG20)</f>
        <v>15</v>
      </c>
      <c r="AH21">
        <f>SUM(AH2:AH20)</f>
        <v>34</v>
      </c>
      <c r="AI21">
        <f>SUM(AI2:AI20)</f>
        <v>19</v>
      </c>
      <c r="AJ21">
        <f>SUM(AJ2:AJ20)</f>
        <v>12</v>
      </c>
    </row>
    <row r="22" spans="1:60" ht="78" customHeight="1" x14ac:dyDescent="0.35">
      <c r="F22" s="26"/>
    </row>
    <row r="23" spans="1:60" ht="78" customHeight="1" x14ac:dyDescent="0.35">
      <c r="F23" s="26"/>
    </row>
    <row r="24" spans="1:60" ht="78" customHeight="1" x14ac:dyDescent="0.35">
      <c r="F24" s="26"/>
    </row>
    <row r="25" spans="1:60" ht="78" customHeight="1" x14ac:dyDescent="0.35">
      <c r="F25" s="26"/>
    </row>
    <row r="26" spans="1:60" ht="78" customHeight="1" x14ac:dyDescent="0.35">
      <c r="F26" s="26"/>
    </row>
    <row r="27" spans="1:60" ht="78" customHeight="1" x14ac:dyDescent="0.35">
      <c r="F27" s="26"/>
    </row>
    <row r="28" spans="1:60" ht="78" customHeight="1" x14ac:dyDescent="0.35">
      <c r="F28" s="26"/>
    </row>
    <row r="29" spans="1:60" ht="78" customHeight="1" x14ac:dyDescent="0.35">
      <c r="F29" s="26"/>
    </row>
    <row r="30" spans="1:60" ht="78" customHeight="1" x14ac:dyDescent="0.35">
      <c r="F30" s="26"/>
    </row>
    <row r="31" spans="1:60" ht="78" customHeight="1" x14ac:dyDescent="0.35">
      <c r="F31" s="26"/>
    </row>
    <row r="32" spans="1:60" ht="78" customHeight="1" x14ac:dyDescent="0.35">
      <c r="F32" s="26"/>
    </row>
    <row r="33" spans="6:6" ht="78" customHeight="1" x14ac:dyDescent="0.35">
      <c r="F33" s="26"/>
    </row>
    <row r="34" spans="6:6" ht="78" customHeight="1" x14ac:dyDescent="0.35">
      <c r="F34" s="26"/>
    </row>
    <row r="35" spans="6:6" ht="78" customHeight="1" x14ac:dyDescent="0.35">
      <c r="F35" s="26"/>
    </row>
    <row r="36" spans="6:6" ht="78" customHeight="1" x14ac:dyDescent="0.35">
      <c r="F36" s="26"/>
    </row>
    <row r="37" spans="6:6" ht="78" customHeight="1" x14ac:dyDescent="0.35">
      <c r="F37" s="26"/>
    </row>
    <row r="38" spans="6:6" ht="78" customHeight="1" x14ac:dyDescent="0.35">
      <c r="F38" s="26"/>
    </row>
    <row r="39" spans="6:6" ht="78" customHeight="1" x14ac:dyDescent="0.35">
      <c r="F39" s="26"/>
    </row>
    <row r="40" spans="6:6" ht="78" customHeight="1" x14ac:dyDescent="0.35">
      <c r="F40" s="26"/>
    </row>
    <row r="41" spans="6:6" ht="78" customHeight="1" x14ac:dyDescent="0.35">
      <c r="F41" s="26"/>
    </row>
    <row r="42" spans="6:6" ht="78" customHeight="1" x14ac:dyDescent="0.35">
      <c r="F42" s="26"/>
    </row>
    <row r="43" spans="6:6" ht="78" customHeight="1" x14ac:dyDescent="0.35">
      <c r="F43" s="26"/>
    </row>
    <row r="44" spans="6:6" ht="78" customHeight="1" x14ac:dyDescent="0.35">
      <c r="F44" s="26"/>
    </row>
    <row r="45" spans="6:6" ht="78" customHeight="1" x14ac:dyDescent="0.35">
      <c r="F45" s="26"/>
    </row>
    <row r="46" spans="6:6" ht="78" customHeight="1" x14ac:dyDescent="0.35">
      <c r="F46" s="26"/>
    </row>
    <row r="47" spans="6:6" ht="78" customHeight="1" x14ac:dyDescent="0.35">
      <c r="F47" s="26"/>
    </row>
    <row r="48" spans="6:6" ht="78" customHeight="1" x14ac:dyDescent="0.35">
      <c r="F48" s="26"/>
    </row>
    <row r="49" spans="6:6" ht="78" customHeight="1" x14ac:dyDescent="0.35">
      <c r="F49" s="26"/>
    </row>
    <row r="50" spans="6:6" ht="78" customHeight="1" x14ac:dyDescent="0.35">
      <c r="F50" s="26"/>
    </row>
    <row r="51" spans="6:6" ht="78" customHeight="1" x14ac:dyDescent="0.35">
      <c r="F51" s="26"/>
    </row>
    <row r="52" spans="6:6" ht="78" customHeight="1" x14ac:dyDescent="0.35">
      <c r="F52" s="26"/>
    </row>
    <row r="53" spans="6:6" ht="78" customHeight="1" x14ac:dyDescent="0.35">
      <c r="F53" s="26"/>
    </row>
    <row r="54" spans="6:6" ht="78" customHeight="1" x14ac:dyDescent="0.35">
      <c r="F54" s="26"/>
    </row>
    <row r="55" spans="6:6" ht="78" customHeight="1" x14ac:dyDescent="0.35">
      <c r="F55" s="26"/>
    </row>
    <row r="56" spans="6:6" ht="78" customHeight="1" x14ac:dyDescent="0.35">
      <c r="F56" s="26"/>
    </row>
    <row r="57" spans="6:6" ht="78" customHeight="1" x14ac:dyDescent="0.35">
      <c r="F57" s="26"/>
    </row>
    <row r="58" spans="6:6" ht="78" customHeight="1" x14ac:dyDescent="0.35">
      <c r="F58" s="26"/>
    </row>
    <row r="59" spans="6:6" ht="78" customHeight="1" x14ac:dyDescent="0.35">
      <c r="F59" s="26"/>
    </row>
    <row r="60" spans="6:6" ht="78" customHeight="1" x14ac:dyDescent="0.35">
      <c r="F60" s="26"/>
    </row>
    <row r="61" spans="6:6" ht="78" customHeight="1" x14ac:dyDescent="0.35">
      <c r="F61" s="26"/>
    </row>
    <row r="62" spans="6:6" ht="78" customHeight="1" x14ac:dyDescent="0.35">
      <c r="F62" s="26"/>
    </row>
    <row r="63" spans="6:6" ht="78" customHeight="1" x14ac:dyDescent="0.35">
      <c r="F63" s="26"/>
    </row>
    <row r="64" spans="6:6" ht="78" customHeight="1" x14ac:dyDescent="0.35">
      <c r="F64" s="26"/>
    </row>
    <row r="65" spans="6:6" ht="78" customHeight="1" x14ac:dyDescent="0.35">
      <c r="F65" s="26"/>
    </row>
    <row r="66" spans="6:6" ht="78" customHeight="1" x14ac:dyDescent="0.35">
      <c r="F66" s="26"/>
    </row>
    <row r="67" spans="6:6" ht="78" customHeight="1" x14ac:dyDescent="0.35">
      <c r="F67" s="26"/>
    </row>
    <row r="68" spans="6:6" ht="78" customHeight="1" x14ac:dyDescent="0.35">
      <c r="F68" s="26"/>
    </row>
    <row r="69" spans="6:6" ht="78" customHeight="1" x14ac:dyDescent="0.35">
      <c r="F69" s="26"/>
    </row>
    <row r="70" spans="6:6" ht="78" customHeight="1" x14ac:dyDescent="0.35">
      <c r="F70" s="26"/>
    </row>
    <row r="71" spans="6:6" ht="78" customHeight="1" x14ac:dyDescent="0.35">
      <c r="F71" s="26"/>
    </row>
    <row r="72" spans="6:6" ht="78" customHeight="1" x14ac:dyDescent="0.35">
      <c r="F72" s="26"/>
    </row>
    <row r="73" spans="6:6" ht="78" customHeight="1" x14ac:dyDescent="0.35">
      <c r="F73" s="26"/>
    </row>
    <row r="74" spans="6:6" ht="78" customHeight="1" x14ac:dyDescent="0.35">
      <c r="F74" s="26"/>
    </row>
    <row r="75" spans="6:6" ht="78" customHeight="1" x14ac:dyDescent="0.35">
      <c r="F75" s="26"/>
    </row>
    <row r="76" spans="6:6" ht="78" customHeight="1" x14ac:dyDescent="0.35">
      <c r="F76" s="26"/>
    </row>
    <row r="77" spans="6:6" ht="78" customHeight="1" x14ac:dyDescent="0.35">
      <c r="F77" s="26"/>
    </row>
    <row r="78" spans="6:6" ht="78" customHeight="1" x14ac:dyDescent="0.35">
      <c r="F78" s="26"/>
    </row>
    <row r="79" spans="6:6" ht="78" customHeight="1" x14ac:dyDescent="0.35">
      <c r="F79" s="26"/>
    </row>
    <row r="80" spans="6:6" ht="78" customHeight="1" x14ac:dyDescent="0.35">
      <c r="F80" s="26"/>
    </row>
    <row r="81" spans="6:6" ht="78" customHeight="1" x14ac:dyDescent="0.35">
      <c r="F81" s="26"/>
    </row>
    <row r="82" spans="6:6" ht="78" customHeight="1" x14ac:dyDescent="0.35">
      <c r="F82" s="26"/>
    </row>
    <row r="83" spans="6:6" ht="78" customHeight="1" x14ac:dyDescent="0.35">
      <c r="F83" s="26"/>
    </row>
    <row r="84" spans="6:6" ht="78" customHeight="1" x14ac:dyDescent="0.35">
      <c r="F84" s="26"/>
    </row>
    <row r="85" spans="6:6" ht="78" customHeight="1" x14ac:dyDescent="0.35">
      <c r="F85" s="26"/>
    </row>
    <row r="86" spans="6:6" ht="78" customHeight="1" x14ac:dyDescent="0.35">
      <c r="F86" s="26"/>
    </row>
    <row r="87" spans="6:6" ht="78" customHeight="1" x14ac:dyDescent="0.35">
      <c r="F87" s="26"/>
    </row>
    <row r="88" spans="6:6" ht="78" customHeight="1" x14ac:dyDescent="0.35">
      <c r="F88" s="26"/>
    </row>
    <row r="89" spans="6:6" ht="78" customHeight="1" x14ac:dyDescent="0.35">
      <c r="F89" s="26"/>
    </row>
    <row r="90" spans="6:6" ht="78" customHeight="1" x14ac:dyDescent="0.35">
      <c r="F90" s="26"/>
    </row>
    <row r="91" spans="6:6" ht="78" customHeight="1" x14ac:dyDescent="0.35">
      <c r="F91" s="26"/>
    </row>
    <row r="92" spans="6:6" ht="78" customHeight="1" x14ac:dyDescent="0.35">
      <c r="F92" s="26"/>
    </row>
    <row r="93" spans="6:6" ht="78" customHeight="1" x14ac:dyDescent="0.35">
      <c r="F93" s="26"/>
    </row>
    <row r="94" spans="6:6" ht="78" customHeight="1" x14ac:dyDescent="0.35">
      <c r="F94" s="26"/>
    </row>
    <row r="95" spans="6:6" ht="78" customHeight="1" x14ac:dyDescent="0.35">
      <c r="F95" s="26"/>
    </row>
    <row r="96" spans="6:6" ht="78" customHeight="1" x14ac:dyDescent="0.35">
      <c r="F96" s="26"/>
    </row>
    <row r="97" spans="6:6" ht="78" customHeight="1" x14ac:dyDescent="0.35">
      <c r="F97" s="26"/>
    </row>
    <row r="98" spans="6:6" ht="78" customHeight="1" x14ac:dyDescent="0.35">
      <c r="F98" s="26"/>
    </row>
    <row r="99" spans="6:6" ht="78" customHeight="1" x14ac:dyDescent="0.35">
      <c r="F99" s="26"/>
    </row>
    <row r="100" spans="6:6" ht="78" customHeight="1" x14ac:dyDescent="0.35">
      <c r="F100" s="26"/>
    </row>
    <row r="101" spans="6:6" ht="78" customHeight="1" x14ac:dyDescent="0.35">
      <c r="F101" s="26"/>
    </row>
    <row r="102" spans="6:6" ht="78" customHeight="1" x14ac:dyDescent="0.35">
      <c r="F102" s="26"/>
    </row>
    <row r="103" spans="6:6" ht="78" customHeight="1" x14ac:dyDescent="0.35">
      <c r="F103" s="26"/>
    </row>
    <row r="104" spans="6:6" ht="78" customHeight="1" x14ac:dyDescent="0.35">
      <c r="F104" s="26"/>
    </row>
    <row r="105" spans="6:6" ht="78" customHeight="1" x14ac:dyDescent="0.35">
      <c r="F105" s="26"/>
    </row>
    <row r="106" spans="6:6" ht="78" customHeight="1" x14ac:dyDescent="0.35">
      <c r="F106" s="26"/>
    </row>
    <row r="107" spans="6:6" ht="78" customHeight="1" x14ac:dyDescent="0.35">
      <c r="F107" s="26"/>
    </row>
    <row r="108" spans="6:6" ht="78" customHeight="1" x14ac:dyDescent="0.35">
      <c r="F108" s="26"/>
    </row>
    <row r="109" spans="6:6" ht="78" customHeight="1" x14ac:dyDescent="0.35">
      <c r="F109" s="26"/>
    </row>
    <row r="110" spans="6:6" ht="78" customHeight="1" x14ac:dyDescent="0.35">
      <c r="F110" s="26"/>
    </row>
    <row r="111" spans="6:6" ht="78" customHeight="1" x14ac:dyDescent="0.35">
      <c r="F111" s="26"/>
    </row>
    <row r="112" spans="6:6" ht="78" customHeight="1" x14ac:dyDescent="0.35">
      <c r="F112" s="26"/>
    </row>
    <row r="113" spans="6:6" ht="78" customHeight="1" x14ac:dyDescent="0.35">
      <c r="F113" s="26"/>
    </row>
    <row r="114" spans="6:6" ht="78" customHeight="1" x14ac:dyDescent="0.35">
      <c r="F114" s="26"/>
    </row>
    <row r="115" spans="6:6" ht="78" customHeight="1" x14ac:dyDescent="0.35">
      <c r="F115" s="26"/>
    </row>
    <row r="116" spans="6:6" ht="78" customHeight="1" x14ac:dyDescent="0.35">
      <c r="F116" s="26"/>
    </row>
    <row r="117" spans="6:6" ht="78" customHeight="1" x14ac:dyDescent="0.35">
      <c r="F117" s="26"/>
    </row>
    <row r="118" spans="6:6" ht="78" customHeight="1" x14ac:dyDescent="0.35">
      <c r="F118" s="26"/>
    </row>
    <row r="119" spans="6:6" ht="78" customHeight="1" x14ac:dyDescent="0.35">
      <c r="F119" s="26"/>
    </row>
    <row r="120" spans="6:6" ht="78" customHeight="1" x14ac:dyDescent="0.35">
      <c r="F120" s="26"/>
    </row>
    <row r="121" spans="6:6" ht="78" customHeight="1" x14ac:dyDescent="0.35">
      <c r="F121" s="26"/>
    </row>
    <row r="122" spans="6:6" ht="78" customHeight="1" x14ac:dyDescent="0.35">
      <c r="F122" s="26"/>
    </row>
    <row r="123" spans="6:6" ht="78" customHeight="1" x14ac:dyDescent="0.35">
      <c r="F123" s="26"/>
    </row>
    <row r="124" spans="6:6" ht="78" customHeight="1" x14ac:dyDescent="0.35">
      <c r="F124" s="26"/>
    </row>
    <row r="125" spans="6:6" ht="78" customHeight="1" x14ac:dyDescent="0.35">
      <c r="F125" s="26"/>
    </row>
    <row r="126" spans="6:6" ht="78" customHeight="1" x14ac:dyDescent="0.35">
      <c r="F126" s="26"/>
    </row>
    <row r="127" spans="6:6" ht="78" customHeight="1" x14ac:dyDescent="0.35">
      <c r="F127" s="26"/>
    </row>
    <row r="128" spans="6:6" ht="78" customHeight="1" x14ac:dyDescent="0.35">
      <c r="F128" s="26"/>
    </row>
    <row r="129" spans="6:6" ht="78" customHeight="1" x14ac:dyDescent="0.35">
      <c r="F129" s="26"/>
    </row>
    <row r="130" spans="6:6" ht="78" customHeight="1" x14ac:dyDescent="0.35">
      <c r="F130" s="26"/>
    </row>
    <row r="131" spans="6:6" ht="78" customHeight="1" x14ac:dyDescent="0.35">
      <c r="F131" s="26"/>
    </row>
    <row r="132" spans="6:6" ht="78" customHeight="1" x14ac:dyDescent="0.35">
      <c r="F132" s="26"/>
    </row>
    <row r="133" spans="6:6" ht="78" customHeight="1" x14ac:dyDescent="0.35">
      <c r="F133" s="26"/>
    </row>
    <row r="134" spans="6:6" ht="78" customHeight="1" x14ac:dyDescent="0.35">
      <c r="F134" s="26"/>
    </row>
    <row r="135" spans="6:6" ht="78" customHeight="1" x14ac:dyDescent="0.35">
      <c r="F135" s="26"/>
    </row>
    <row r="136" spans="6:6" ht="78" customHeight="1" x14ac:dyDescent="0.35">
      <c r="F136" s="26"/>
    </row>
    <row r="137" spans="6:6" ht="78" customHeight="1" x14ac:dyDescent="0.35">
      <c r="F137" s="26"/>
    </row>
    <row r="138" spans="6:6" ht="78" customHeight="1" x14ac:dyDescent="0.35">
      <c r="F138" s="26"/>
    </row>
    <row r="139" spans="6:6" ht="78" customHeight="1" x14ac:dyDescent="0.35">
      <c r="F139" s="26"/>
    </row>
    <row r="140" spans="6:6" ht="78" customHeight="1" x14ac:dyDescent="0.35">
      <c r="F140" s="26"/>
    </row>
    <row r="141" spans="6:6" ht="78" customHeight="1" x14ac:dyDescent="0.35">
      <c r="F141" s="26"/>
    </row>
    <row r="142" spans="6:6" ht="78" customHeight="1" x14ac:dyDescent="0.35">
      <c r="F142" s="26"/>
    </row>
    <row r="143" spans="6:6" ht="78" customHeight="1" x14ac:dyDescent="0.35">
      <c r="F143" s="26"/>
    </row>
    <row r="144" spans="6:6" ht="78" customHeight="1" x14ac:dyDescent="0.35">
      <c r="F144" s="26"/>
    </row>
    <row r="145" spans="6:6" ht="78" customHeight="1" x14ac:dyDescent="0.35">
      <c r="F145" s="26"/>
    </row>
    <row r="146" spans="6:6" ht="78" customHeight="1" x14ac:dyDescent="0.35">
      <c r="F146" s="26"/>
    </row>
    <row r="147" spans="6:6" ht="78" customHeight="1" x14ac:dyDescent="0.35">
      <c r="F147" s="26"/>
    </row>
    <row r="148" spans="6:6" ht="78" customHeight="1" x14ac:dyDescent="0.35">
      <c r="F148" s="26"/>
    </row>
    <row r="149" spans="6:6" ht="78" customHeight="1" x14ac:dyDescent="0.35">
      <c r="F149" s="26"/>
    </row>
    <row r="150" spans="6:6" ht="78" customHeight="1" x14ac:dyDescent="0.35">
      <c r="F150" s="26"/>
    </row>
    <row r="151" spans="6:6" ht="78" customHeight="1" x14ac:dyDescent="0.35">
      <c r="F151" s="26"/>
    </row>
    <row r="152" spans="6:6" ht="78" customHeight="1" x14ac:dyDescent="0.35">
      <c r="F152" s="26"/>
    </row>
    <row r="153" spans="6:6" ht="78" customHeight="1" x14ac:dyDescent="0.35">
      <c r="F153" s="26"/>
    </row>
    <row r="154" spans="6:6" ht="78" customHeight="1" x14ac:dyDescent="0.35">
      <c r="F154" s="26"/>
    </row>
    <row r="155" spans="6:6" ht="78" customHeight="1" x14ac:dyDescent="0.35">
      <c r="F155" s="26"/>
    </row>
    <row r="156" spans="6:6" ht="78" customHeight="1" x14ac:dyDescent="0.35">
      <c r="F156" s="26"/>
    </row>
    <row r="157" spans="6:6" ht="78" customHeight="1" x14ac:dyDescent="0.35">
      <c r="F157" s="26"/>
    </row>
    <row r="158" spans="6:6" ht="78" customHeight="1" x14ac:dyDescent="0.35">
      <c r="F158" s="26"/>
    </row>
    <row r="159" spans="6:6" ht="78" customHeight="1" x14ac:dyDescent="0.35">
      <c r="F159" s="26"/>
    </row>
    <row r="160" spans="6:6" ht="78" customHeight="1" x14ac:dyDescent="0.35">
      <c r="F160" s="26"/>
    </row>
    <row r="161" spans="6:6" ht="78" customHeight="1" x14ac:dyDescent="0.35">
      <c r="F161" s="26"/>
    </row>
    <row r="162" spans="6:6" ht="78" customHeight="1" x14ac:dyDescent="0.35">
      <c r="F162" s="26"/>
    </row>
    <row r="163" spans="6:6" ht="78" customHeight="1" x14ac:dyDescent="0.35">
      <c r="F163" s="26"/>
    </row>
    <row r="164" spans="6:6" ht="78" customHeight="1" x14ac:dyDescent="0.35">
      <c r="F164" s="26"/>
    </row>
    <row r="165" spans="6:6" ht="78" customHeight="1" x14ac:dyDescent="0.35">
      <c r="F165" s="26"/>
    </row>
    <row r="166" spans="6:6" ht="78" customHeight="1" x14ac:dyDescent="0.35">
      <c r="F166" s="26"/>
    </row>
    <row r="167" spans="6:6" ht="78" customHeight="1" x14ac:dyDescent="0.35">
      <c r="F167" s="26"/>
    </row>
    <row r="168" spans="6:6" ht="78" customHeight="1" x14ac:dyDescent="0.35">
      <c r="F168" s="26"/>
    </row>
    <row r="169" spans="6:6" ht="78" customHeight="1" x14ac:dyDescent="0.35">
      <c r="F169" s="26"/>
    </row>
    <row r="170" spans="6:6" ht="78" customHeight="1" x14ac:dyDescent="0.35">
      <c r="F170" s="26"/>
    </row>
    <row r="171" spans="6:6" ht="78" customHeight="1" x14ac:dyDescent="0.35">
      <c r="F171" s="26"/>
    </row>
    <row r="172" spans="6:6" ht="78" customHeight="1" x14ac:dyDescent="0.35">
      <c r="F172" s="26"/>
    </row>
    <row r="173" spans="6:6" ht="78" customHeight="1" x14ac:dyDescent="0.35">
      <c r="F173" s="26"/>
    </row>
    <row r="174" spans="6:6" ht="78" customHeight="1" x14ac:dyDescent="0.35">
      <c r="F174" s="26"/>
    </row>
    <row r="175" spans="6:6" ht="78" customHeight="1" x14ac:dyDescent="0.35">
      <c r="F175" s="26"/>
    </row>
    <row r="176" spans="6:6" ht="78" customHeight="1" x14ac:dyDescent="0.35">
      <c r="F176" s="26"/>
    </row>
    <row r="177" spans="6:6" ht="78" customHeight="1" x14ac:dyDescent="0.35">
      <c r="F177" s="26"/>
    </row>
    <row r="178" spans="6:6" ht="78" customHeight="1" x14ac:dyDescent="0.35">
      <c r="F178" s="26"/>
    </row>
    <row r="179" spans="6:6" ht="78" customHeight="1" x14ac:dyDescent="0.35">
      <c r="F179" s="26"/>
    </row>
    <row r="180" spans="6:6" ht="78" customHeight="1" x14ac:dyDescent="0.35">
      <c r="F180" s="26"/>
    </row>
    <row r="181" spans="6:6" ht="78" customHeight="1" x14ac:dyDescent="0.35">
      <c r="F181" s="26"/>
    </row>
    <row r="182" spans="6:6" ht="78" customHeight="1" x14ac:dyDescent="0.35">
      <c r="F182" s="26"/>
    </row>
    <row r="183" spans="6:6" ht="78" customHeight="1" x14ac:dyDescent="0.35">
      <c r="F183" s="26"/>
    </row>
    <row r="184" spans="6:6" ht="78" customHeight="1" x14ac:dyDescent="0.35">
      <c r="F184" s="26"/>
    </row>
    <row r="185" spans="6:6" ht="78" customHeight="1" x14ac:dyDescent="0.35">
      <c r="F185" s="26"/>
    </row>
    <row r="186" spans="6:6" ht="78" customHeight="1" x14ac:dyDescent="0.35">
      <c r="F186" s="26"/>
    </row>
    <row r="187" spans="6:6" ht="78" customHeight="1" x14ac:dyDescent="0.35">
      <c r="F187" s="26"/>
    </row>
    <row r="188" spans="6:6" ht="78" customHeight="1" x14ac:dyDescent="0.35">
      <c r="F188" s="26"/>
    </row>
    <row r="189" spans="6:6" ht="78" customHeight="1" x14ac:dyDescent="0.35">
      <c r="F189" s="26"/>
    </row>
    <row r="190" spans="6:6" ht="78" customHeight="1" x14ac:dyDescent="0.35">
      <c r="F190" s="26"/>
    </row>
    <row r="191" spans="6:6" ht="78" customHeight="1" x14ac:dyDescent="0.35">
      <c r="F191" s="26"/>
    </row>
    <row r="192" spans="6:6" ht="78" customHeight="1" x14ac:dyDescent="0.35">
      <c r="F192" s="26"/>
    </row>
    <row r="193" spans="6:6" ht="78" customHeight="1" x14ac:dyDescent="0.35">
      <c r="F193" s="26"/>
    </row>
    <row r="194" spans="6:6" ht="78" customHeight="1" x14ac:dyDescent="0.35">
      <c r="F194" s="26"/>
    </row>
    <row r="195" spans="6:6" ht="78" customHeight="1" x14ac:dyDescent="0.35">
      <c r="F195" s="26"/>
    </row>
    <row r="196" spans="6:6" ht="78" customHeight="1" x14ac:dyDescent="0.35">
      <c r="F196" s="26"/>
    </row>
    <row r="197" spans="6:6" ht="78" customHeight="1" x14ac:dyDescent="0.35">
      <c r="F197" s="26"/>
    </row>
    <row r="198" spans="6:6" ht="78" customHeight="1" x14ac:dyDescent="0.35">
      <c r="F198" s="26"/>
    </row>
    <row r="199" spans="6:6" ht="78" customHeight="1" x14ac:dyDescent="0.35">
      <c r="F199" s="26"/>
    </row>
    <row r="200" spans="6:6" ht="78" customHeight="1" x14ac:dyDescent="0.35">
      <c r="F200" s="26"/>
    </row>
    <row r="201" spans="6:6" ht="78" customHeight="1" x14ac:dyDescent="0.35">
      <c r="F201" s="26"/>
    </row>
    <row r="202" spans="6:6" ht="78" customHeight="1" x14ac:dyDescent="0.35">
      <c r="F202" s="26"/>
    </row>
    <row r="203" spans="6:6" ht="78" customHeight="1" x14ac:dyDescent="0.35">
      <c r="F203" s="26"/>
    </row>
    <row r="204" spans="6:6" ht="78" customHeight="1" x14ac:dyDescent="0.35">
      <c r="F204" s="26"/>
    </row>
    <row r="205" spans="6:6" ht="78" customHeight="1" x14ac:dyDescent="0.35">
      <c r="F205" s="26"/>
    </row>
    <row r="206" spans="6:6" ht="78" customHeight="1" x14ac:dyDescent="0.35">
      <c r="F206" s="26"/>
    </row>
    <row r="207" spans="6:6" ht="78" customHeight="1" x14ac:dyDescent="0.35">
      <c r="F207" s="26"/>
    </row>
    <row r="208" spans="6:6" ht="78" customHeight="1" x14ac:dyDescent="0.35">
      <c r="F208" s="26"/>
    </row>
    <row r="209" spans="6:6" ht="78" customHeight="1" x14ac:dyDescent="0.35">
      <c r="F209" s="26"/>
    </row>
    <row r="210" spans="6:6" ht="78" customHeight="1" x14ac:dyDescent="0.35">
      <c r="F210" s="26"/>
    </row>
    <row r="211" spans="6:6" ht="78" customHeight="1" x14ac:dyDescent="0.35">
      <c r="F211" s="26"/>
    </row>
    <row r="212" spans="6:6" ht="78" customHeight="1" x14ac:dyDescent="0.35">
      <c r="F212" s="26"/>
    </row>
    <row r="213" spans="6:6" ht="78" customHeight="1" x14ac:dyDescent="0.35">
      <c r="F213" s="26"/>
    </row>
    <row r="214" spans="6:6" ht="78" customHeight="1" x14ac:dyDescent="0.35">
      <c r="F214" s="26"/>
    </row>
    <row r="215" spans="6:6" ht="78" customHeight="1" x14ac:dyDescent="0.35">
      <c r="F215" s="26"/>
    </row>
    <row r="216" spans="6:6" ht="78" customHeight="1" x14ac:dyDescent="0.35">
      <c r="F216" s="26"/>
    </row>
    <row r="217" spans="6:6" ht="78" customHeight="1" x14ac:dyDescent="0.35">
      <c r="F217" s="26"/>
    </row>
    <row r="218" spans="6:6" ht="78" customHeight="1" x14ac:dyDescent="0.35">
      <c r="F218" s="26"/>
    </row>
    <row r="219" spans="6:6" ht="78" customHeight="1" x14ac:dyDescent="0.35">
      <c r="F219" s="26"/>
    </row>
    <row r="220" spans="6:6" ht="78" customHeight="1" x14ac:dyDescent="0.35">
      <c r="F220" s="26"/>
    </row>
    <row r="221" spans="6:6" ht="15.75" customHeight="1" x14ac:dyDescent="0.35"/>
    <row r="222" spans="6:6" ht="15.75" customHeight="1" x14ac:dyDescent="0.35"/>
    <row r="223" spans="6:6" ht="15.75" customHeight="1" x14ac:dyDescent="0.35"/>
    <row r="224" spans="6:6"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8">
    <mergeCell ref="D17:D18"/>
    <mergeCell ref="D19:D20"/>
    <mergeCell ref="D2:D3"/>
    <mergeCell ref="D4:D7"/>
    <mergeCell ref="D8:D9"/>
    <mergeCell ref="D10:D12"/>
    <mergeCell ref="D13:D14"/>
    <mergeCell ref="D15:D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
  <sheetViews>
    <sheetView zoomScale="80" zoomScaleNormal="80" workbookViewId="0"/>
  </sheetViews>
  <sheetFormatPr defaultRowHeight="14.5" x14ac:dyDescent="0.35"/>
  <cols>
    <col min="1" max="1" width="13.36328125" customWidth="1"/>
    <col min="2" max="2" width="11.7265625" customWidth="1"/>
    <col min="3" max="3" width="12" customWidth="1"/>
  </cols>
  <sheetData>
    <row r="1" spans="1:10" x14ac:dyDescent="0.35">
      <c r="A1" s="48" t="s">
        <v>37</v>
      </c>
      <c r="B1" s="48" t="s">
        <v>45</v>
      </c>
      <c r="C1" s="48" t="s">
        <v>46</v>
      </c>
      <c r="F1" s="47"/>
      <c r="G1" s="47"/>
      <c r="H1" s="47"/>
      <c r="I1" s="47"/>
      <c r="J1" s="47"/>
    </row>
    <row r="2" spans="1:10" x14ac:dyDescent="0.35">
      <c r="A2" s="64">
        <v>0.14224137931034483</v>
      </c>
      <c r="B2" s="64">
        <v>0.27966101694915252</v>
      </c>
      <c r="C2" s="64">
        <v>0.5892857142857143</v>
      </c>
      <c r="F2" s="47"/>
      <c r="G2" s="47"/>
      <c r="H2" s="47"/>
      <c r="I2" s="47"/>
      <c r="J2" s="47"/>
    </row>
    <row r="3" spans="1:10" x14ac:dyDescent="0.35">
      <c r="A3" s="64">
        <v>0.14285714285714285</v>
      </c>
      <c r="B3" s="64">
        <v>0.30188679245283018</v>
      </c>
      <c r="C3" s="64">
        <v>0.45714285714285713</v>
      </c>
      <c r="F3" s="47"/>
      <c r="G3" s="47"/>
      <c r="H3" s="47"/>
      <c r="I3" s="47"/>
      <c r="J3" s="47"/>
    </row>
    <row r="4" spans="1:10" x14ac:dyDescent="0.35">
      <c r="A4" s="64">
        <v>0.1423611111111111</v>
      </c>
      <c r="B4" s="64">
        <v>0.24404761904761904</v>
      </c>
      <c r="C4" s="64">
        <v>0.61194029850746268</v>
      </c>
      <c r="F4" s="47"/>
      <c r="G4" s="47"/>
      <c r="H4" s="47"/>
      <c r="I4" s="47"/>
      <c r="J4" s="47"/>
    </row>
    <row r="5" spans="1:10" x14ac:dyDescent="0.35">
      <c r="A5" s="64">
        <v>0.14285714285714285</v>
      </c>
      <c r="B5" s="64">
        <v>0.25600000000000001</v>
      </c>
      <c r="C5" s="64">
        <v>0.55172413793103448</v>
      </c>
      <c r="F5" s="47"/>
      <c r="G5" s="47"/>
      <c r="H5" s="47"/>
      <c r="I5" s="47"/>
      <c r="J5" s="47"/>
    </row>
    <row r="6" spans="1:10" x14ac:dyDescent="0.35">
      <c r="A6" s="64">
        <v>0.14285714285714285</v>
      </c>
      <c r="B6" s="64">
        <v>0.27586206896551724</v>
      </c>
      <c r="C6" s="64">
        <v>0.5161290322580645</v>
      </c>
      <c r="F6" s="47"/>
      <c r="G6" s="47"/>
      <c r="H6" s="47"/>
      <c r="I6" s="47"/>
      <c r="J6" s="47"/>
    </row>
    <row r="7" spans="1:10" x14ac:dyDescent="0.35">
      <c r="A7" s="64">
        <v>0.14189189189189189</v>
      </c>
      <c r="B7" s="64">
        <v>0.25609756097560976</v>
      </c>
      <c r="C7" s="64">
        <v>0.53164556962025311</v>
      </c>
      <c r="F7" s="47"/>
      <c r="G7" s="47"/>
      <c r="H7" s="47"/>
      <c r="I7" s="47"/>
      <c r="J7" s="47"/>
    </row>
    <row r="8" spans="1:10" x14ac:dyDescent="0.35">
      <c r="A8" s="64">
        <v>0.15625</v>
      </c>
      <c r="B8" s="64">
        <v>0.30303030303030304</v>
      </c>
      <c r="C8" s="64">
        <v>0.66666666666666663</v>
      </c>
      <c r="F8" s="47"/>
      <c r="G8" s="47"/>
      <c r="H8" s="47"/>
      <c r="I8" s="47"/>
      <c r="J8" s="47"/>
    </row>
    <row r="9" spans="1:10" x14ac:dyDescent="0.35">
      <c r="A9" s="64">
        <v>0.15625</v>
      </c>
      <c r="B9" s="64">
        <v>0.3125</v>
      </c>
      <c r="C9" s="64">
        <v>0.625</v>
      </c>
      <c r="F9" s="47"/>
      <c r="G9" s="47"/>
      <c r="H9" s="47"/>
      <c r="I9" s="47"/>
      <c r="J9" s="47"/>
    </row>
    <row r="10" spans="1:10" x14ac:dyDescent="0.35">
      <c r="A10" s="64">
        <v>0.1419753086419753</v>
      </c>
      <c r="B10" s="64">
        <v>0.25698324022346369</v>
      </c>
      <c r="C10" s="64">
        <v>0.45544554455445546</v>
      </c>
      <c r="F10" s="47"/>
      <c r="G10" s="47"/>
      <c r="H10" s="47"/>
      <c r="I10" s="47"/>
      <c r="J10" s="47"/>
    </row>
    <row r="11" spans="1:10" x14ac:dyDescent="0.35">
      <c r="A11" s="64">
        <v>0.1423611111111111</v>
      </c>
      <c r="B11" s="64">
        <v>0.28082191780821919</v>
      </c>
      <c r="C11" s="64">
        <v>0.45555555555555555</v>
      </c>
      <c r="F11" s="47"/>
      <c r="G11" s="47"/>
      <c r="H11" s="47"/>
      <c r="I11" s="47"/>
      <c r="J11" s="47"/>
    </row>
    <row r="12" spans="1:10" x14ac:dyDescent="0.35">
      <c r="A12" s="64">
        <v>0.14423076923076922</v>
      </c>
      <c r="B12" s="64">
        <v>0.29702970297029702</v>
      </c>
      <c r="C12" s="64">
        <v>0.41095890410958902</v>
      </c>
      <c r="F12" s="47"/>
      <c r="G12" s="47"/>
      <c r="H12" s="47"/>
      <c r="I12" s="47"/>
      <c r="J12" s="47"/>
    </row>
    <row r="13" spans="1:10" x14ac:dyDescent="0.35">
      <c r="A13" s="64">
        <v>0.14393939393939395</v>
      </c>
      <c r="B13" s="64">
        <v>0.26760563380281688</v>
      </c>
      <c r="C13" s="64">
        <v>0.48101265822784811</v>
      </c>
      <c r="F13" s="47"/>
      <c r="G13" s="47"/>
      <c r="H13" s="47"/>
      <c r="I13" s="47"/>
      <c r="J13" s="47"/>
    </row>
    <row r="14" spans="1:10" x14ac:dyDescent="0.35">
      <c r="A14" s="64">
        <v>0.15625</v>
      </c>
      <c r="B14" s="64">
        <v>0.29411764705882354</v>
      </c>
      <c r="C14" s="64">
        <v>0.66666666666666663</v>
      </c>
      <c r="F14" s="47"/>
      <c r="G14" s="47"/>
      <c r="H14" s="47"/>
      <c r="I14" s="47"/>
      <c r="J14" s="47"/>
    </row>
    <row r="15" spans="1:10" x14ac:dyDescent="0.35">
      <c r="A15" s="64">
        <v>0.14285714285714285</v>
      </c>
      <c r="B15" s="64">
        <v>0.2608695652173913</v>
      </c>
      <c r="C15" s="64">
        <v>0.75</v>
      </c>
      <c r="F15" s="47"/>
      <c r="G15" s="47"/>
      <c r="H15" s="47"/>
      <c r="I15" s="47"/>
      <c r="J15" s="47"/>
    </row>
    <row r="16" spans="1:10" x14ac:dyDescent="0.35">
      <c r="A16" s="64">
        <v>0.14705882352941177</v>
      </c>
      <c r="B16" s="64">
        <v>0.35714285714285715</v>
      </c>
      <c r="C16" s="64">
        <v>0.5</v>
      </c>
      <c r="F16" s="47"/>
      <c r="G16" s="47"/>
      <c r="H16" s="47"/>
      <c r="I16" s="47"/>
      <c r="J16" s="47"/>
    </row>
    <row r="17" spans="1:15" x14ac:dyDescent="0.35">
      <c r="A17" s="64">
        <v>0.15625</v>
      </c>
      <c r="B17" s="64">
        <v>0.29411764705882354</v>
      </c>
      <c r="C17" s="64">
        <v>0.7142857142857143</v>
      </c>
      <c r="F17" s="47"/>
      <c r="G17" s="47"/>
      <c r="H17" s="47"/>
      <c r="I17" s="47"/>
      <c r="J17" s="47"/>
    </row>
    <row r="18" spans="1:15" x14ac:dyDescent="0.35">
      <c r="A18" s="64">
        <v>0.15625</v>
      </c>
      <c r="B18" s="64">
        <v>0.33333333333333331</v>
      </c>
      <c r="C18" s="64">
        <v>0.55555555555555558</v>
      </c>
      <c r="F18" s="47"/>
      <c r="G18" s="47"/>
      <c r="H18" s="47"/>
      <c r="I18" s="47"/>
      <c r="J18" s="47"/>
    </row>
    <row r="19" spans="1:15" x14ac:dyDescent="0.35">
      <c r="A19" s="64">
        <v>0.14213197969543148</v>
      </c>
      <c r="B19" s="64">
        <v>0.28282828282828282</v>
      </c>
      <c r="C19" s="64">
        <v>0.42424242424242425</v>
      </c>
      <c r="F19" s="47"/>
      <c r="G19" s="47"/>
      <c r="H19" s="47"/>
      <c r="I19" s="47"/>
      <c r="J19" s="47"/>
    </row>
    <row r="20" spans="1:15" x14ac:dyDescent="0.35">
      <c r="A20" s="64">
        <v>0.14124293785310735</v>
      </c>
      <c r="B20" s="64">
        <v>0.22935779816513763</v>
      </c>
      <c r="C20" s="64">
        <v>0.64102564102564108</v>
      </c>
      <c r="F20" s="47"/>
      <c r="G20" s="47"/>
      <c r="H20" s="47"/>
      <c r="I20" s="47"/>
      <c r="J20" s="47"/>
    </row>
    <row r="27" spans="1:15" x14ac:dyDescent="0.35">
      <c r="M27" t="s">
        <v>115</v>
      </c>
    </row>
    <row r="28" spans="1:15" x14ac:dyDescent="0.35">
      <c r="M28" t="s">
        <v>37</v>
      </c>
      <c r="N28" t="s">
        <v>116</v>
      </c>
      <c r="O28" s="49" t="s">
        <v>126</v>
      </c>
    </row>
    <row r="35" spans="14:23" x14ac:dyDescent="0.35">
      <c r="N35" s="29" t="s">
        <v>98</v>
      </c>
      <c r="O35" s="35" t="s">
        <v>37</v>
      </c>
      <c r="P35" s="35" t="s">
        <v>45</v>
      </c>
      <c r="Q35" s="35" t="s">
        <v>46</v>
      </c>
    </row>
    <row r="36" spans="14:23" x14ac:dyDescent="0.35">
      <c r="N36" s="30" t="s">
        <v>99</v>
      </c>
      <c r="O36" s="32">
        <v>0.1464</v>
      </c>
      <c r="P36" s="33">
        <v>0.2833</v>
      </c>
      <c r="Q36" s="33">
        <v>0.55810000000000004</v>
      </c>
      <c r="T36">
        <f>1/O36</f>
        <v>6.8306010928961749</v>
      </c>
    </row>
    <row r="37" spans="14:23" x14ac:dyDescent="0.35">
      <c r="N37" s="30" t="s">
        <v>100</v>
      </c>
      <c r="O37" s="31">
        <f>(O38-O39)/6</f>
        <v>4.3266666666666636E-3</v>
      </c>
      <c r="P37" s="31">
        <f t="shared" ref="P37:Q37" si="0">(P38-P39)/6</f>
        <v>3.3249999999999995E-2</v>
      </c>
      <c r="Q37" s="31">
        <f t="shared" si="0"/>
        <v>0.10339999999999999</v>
      </c>
    </row>
    <row r="38" spans="14:23" x14ac:dyDescent="0.35">
      <c r="N38" s="30" t="s">
        <v>101</v>
      </c>
      <c r="O38" s="33">
        <v>0.15941</v>
      </c>
      <c r="P38" s="33">
        <v>0.3831</v>
      </c>
      <c r="Q38" s="33">
        <v>0.86829999999999996</v>
      </c>
      <c r="T38">
        <f>1/O38</f>
        <v>6.2731321748949256</v>
      </c>
    </row>
    <row r="39" spans="14:23" x14ac:dyDescent="0.35">
      <c r="N39" s="30" t="s">
        <v>102</v>
      </c>
      <c r="O39" s="33">
        <v>0.13345000000000001</v>
      </c>
      <c r="P39" s="33">
        <v>0.18360000000000001</v>
      </c>
      <c r="Q39" s="33">
        <v>0.24790000000000001</v>
      </c>
      <c r="T39">
        <f>1/O39</f>
        <v>7.4934432371674777</v>
      </c>
    </row>
    <row r="41" spans="14:23" x14ac:dyDescent="0.35">
      <c r="N41" s="29" t="s">
        <v>103</v>
      </c>
      <c r="O41" s="29" t="s">
        <v>37</v>
      </c>
      <c r="P41" s="28"/>
      <c r="Q41" s="28"/>
      <c r="R41" s="28"/>
    </row>
    <row r="42" spans="14:23" x14ac:dyDescent="0.35">
      <c r="N42" s="30" t="s">
        <v>99</v>
      </c>
      <c r="O42" s="44">
        <f>O36+Q42</f>
        <v>0.16104000000000002</v>
      </c>
      <c r="P42" s="34"/>
      <c r="Q42" s="28">
        <f>O36*10%</f>
        <v>1.464E-2</v>
      </c>
      <c r="R42" s="28"/>
      <c r="S42" s="27" t="s">
        <v>107</v>
      </c>
      <c r="T42">
        <f>1/O42</f>
        <v>6.2096373571783401</v>
      </c>
    </row>
    <row r="43" spans="14:23" x14ac:dyDescent="0.35">
      <c r="N43" s="30" t="s">
        <v>100</v>
      </c>
      <c r="O43" s="30">
        <v>0.05</v>
      </c>
      <c r="P43" s="28"/>
      <c r="Q43" s="28"/>
      <c r="R43" s="28"/>
      <c r="S43" s="27" t="s">
        <v>108</v>
      </c>
      <c r="T43">
        <v>0.17199999999999999</v>
      </c>
    </row>
    <row r="44" spans="14:23" x14ac:dyDescent="0.35">
      <c r="S44" s="27" t="s">
        <v>109</v>
      </c>
      <c r="T44">
        <v>0.13800000000000001</v>
      </c>
    </row>
    <row r="45" spans="14:23" x14ac:dyDescent="0.35">
      <c r="N45" s="29" t="s">
        <v>104</v>
      </c>
      <c r="O45" s="35" t="s">
        <v>37</v>
      </c>
      <c r="P45" s="35" t="s">
        <v>45</v>
      </c>
      <c r="Q45" s="35" t="s">
        <v>46</v>
      </c>
      <c r="S45" s="36" t="s">
        <v>110</v>
      </c>
      <c r="T45">
        <f>(T43+T44)/6</f>
        <v>5.1666666666666666E-2</v>
      </c>
    </row>
    <row r="46" spans="14:23" x14ac:dyDescent="0.35">
      <c r="N46" s="30" t="s">
        <v>99</v>
      </c>
      <c r="O46" s="45">
        <f>0.08923 + (0.1335*P46) + (0.03471*Q46)</f>
        <v>0.15990489999999999</v>
      </c>
      <c r="P46" s="46">
        <v>0.35</v>
      </c>
      <c r="Q46" s="46">
        <v>0.69</v>
      </c>
      <c r="U46">
        <f>1/P46</f>
        <v>2.8571428571428572</v>
      </c>
      <c r="V46">
        <f>1/Q46</f>
        <v>1.4492753623188408</v>
      </c>
      <c r="W46">
        <f>V46/U46</f>
        <v>0.50724637681159424</v>
      </c>
    </row>
    <row r="47" spans="14:23" x14ac:dyDescent="0.35">
      <c r="N47" s="30" t="s">
        <v>100</v>
      </c>
      <c r="O47" s="31">
        <v>0.05</v>
      </c>
      <c r="P47" s="31">
        <v>0.05</v>
      </c>
      <c r="Q47" s="31">
        <v>0.05</v>
      </c>
    </row>
    <row r="48" spans="14:23" x14ac:dyDescent="0.35">
      <c r="N48" s="30" t="s">
        <v>105</v>
      </c>
      <c r="O48" s="30">
        <f>O46+(3*O47)</f>
        <v>0.30990490000000004</v>
      </c>
      <c r="P48" s="30">
        <f>P46+(3*P47)</f>
        <v>0.5</v>
      </c>
      <c r="Q48" s="30">
        <f>Q46+(3*Q47)</f>
        <v>0.84</v>
      </c>
    </row>
    <row r="49" spans="13:17" x14ac:dyDescent="0.35">
      <c r="N49" s="30" t="s">
        <v>106</v>
      </c>
      <c r="O49" s="30">
        <f>O46-(3*O47)</f>
        <v>9.9048999999999665E-3</v>
      </c>
      <c r="P49" s="30">
        <f t="shared" ref="P49:Q49" si="1">P46-(3*P47)</f>
        <v>0.19999999999999996</v>
      </c>
      <c r="Q49" s="30">
        <f t="shared" si="1"/>
        <v>0.53999999999999992</v>
      </c>
    </row>
    <row r="52" spans="13:17" x14ac:dyDescent="0.35">
      <c r="N52" s="37" t="s">
        <v>111</v>
      </c>
    </row>
    <row r="53" spans="13:17" x14ac:dyDescent="0.35">
      <c r="M53">
        <v>1</v>
      </c>
      <c r="N53" s="37" t="s">
        <v>112</v>
      </c>
    </row>
    <row r="54" spans="13:17" x14ac:dyDescent="0.35">
      <c r="M54">
        <v>2</v>
      </c>
      <c r="N54" s="37" t="s">
        <v>113</v>
      </c>
    </row>
    <row r="57" spans="13:17" x14ac:dyDescent="0.35">
      <c r="M57" s="27" t="s">
        <v>117</v>
      </c>
    </row>
    <row r="59" spans="13:17" x14ac:dyDescent="0.35">
      <c r="M59" s="27" t="s">
        <v>118</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zoomScale="115" zoomScaleNormal="115" workbookViewId="0">
      <selection activeCell="C15" sqref="C15"/>
    </sheetView>
  </sheetViews>
  <sheetFormatPr defaultRowHeight="14.5" x14ac:dyDescent="0.35"/>
  <cols>
    <col min="1" max="1" width="11.81640625" customWidth="1"/>
  </cols>
  <sheetData>
    <row r="1" spans="1:4" x14ac:dyDescent="0.35">
      <c r="A1" s="39" t="s">
        <v>47</v>
      </c>
      <c r="B1" s="39" t="s">
        <v>50</v>
      </c>
      <c r="C1" s="39" t="s">
        <v>51</v>
      </c>
    </row>
    <row r="2" spans="1:4" x14ac:dyDescent="0.35">
      <c r="A2" s="39">
        <v>1.1818181818181819</v>
      </c>
      <c r="B2" s="39">
        <v>0.45454545454545453</v>
      </c>
      <c r="C2" s="39">
        <v>0.21212121212121213</v>
      </c>
    </row>
    <row r="3" spans="1:4" x14ac:dyDescent="0.35">
      <c r="A3" s="39">
        <v>0.9375</v>
      </c>
      <c r="B3" s="39">
        <v>0.3125</v>
      </c>
      <c r="C3" s="39">
        <v>0.1875</v>
      </c>
    </row>
    <row r="4" spans="1:4" x14ac:dyDescent="0.35">
      <c r="A4" s="39">
        <v>0.78048780487804881</v>
      </c>
      <c r="B4" s="39">
        <v>0.34146341463414637</v>
      </c>
      <c r="C4" s="39">
        <v>0.17073170731707318</v>
      </c>
    </row>
    <row r="5" spans="1:4" x14ac:dyDescent="0.35">
      <c r="A5" s="39">
        <v>0.5625</v>
      </c>
      <c r="B5" s="39">
        <v>0.25</v>
      </c>
      <c r="C5" s="39">
        <v>0.15625</v>
      </c>
    </row>
    <row r="6" spans="1:4" x14ac:dyDescent="0.35">
      <c r="A6" s="39">
        <v>0.5</v>
      </c>
      <c r="B6" s="39">
        <v>0.1875</v>
      </c>
      <c r="C6" s="39">
        <v>0.1875</v>
      </c>
    </row>
    <row r="7" spans="1:4" x14ac:dyDescent="0.35">
      <c r="A7" s="39">
        <v>0.76190476190476186</v>
      </c>
      <c r="B7" s="39">
        <v>0.2857142857142857</v>
      </c>
      <c r="C7" s="39">
        <v>0.16666666666666666</v>
      </c>
    </row>
    <row r="8" spans="1:4" x14ac:dyDescent="0.35">
      <c r="A8" s="39">
        <v>0.6</v>
      </c>
      <c r="B8" s="39">
        <v>0.2</v>
      </c>
      <c r="C8" s="39">
        <v>0.1</v>
      </c>
    </row>
    <row r="9" spans="1:4" x14ac:dyDescent="0.35">
      <c r="A9" s="39">
        <v>0.8</v>
      </c>
      <c r="B9" s="39">
        <v>0.3</v>
      </c>
      <c r="C9" s="39">
        <v>0.2</v>
      </c>
    </row>
    <row r="10" spans="1:4" x14ac:dyDescent="0.35">
      <c r="A10" s="39">
        <v>0.43478260869565216</v>
      </c>
      <c r="B10" s="39">
        <v>0.14130434782608695</v>
      </c>
      <c r="C10" s="39">
        <v>0.11956521739130435</v>
      </c>
    </row>
    <row r="11" spans="1:4" x14ac:dyDescent="0.35">
      <c r="A11" s="39">
        <v>0.36585365853658536</v>
      </c>
      <c r="B11" s="39">
        <v>0.14634146341463414</v>
      </c>
      <c r="C11" s="39">
        <v>9.7560975609756101E-2</v>
      </c>
    </row>
    <row r="12" spans="1:4" x14ac:dyDescent="0.35">
      <c r="A12" s="39">
        <v>0.8</v>
      </c>
      <c r="B12" s="39">
        <v>0.3</v>
      </c>
      <c r="C12" s="39">
        <v>0.16666666666666666</v>
      </c>
    </row>
    <row r="13" spans="1:4" x14ac:dyDescent="0.35">
      <c r="A13" s="39">
        <v>0.47368421052631576</v>
      </c>
      <c r="B13" s="39">
        <v>0.21052631578947367</v>
      </c>
      <c r="C13" s="39">
        <v>0.10526315789473684</v>
      </c>
    </row>
    <row r="14" spans="1:4" x14ac:dyDescent="0.35">
      <c r="A14" s="39">
        <v>0.8</v>
      </c>
      <c r="B14" s="39">
        <v>0.4</v>
      </c>
      <c r="C14" s="39">
        <v>0.1</v>
      </c>
    </row>
    <row r="15" spans="1:4" x14ac:dyDescent="0.35">
      <c r="A15" s="39">
        <v>0.83333333333333337</v>
      </c>
      <c r="B15" s="39">
        <v>0.5</v>
      </c>
      <c r="C15" s="65">
        <v>0.33333333333333331</v>
      </c>
      <c r="D15" t="s">
        <v>125</v>
      </c>
    </row>
    <row r="16" spans="1:4" x14ac:dyDescent="0.35">
      <c r="A16" s="39">
        <v>1</v>
      </c>
      <c r="B16" s="39">
        <v>0.2</v>
      </c>
      <c r="C16" s="39">
        <v>0.2</v>
      </c>
    </row>
    <row r="17" spans="1:16" x14ac:dyDescent="0.35">
      <c r="A17" s="39">
        <v>1.6</v>
      </c>
      <c r="B17" s="39">
        <v>0.4</v>
      </c>
      <c r="C17" s="39">
        <v>0.2</v>
      </c>
    </row>
    <row r="18" spans="1:16" x14ac:dyDescent="0.35">
      <c r="A18" s="39">
        <v>1.4</v>
      </c>
      <c r="B18" s="39">
        <v>0.4</v>
      </c>
      <c r="C18" s="39">
        <v>0.4</v>
      </c>
    </row>
    <row r="19" spans="1:16" x14ac:dyDescent="0.35">
      <c r="A19" s="39">
        <v>0.6071428571428571</v>
      </c>
      <c r="B19" s="39">
        <v>0.25</v>
      </c>
      <c r="C19" s="39">
        <v>0.16071428571428573</v>
      </c>
    </row>
    <row r="20" spans="1:16" x14ac:dyDescent="0.35">
      <c r="A20" s="39">
        <v>1.04</v>
      </c>
      <c r="B20" s="39">
        <v>0.36</v>
      </c>
      <c r="C20" s="39">
        <v>0.16</v>
      </c>
    </row>
    <row r="25" spans="1:16" x14ac:dyDescent="0.35">
      <c r="L25" t="s">
        <v>115</v>
      </c>
    </row>
    <row r="26" spans="1:16" x14ac:dyDescent="0.35">
      <c r="L26" t="s">
        <v>47</v>
      </c>
      <c r="M26" t="s">
        <v>116</v>
      </c>
      <c r="N26" t="s">
        <v>127</v>
      </c>
    </row>
    <row r="32" spans="1:16" x14ac:dyDescent="0.35">
      <c r="M32" s="51" t="s">
        <v>98</v>
      </c>
      <c r="N32" s="51" t="s">
        <v>114</v>
      </c>
      <c r="O32" s="52" t="s">
        <v>50</v>
      </c>
      <c r="P32" s="52" t="s">
        <v>51</v>
      </c>
    </row>
    <row r="33" spans="13:18" x14ac:dyDescent="0.35">
      <c r="M33" s="50" t="s">
        <v>99</v>
      </c>
      <c r="N33" s="53">
        <v>0.81499999999999995</v>
      </c>
      <c r="O33" s="54">
        <v>0.29680000000000001</v>
      </c>
      <c r="P33" s="54">
        <v>0.17169999999999999</v>
      </c>
    </row>
    <row r="34" spans="13:18" x14ac:dyDescent="0.35">
      <c r="M34" s="50" t="s">
        <v>100</v>
      </c>
      <c r="N34" s="55">
        <f>(N35-N36)/6</f>
        <v>0.24883333333333332</v>
      </c>
      <c r="O34" s="55">
        <f t="shared" ref="O34:P34" si="0">(O35-O36)/6</f>
        <v>0.10171666666666666</v>
      </c>
      <c r="P34" s="55">
        <f t="shared" si="0"/>
        <v>5.2800000000000007E-2</v>
      </c>
    </row>
    <row r="35" spans="13:18" x14ac:dyDescent="0.35">
      <c r="M35" s="50" t="s">
        <v>101</v>
      </c>
      <c r="N35" s="53">
        <v>1.5609999999999999</v>
      </c>
      <c r="O35" s="54">
        <v>0.60199999999999998</v>
      </c>
      <c r="P35" s="54">
        <v>0.3301</v>
      </c>
    </row>
    <row r="36" spans="13:18" x14ac:dyDescent="0.35">
      <c r="M36" s="50" t="s">
        <v>102</v>
      </c>
      <c r="N36" s="53">
        <v>6.8000000000000005E-2</v>
      </c>
      <c r="O36" s="54">
        <v>-8.3000000000000001E-3</v>
      </c>
      <c r="P36" s="54">
        <v>1.3299999999999999E-2</v>
      </c>
    </row>
    <row r="37" spans="13:18" x14ac:dyDescent="0.35">
      <c r="M37" s="56"/>
      <c r="N37" s="56"/>
      <c r="O37" s="56"/>
      <c r="P37" s="56"/>
    </row>
    <row r="38" spans="13:18" x14ac:dyDescent="0.35">
      <c r="M38" s="56"/>
      <c r="N38" s="56"/>
      <c r="O38" s="56"/>
      <c r="P38" s="56"/>
    </row>
    <row r="39" spans="13:18" x14ac:dyDescent="0.35">
      <c r="M39" s="56"/>
      <c r="N39" s="56"/>
      <c r="O39" s="56"/>
      <c r="P39" s="56"/>
    </row>
    <row r="40" spans="13:18" x14ac:dyDescent="0.35">
      <c r="M40" s="51" t="s">
        <v>103</v>
      </c>
      <c r="N40" s="51" t="s">
        <v>114</v>
      </c>
      <c r="O40" s="56"/>
      <c r="P40" s="56"/>
    </row>
    <row r="41" spans="13:18" x14ac:dyDescent="0.35">
      <c r="M41" s="50" t="s">
        <v>99</v>
      </c>
      <c r="N41" s="57">
        <f>N33-P41</f>
        <v>0.73349999999999993</v>
      </c>
      <c r="O41" s="56"/>
      <c r="P41" s="56">
        <f>N33*10%</f>
        <v>8.1500000000000003E-2</v>
      </c>
    </row>
    <row r="42" spans="13:18" x14ac:dyDescent="0.35">
      <c r="M42" s="50" t="s">
        <v>100</v>
      </c>
      <c r="N42" s="50">
        <v>0.25</v>
      </c>
      <c r="O42" s="56"/>
      <c r="P42" s="56"/>
      <c r="R42">
        <f>N46/N33</f>
        <v>0.90671165644171803</v>
      </c>
    </row>
    <row r="43" spans="13:18" x14ac:dyDescent="0.35">
      <c r="M43" s="56"/>
      <c r="N43" s="56"/>
      <c r="O43" s="56"/>
      <c r="P43" s="56"/>
    </row>
    <row r="44" spans="13:18" x14ac:dyDescent="0.35">
      <c r="M44" s="56"/>
      <c r="N44" s="56"/>
      <c r="O44" s="56"/>
      <c r="P44" s="56"/>
    </row>
    <row r="45" spans="13:18" x14ac:dyDescent="0.35">
      <c r="M45" s="51" t="s">
        <v>104</v>
      </c>
      <c r="N45" s="51" t="s">
        <v>114</v>
      </c>
      <c r="O45" s="52" t="s">
        <v>50</v>
      </c>
      <c r="P45" s="52" t="s">
        <v>51</v>
      </c>
    </row>
    <row r="46" spans="13:18" x14ac:dyDescent="0.35">
      <c r="M46" s="50" t="s">
        <v>99</v>
      </c>
      <c r="N46" s="58">
        <f>-0.131 + (2.166*O46) + (1.899*P46)</f>
        <v>0.73897000000000013</v>
      </c>
      <c r="O46" s="58">
        <v>0.2</v>
      </c>
      <c r="P46" s="58">
        <v>0.23</v>
      </c>
    </row>
    <row r="47" spans="13:18" x14ac:dyDescent="0.35">
      <c r="M47" s="50" t="s">
        <v>100</v>
      </c>
      <c r="N47" s="50">
        <v>0.25</v>
      </c>
      <c r="O47" s="50">
        <v>0.1</v>
      </c>
      <c r="P47" s="50">
        <v>0.5</v>
      </c>
    </row>
    <row r="48" spans="13:18" x14ac:dyDescent="0.35">
      <c r="M48" s="50" t="s">
        <v>105</v>
      </c>
      <c r="N48" s="50">
        <f>N46+(3*N47)</f>
        <v>1.4889700000000001</v>
      </c>
      <c r="O48" s="50">
        <f t="shared" ref="O48:P48" si="1">O46+(3*O47)</f>
        <v>0.5</v>
      </c>
      <c r="P48" s="50">
        <f t="shared" si="1"/>
        <v>1.73</v>
      </c>
    </row>
    <row r="49" spans="13:16" x14ac:dyDescent="0.35">
      <c r="M49" s="50" t="s">
        <v>106</v>
      </c>
      <c r="N49" s="50">
        <f>N46-(3*N47)</f>
        <v>-1.1029999999999873E-2</v>
      </c>
      <c r="O49" s="50">
        <f t="shared" ref="O49:P49" si="2">O46-(3*O47)</f>
        <v>-0.10000000000000003</v>
      </c>
      <c r="P49" s="50">
        <f t="shared" si="2"/>
        <v>-1.27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
  <sheetViews>
    <sheetView topLeftCell="A29" zoomScale="85" zoomScaleNormal="85" workbookViewId="0">
      <selection activeCell="M39" sqref="M39"/>
    </sheetView>
  </sheetViews>
  <sheetFormatPr defaultRowHeight="14.5" x14ac:dyDescent="0.35"/>
  <cols>
    <col min="2" max="2" width="15.6328125" customWidth="1"/>
    <col min="5" max="5" width="10.90625" customWidth="1"/>
    <col min="6" max="6" width="12.54296875" customWidth="1"/>
    <col min="17" max="17" width="17.08984375" customWidth="1"/>
    <col min="20" max="20" width="15.08984375" customWidth="1"/>
  </cols>
  <sheetData>
    <row r="1" spans="1:6" x14ac:dyDescent="0.35">
      <c r="A1" s="48" t="s">
        <v>124</v>
      </c>
      <c r="B1" s="48" t="s">
        <v>123</v>
      </c>
      <c r="E1" s="48" t="s">
        <v>124</v>
      </c>
      <c r="F1" s="48" t="s">
        <v>128</v>
      </c>
    </row>
    <row r="2" spans="1:6" x14ac:dyDescent="0.35">
      <c r="A2">
        <v>0.8</v>
      </c>
      <c r="B2">
        <v>9.0909090909090912E-2</v>
      </c>
      <c r="E2" s="68">
        <v>0.8</v>
      </c>
      <c r="F2" s="68">
        <v>9.0909090909090912E-2</v>
      </c>
    </row>
    <row r="3" spans="1:6" x14ac:dyDescent="0.35">
      <c r="A3">
        <v>1</v>
      </c>
      <c r="B3">
        <v>6.25E-2</v>
      </c>
      <c r="E3" s="68">
        <v>1</v>
      </c>
      <c r="F3" s="68">
        <v>6.25E-2</v>
      </c>
    </row>
    <row r="4" spans="1:6" x14ac:dyDescent="0.35">
      <c r="A4">
        <v>0.8</v>
      </c>
      <c r="B4">
        <v>7.3170731707317069E-2</v>
      </c>
      <c r="E4" s="68">
        <v>0.8</v>
      </c>
      <c r="F4" s="68">
        <v>7.3170731707317069E-2</v>
      </c>
    </row>
    <row r="5" spans="1:6" x14ac:dyDescent="0.35">
      <c r="A5">
        <v>0.8</v>
      </c>
      <c r="B5">
        <v>6.25E-2</v>
      </c>
      <c r="E5" s="68">
        <v>0.8</v>
      </c>
      <c r="F5" s="68">
        <v>6.25E-2</v>
      </c>
    </row>
    <row r="6" spans="1:6" x14ac:dyDescent="0.35">
      <c r="A6">
        <v>0.66666666666666663</v>
      </c>
      <c r="B6">
        <v>6.25E-2</v>
      </c>
      <c r="E6" s="68">
        <v>0.66666666666666663</v>
      </c>
      <c r="F6" s="68">
        <v>6.25E-2</v>
      </c>
    </row>
    <row r="7" spans="1:6" x14ac:dyDescent="0.35">
      <c r="A7">
        <v>0.8</v>
      </c>
      <c r="B7">
        <v>7.1428571428571425E-2</v>
      </c>
      <c r="E7" s="68">
        <v>0.8</v>
      </c>
      <c r="F7" s="68">
        <v>7.1428571428571425E-2</v>
      </c>
    </row>
    <row r="8" spans="1:6" x14ac:dyDescent="0.35">
      <c r="A8">
        <v>0.66666666666666663</v>
      </c>
      <c r="B8">
        <v>0.1</v>
      </c>
      <c r="E8" s="68">
        <v>0.66666666666666663</v>
      </c>
      <c r="F8" s="68">
        <v>0.1</v>
      </c>
    </row>
    <row r="9" spans="1:6" x14ac:dyDescent="0.35">
      <c r="A9">
        <v>0.66666666666666663</v>
      </c>
      <c r="B9">
        <v>0.1</v>
      </c>
      <c r="E9" s="68">
        <v>0.66666666666666663</v>
      </c>
      <c r="F9" s="68">
        <v>0.1</v>
      </c>
    </row>
    <row r="10" spans="1:6" x14ac:dyDescent="0.35">
      <c r="A10">
        <v>0.71428571428571419</v>
      </c>
      <c r="B10">
        <v>3.2608695652173912E-2</v>
      </c>
      <c r="E10" s="68">
        <v>0.71428571428571419</v>
      </c>
      <c r="F10" s="68">
        <v>3.2608695652173912E-2</v>
      </c>
    </row>
    <row r="11" spans="1:6" x14ac:dyDescent="0.35">
      <c r="A11">
        <v>0.875</v>
      </c>
      <c r="B11">
        <v>7.3170731707317069E-2</v>
      </c>
      <c r="E11" s="68">
        <v>0.875</v>
      </c>
      <c r="F11" s="68">
        <v>7.3170731707317069E-2</v>
      </c>
    </row>
    <row r="12" spans="1:6" x14ac:dyDescent="0.35">
      <c r="A12">
        <v>0.8</v>
      </c>
      <c r="B12">
        <v>6.6666666666666666E-2</v>
      </c>
      <c r="E12" s="68">
        <v>0.8</v>
      </c>
      <c r="F12" s="68">
        <v>6.6666666666666666E-2</v>
      </c>
    </row>
    <row r="13" spans="1:6" x14ac:dyDescent="0.35">
      <c r="A13">
        <v>0.8</v>
      </c>
      <c r="B13">
        <v>7.8947368421052627E-2</v>
      </c>
      <c r="E13" s="68">
        <v>0.8</v>
      </c>
      <c r="F13" s="68">
        <v>7.8947368421052627E-2</v>
      </c>
    </row>
    <row r="14" spans="1:6" x14ac:dyDescent="0.35">
      <c r="A14">
        <v>0.74999999999999989</v>
      </c>
      <c r="B14">
        <v>0.1</v>
      </c>
      <c r="E14" s="68">
        <v>0.74999999999999989</v>
      </c>
      <c r="F14" s="69">
        <v>0.1</v>
      </c>
    </row>
    <row r="15" spans="1:6" x14ac:dyDescent="0.35">
      <c r="A15">
        <v>1</v>
      </c>
      <c r="B15">
        <v>0.16666666666666666</v>
      </c>
      <c r="E15" s="68">
        <v>1</v>
      </c>
      <c r="F15" s="68">
        <v>0.16666666666666666</v>
      </c>
    </row>
    <row r="16" spans="1:6" x14ac:dyDescent="0.35">
      <c r="A16">
        <v>0.5</v>
      </c>
      <c r="B16">
        <v>0</v>
      </c>
      <c r="E16" s="68">
        <v>0.5</v>
      </c>
      <c r="F16" s="68">
        <v>0</v>
      </c>
    </row>
    <row r="17" spans="1:19" x14ac:dyDescent="0.35">
      <c r="A17">
        <v>0.6</v>
      </c>
      <c r="B17">
        <v>0.2</v>
      </c>
      <c r="E17" s="69">
        <v>0.6</v>
      </c>
      <c r="F17" s="69">
        <v>0.2</v>
      </c>
    </row>
    <row r="18" spans="1:19" x14ac:dyDescent="0.35">
      <c r="A18">
        <v>0.66666666666666663</v>
      </c>
      <c r="B18">
        <v>0.2</v>
      </c>
      <c r="E18" s="69">
        <v>0.66666999999999998</v>
      </c>
      <c r="F18" s="69">
        <v>0.2</v>
      </c>
    </row>
    <row r="19" spans="1:19" x14ac:dyDescent="0.35">
      <c r="A19">
        <v>0.8</v>
      </c>
      <c r="B19">
        <v>3.5714285714285712E-2</v>
      </c>
      <c r="E19" s="68">
        <v>0.8</v>
      </c>
      <c r="F19" s="68">
        <v>3.5000000000000003E-2</v>
      </c>
    </row>
    <row r="20" spans="1:19" x14ac:dyDescent="0.35">
      <c r="A20">
        <v>0.75</v>
      </c>
      <c r="B20">
        <v>0.08</v>
      </c>
      <c r="E20" s="68">
        <v>0.75</v>
      </c>
      <c r="F20" s="68">
        <v>0.08</v>
      </c>
    </row>
    <row r="26" spans="1:19" x14ac:dyDescent="0.35">
      <c r="S26" s="49"/>
    </row>
    <row r="29" spans="1:19" x14ac:dyDescent="0.35">
      <c r="M29" t="s">
        <v>115</v>
      </c>
    </row>
    <row r="30" spans="1:19" x14ac:dyDescent="0.35">
      <c r="M30" t="s">
        <v>124</v>
      </c>
      <c r="N30" t="s">
        <v>116</v>
      </c>
      <c r="O30" s="67" t="s">
        <v>129</v>
      </c>
    </row>
    <row r="36" spans="15:18" x14ac:dyDescent="0.35">
      <c r="O36" s="29" t="s">
        <v>98</v>
      </c>
      <c r="P36" s="35" t="s">
        <v>38</v>
      </c>
      <c r="Q36" s="35" t="s">
        <v>128</v>
      </c>
    </row>
    <row r="37" spans="15:18" x14ac:dyDescent="0.35">
      <c r="O37" s="30" t="s">
        <v>99</v>
      </c>
      <c r="P37" s="70">
        <v>0.77600000000000002</v>
      </c>
      <c r="Q37" s="59">
        <v>7.2300000000000003E-2</v>
      </c>
    </row>
    <row r="38" spans="15:18" x14ac:dyDescent="0.35">
      <c r="O38" s="30" t="s">
        <v>100</v>
      </c>
      <c r="P38" s="38">
        <f>(P39-P40)/6</f>
        <v>0.11425</v>
      </c>
      <c r="Q38" s="38">
        <f>(Q39-Q40)/6</f>
        <v>2.9016666666666666E-2</v>
      </c>
    </row>
    <row r="39" spans="15:18" x14ac:dyDescent="0.35">
      <c r="O39" s="30" t="s">
        <v>101</v>
      </c>
      <c r="P39" s="59">
        <v>1.1186</v>
      </c>
      <c r="Q39" s="59">
        <v>0.1593</v>
      </c>
    </row>
    <row r="40" spans="15:18" x14ac:dyDescent="0.35">
      <c r="O40" s="30" t="s">
        <v>102</v>
      </c>
      <c r="P40" s="59">
        <v>0.43309999999999998</v>
      </c>
      <c r="Q40" s="59">
        <v>-1.4800000000000001E-2</v>
      </c>
    </row>
    <row r="42" spans="15:18" x14ac:dyDescent="0.35">
      <c r="O42" s="29" t="s">
        <v>103</v>
      </c>
      <c r="P42" s="29" t="s">
        <v>38</v>
      </c>
      <c r="Q42" s="28"/>
      <c r="R42" s="28"/>
    </row>
    <row r="43" spans="15:18" x14ac:dyDescent="0.35">
      <c r="O43" s="30" t="s">
        <v>99</v>
      </c>
      <c r="P43" s="60">
        <f>P37+R43</f>
        <v>0.81479999999999997</v>
      </c>
      <c r="Q43" s="61"/>
      <c r="R43" s="28">
        <f>P37*5%</f>
        <v>3.8800000000000001E-2</v>
      </c>
    </row>
    <row r="44" spans="15:18" x14ac:dyDescent="0.35">
      <c r="O44" s="30" t="s">
        <v>100</v>
      </c>
      <c r="P44" s="62">
        <v>0.1</v>
      </c>
      <c r="Q44" s="28"/>
      <c r="R44" s="28"/>
    </row>
    <row r="46" spans="15:18" x14ac:dyDescent="0.35">
      <c r="O46" s="29" t="s">
        <v>104</v>
      </c>
      <c r="P46" s="35" t="s">
        <v>38</v>
      </c>
      <c r="Q46" s="35" t="s">
        <v>128</v>
      </c>
    </row>
    <row r="47" spans="15:18" x14ac:dyDescent="0.35">
      <c r="O47" s="30" t="s">
        <v>99</v>
      </c>
      <c r="P47" s="45">
        <f>0.6449 + (1.834*Q47)</f>
        <v>0.80996000000000001</v>
      </c>
      <c r="Q47" s="63">
        <v>0.09</v>
      </c>
    </row>
    <row r="48" spans="15:18" x14ac:dyDescent="0.35">
      <c r="O48" s="30" t="s">
        <v>100</v>
      </c>
      <c r="P48" s="50">
        <v>0.1</v>
      </c>
      <c r="Q48" s="50">
        <v>0.05</v>
      </c>
    </row>
    <row r="49" spans="15:17" x14ac:dyDescent="0.35">
      <c r="O49" s="30" t="s">
        <v>105</v>
      </c>
      <c r="P49" s="30">
        <f>P47+(3*P48)</f>
        <v>1.1099600000000001</v>
      </c>
      <c r="Q49" s="30">
        <f>Q47+(3*Q48)</f>
        <v>0.24000000000000002</v>
      </c>
    </row>
    <row r="50" spans="15:17" x14ac:dyDescent="0.35">
      <c r="O50" s="30" t="s">
        <v>106</v>
      </c>
      <c r="P50" s="30">
        <f>P47-3*P48</f>
        <v>0.50995999999999997</v>
      </c>
      <c r="Q50" s="30">
        <f>Q47-3*Q48</f>
        <v>-6.0000000000000026E-2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DC JultoOct</vt:lpstr>
      <vt:lpstr>PPM Prod Cycle 2</vt:lpstr>
      <vt:lpstr>PPM CT Cycle 2</vt:lpstr>
      <vt:lpstr>PPM DRE Cycle 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2026-01-13T11:26:52Z</dcterms:created>
  <dcterms:modified xsi:type="dcterms:W3CDTF">2026-02-06T10:41:05Z</dcterms:modified>
</cp:coreProperties>
</file>