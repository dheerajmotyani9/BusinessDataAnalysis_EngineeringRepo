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5530" windowHeight="7180" activeTab="2"/>
  </bookViews>
  <sheets>
    <sheet name="Jan to June" sheetId="1" r:id="rId1"/>
    <sheet name="PPM Productivity cycle 1" sheetId="13" r:id="rId2"/>
    <sheet name="PPM Cycle Time Cycle 1" sheetId="15" r:id="rId3"/>
    <sheet name="PPM - DRE Cycle 1" sheetId="14" r:id="rId4"/>
  </sheets>
  <externalReferences>
    <externalReference r:id="rId5"/>
  </externalReferences>
  <definedNames>
    <definedName name="_xlnm._FilterDatabase" localSheetId="0" hidden="1">'Jan to June'!$A$1:$AQ$24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3" l="1"/>
  <c r="R38" i="14" l="1"/>
  <c r="Q38" i="14"/>
  <c r="R50" i="14"/>
  <c r="Q50" i="14"/>
  <c r="R49" i="14"/>
  <c r="Q49" i="14"/>
  <c r="Q47" i="14" l="1"/>
  <c r="S37" i="15"/>
  <c r="P55" i="13" l="1"/>
  <c r="P44" i="15" l="1"/>
  <c r="Q44" i="15"/>
  <c r="O44" i="15"/>
  <c r="P43" i="15"/>
  <c r="Q43" i="15"/>
  <c r="V42" i="13"/>
  <c r="P43" i="13"/>
  <c r="Q43" i="13"/>
  <c r="R43" i="13"/>
  <c r="Q29" i="13"/>
  <c r="P29" i="13"/>
  <c r="O29" i="13"/>
  <c r="P29" i="15"/>
  <c r="Q29" i="15"/>
  <c r="O29" i="15"/>
  <c r="BK3" i="1"/>
  <c r="BK4" i="1"/>
  <c r="BK5" i="1"/>
  <c r="BK6" i="1"/>
  <c r="BK7" i="1"/>
  <c r="BK8" i="1"/>
  <c r="BK9" i="1"/>
  <c r="BK10" i="1"/>
  <c r="BK11" i="1"/>
  <c r="BK12" i="1"/>
  <c r="BK13" i="1"/>
  <c r="BK14" i="1"/>
  <c r="BK15" i="1"/>
  <c r="BK16" i="1"/>
  <c r="BK17" i="1"/>
  <c r="BK18" i="1"/>
  <c r="BK19" i="1"/>
  <c r="BK20" i="1"/>
  <c r="BK21" i="1"/>
  <c r="BK22" i="1"/>
  <c r="BK23" i="1"/>
  <c r="BK24" i="1"/>
  <c r="BK2" i="1"/>
  <c r="S43" i="14" l="1"/>
  <c r="Q43" i="14" s="1"/>
  <c r="BI2" i="1" l="1"/>
  <c r="O41" i="15"/>
  <c r="O43" i="15" s="1"/>
  <c r="Q36" i="15"/>
  <c r="O36" i="15" s="1"/>
  <c r="W55" i="13" l="1"/>
  <c r="V55" i="13"/>
  <c r="H19" i="1" l="1"/>
  <c r="H20" i="1"/>
  <c r="H18" i="1"/>
  <c r="R58" i="13"/>
  <c r="Q58" i="13"/>
  <c r="Y97" i="13"/>
  <c r="R57" i="13"/>
  <c r="Q57" i="13"/>
  <c r="Y96" i="13"/>
  <c r="P57" i="13"/>
  <c r="R50" i="13"/>
  <c r="P50" i="13" s="1"/>
  <c r="Y88" i="13"/>
  <c r="Y86" i="13"/>
  <c r="Y84" i="13"/>
  <c r="Y83" i="13"/>
  <c r="P58" i="13" l="1"/>
  <c r="H21" i="1"/>
  <c r="H22" i="1"/>
  <c r="H23" i="1"/>
  <c r="H24" i="1"/>
  <c r="H15" i="1"/>
  <c r="H16" i="1"/>
  <c r="H17" i="1"/>
  <c r="H14" i="1"/>
  <c r="H9" i="1"/>
  <c r="H10" i="1"/>
  <c r="H11" i="1"/>
  <c r="H12" i="1"/>
  <c r="H13" i="1"/>
  <c r="H2" i="1"/>
  <c r="H3" i="1"/>
  <c r="H4" i="1"/>
  <c r="H5" i="1"/>
  <c r="H6" i="1"/>
  <c r="H7" i="1"/>
  <c r="H8" i="1"/>
  <c r="L18" i="1" l="1"/>
  <c r="AZ3" i="1" l="1"/>
  <c r="BA3" i="1"/>
  <c r="BB3" i="1"/>
  <c r="BC3" i="1"/>
  <c r="BD3" i="1"/>
  <c r="AZ4" i="1"/>
  <c r="BA4" i="1"/>
  <c r="BB4" i="1"/>
  <c r="BC4" i="1"/>
  <c r="BD4" i="1"/>
  <c r="AZ5" i="1"/>
  <c r="BA5" i="1"/>
  <c r="BB5" i="1"/>
  <c r="BC5" i="1"/>
  <c r="BD5" i="1"/>
  <c r="AZ6" i="1"/>
  <c r="BA6" i="1"/>
  <c r="BB6" i="1"/>
  <c r="BC6" i="1"/>
  <c r="BD6" i="1"/>
  <c r="AZ7" i="1"/>
  <c r="BA7" i="1"/>
  <c r="BB7" i="1"/>
  <c r="BC7" i="1"/>
  <c r="BD7" i="1"/>
  <c r="AZ8" i="1"/>
  <c r="BA8" i="1"/>
  <c r="BB8" i="1"/>
  <c r="BC8" i="1"/>
  <c r="BD8" i="1"/>
  <c r="AZ10" i="1"/>
  <c r="BA10" i="1"/>
  <c r="BB10" i="1"/>
  <c r="BC10" i="1"/>
  <c r="BD10" i="1"/>
  <c r="AZ17" i="1"/>
  <c r="BA17" i="1"/>
  <c r="BB17" i="1"/>
  <c r="BC17" i="1"/>
  <c r="BD17" i="1"/>
  <c r="BD2" i="1"/>
  <c r="BC2" i="1"/>
  <c r="BB2" i="1"/>
  <c r="BA2" i="1"/>
  <c r="AZ2" i="1"/>
  <c r="BJ2" i="1"/>
  <c r="BI7" i="1"/>
  <c r="BJ7" i="1"/>
  <c r="BI17" i="1"/>
  <c r="BJ17" i="1"/>
  <c r="BH17" i="1" l="1"/>
  <c r="BH2" i="1"/>
  <c r="BH7" i="1"/>
  <c r="BF3" i="1" l="1"/>
  <c r="BG3" i="1"/>
  <c r="BF4" i="1"/>
  <c r="BG4" i="1"/>
  <c r="BF5" i="1"/>
  <c r="BG5" i="1"/>
  <c r="BF6" i="1"/>
  <c r="BG6" i="1"/>
  <c r="BF7" i="1"/>
  <c r="BG7" i="1"/>
  <c r="BF8" i="1"/>
  <c r="BG8" i="1"/>
  <c r="BF9" i="1"/>
  <c r="BG9" i="1"/>
  <c r="BF10" i="1"/>
  <c r="BG10" i="1"/>
  <c r="BF11" i="1"/>
  <c r="BG11" i="1"/>
  <c r="BF12" i="1"/>
  <c r="BG12" i="1"/>
  <c r="BF13" i="1"/>
  <c r="BG13" i="1"/>
  <c r="BF14" i="1"/>
  <c r="BG14" i="1"/>
  <c r="BF15" i="1"/>
  <c r="BG15" i="1"/>
  <c r="BF16" i="1"/>
  <c r="BG16" i="1"/>
  <c r="BF17" i="1"/>
  <c r="BG17" i="1"/>
  <c r="BF18" i="1"/>
  <c r="BG18" i="1"/>
  <c r="BF19" i="1"/>
  <c r="BG19" i="1"/>
  <c r="BF20" i="1"/>
  <c r="BG20" i="1"/>
  <c r="BF21" i="1"/>
  <c r="BG21" i="1"/>
  <c r="BF22" i="1"/>
  <c r="BG22" i="1"/>
  <c r="BF23" i="1"/>
  <c r="BG23" i="1"/>
  <c r="BF24" i="1"/>
  <c r="BG24" i="1"/>
  <c r="BF2" i="1"/>
  <c r="BG2" i="1"/>
  <c r="BE4" i="1"/>
  <c r="BE5" i="1"/>
  <c r="BE6" i="1"/>
  <c r="BE7" i="1"/>
  <c r="BE8" i="1"/>
  <c r="BE9" i="1"/>
  <c r="BE10" i="1"/>
  <c r="BE11" i="1"/>
  <c r="BE12" i="1"/>
  <c r="BE13" i="1"/>
  <c r="BE14" i="1"/>
  <c r="BE15" i="1"/>
  <c r="BE16" i="1"/>
  <c r="BE17" i="1"/>
  <c r="BE18" i="1"/>
  <c r="BE19" i="1"/>
  <c r="BE20" i="1"/>
  <c r="BE21" i="1"/>
  <c r="BE22" i="1"/>
  <c r="BE23" i="1"/>
  <c r="BE24" i="1"/>
  <c r="BE3" i="1"/>
  <c r="BE2" i="1"/>
  <c r="AK25" i="1"/>
  <c r="AJ25" i="1"/>
  <c r="AI25" i="1"/>
  <c r="AH25" i="1"/>
  <c r="AG25" i="1"/>
  <c r="AF25" i="1"/>
  <c r="AU7" i="1" l="1"/>
  <c r="AV7" i="1"/>
  <c r="AW7" i="1"/>
  <c r="AX7" i="1"/>
  <c r="AY7" i="1"/>
  <c r="AU17" i="1"/>
  <c r="AV17" i="1"/>
  <c r="AW17" i="1"/>
  <c r="AX17" i="1"/>
  <c r="AY17" i="1"/>
  <c r="BC23" i="1" l="1"/>
  <c r="BD23" i="1"/>
  <c r="AZ23" i="1"/>
  <c r="BA23" i="1"/>
  <c r="BB23" i="1"/>
  <c r="AU23" i="1"/>
  <c r="BI23" i="1"/>
  <c r="BJ23" i="1"/>
  <c r="AW23" i="1"/>
  <c r="AV23" i="1"/>
  <c r="AY23" i="1"/>
  <c r="AX23" i="1"/>
  <c r="AZ21" i="1" l="1"/>
  <c r="BA21" i="1"/>
  <c r="BB21" i="1"/>
  <c r="BC21" i="1"/>
  <c r="BD21" i="1"/>
  <c r="BI4" i="1"/>
  <c r="BJ4" i="1"/>
  <c r="BH23" i="1"/>
  <c r="BI3" i="1"/>
  <c r="BJ3" i="1"/>
  <c r="AX2" i="1"/>
  <c r="BI21" i="1"/>
  <c r="BJ21" i="1"/>
  <c r="AU4" i="1"/>
  <c r="AV4" i="1"/>
  <c r="AW4" i="1"/>
  <c r="AX4" i="1"/>
  <c r="AY4" i="1"/>
  <c r="AU3" i="1"/>
  <c r="AW3" i="1"/>
  <c r="AX3" i="1"/>
  <c r="AY3" i="1"/>
  <c r="AV3" i="1"/>
  <c r="AY2" i="1"/>
  <c r="AW2" i="1"/>
  <c r="AV2" i="1"/>
  <c r="AU2" i="1"/>
  <c r="AU21" i="1"/>
  <c r="AW21" i="1"/>
  <c r="AX21" i="1"/>
  <c r="AV21" i="1"/>
  <c r="AY21" i="1"/>
  <c r="AZ14" i="1" l="1"/>
  <c r="BA14" i="1"/>
  <c r="BB14" i="1"/>
  <c r="BC14" i="1"/>
  <c r="BD14" i="1"/>
  <c r="AZ22" i="1"/>
  <c r="BB22" i="1"/>
  <c r="BC22" i="1"/>
  <c r="BD22" i="1"/>
  <c r="BA22" i="1"/>
  <c r="BH21" i="1"/>
  <c r="BD18" i="1"/>
  <c r="AZ18" i="1"/>
  <c r="BA18" i="1"/>
  <c r="BB18" i="1"/>
  <c r="BC18" i="1"/>
  <c r="BC15" i="1"/>
  <c r="BD15" i="1"/>
  <c r="AZ15" i="1"/>
  <c r="BA15" i="1"/>
  <c r="BB15" i="1"/>
  <c r="BB20" i="1"/>
  <c r="BC20" i="1"/>
  <c r="BD20" i="1"/>
  <c r="AZ20" i="1"/>
  <c r="BA20" i="1"/>
  <c r="AZ16" i="1"/>
  <c r="BA16" i="1"/>
  <c r="BB16" i="1"/>
  <c r="BC16" i="1"/>
  <c r="BD16" i="1"/>
  <c r="BA24" i="1"/>
  <c r="BB24" i="1"/>
  <c r="BC24" i="1"/>
  <c r="AZ24" i="1"/>
  <c r="BD24" i="1"/>
  <c r="AZ19" i="1"/>
  <c r="BB19" i="1"/>
  <c r="BC19" i="1"/>
  <c r="BD19" i="1"/>
  <c r="BA19" i="1"/>
  <c r="BH3" i="1"/>
  <c r="BI14" i="1"/>
  <c r="BJ14" i="1"/>
  <c r="BI16" i="1"/>
  <c r="BJ16" i="1"/>
  <c r="BI15" i="1"/>
  <c r="BJ15" i="1"/>
  <c r="BI24" i="1"/>
  <c r="BJ24" i="1"/>
  <c r="BI22" i="1"/>
  <c r="BJ22" i="1"/>
  <c r="BI20" i="1"/>
  <c r="BJ20" i="1"/>
  <c r="BI19" i="1"/>
  <c r="BJ19" i="1"/>
  <c r="BI18" i="1"/>
  <c r="BJ18" i="1"/>
  <c r="BH4" i="1"/>
  <c r="AV22" i="1"/>
  <c r="AX22" i="1"/>
  <c r="AW22" i="1"/>
  <c r="AY22" i="1"/>
  <c r="AU22" i="1"/>
  <c r="AW20" i="1"/>
  <c r="AY20" i="1"/>
  <c r="AU20" i="1"/>
  <c r="AV20" i="1"/>
  <c r="AX20" i="1"/>
  <c r="AY19" i="1"/>
  <c r="AU19" i="1"/>
  <c r="AV19" i="1"/>
  <c r="AW19" i="1"/>
  <c r="AX19" i="1"/>
  <c r="AV18" i="1"/>
  <c r="AY18" i="1"/>
  <c r="AU18" i="1"/>
  <c r="AW18" i="1"/>
  <c r="AX18" i="1"/>
  <c r="AU14" i="1"/>
  <c r="AV14" i="1"/>
  <c r="AW14" i="1"/>
  <c r="AX14" i="1"/>
  <c r="AY14" i="1"/>
  <c r="AU16" i="1"/>
  <c r="AV16" i="1"/>
  <c r="AX16" i="1"/>
  <c r="AW16" i="1"/>
  <c r="AY16" i="1"/>
  <c r="AU15" i="1"/>
  <c r="AW15" i="1"/>
  <c r="AX15" i="1"/>
  <c r="AV15" i="1"/>
  <c r="AY15" i="1"/>
  <c r="AX24" i="1"/>
  <c r="AV24" i="1"/>
  <c r="AY24" i="1"/>
  <c r="AW24" i="1"/>
  <c r="AU24" i="1"/>
  <c r="BA9" i="1" l="1"/>
  <c r="BB9" i="1"/>
  <c r="BC9" i="1"/>
  <c r="BD9" i="1"/>
  <c r="AZ9" i="1"/>
  <c r="AZ11" i="1"/>
  <c r="BA11" i="1"/>
  <c r="BB11" i="1"/>
  <c r="BC11" i="1"/>
  <c r="BD11" i="1"/>
  <c r="BB12" i="1"/>
  <c r="BC12" i="1"/>
  <c r="BD12" i="1"/>
  <c r="AZ12" i="1"/>
  <c r="BA12" i="1"/>
  <c r="AZ13" i="1"/>
  <c r="BA13" i="1"/>
  <c r="BB13" i="1"/>
  <c r="BC13" i="1"/>
  <c r="BD13" i="1"/>
  <c r="BH24" i="1"/>
  <c r="BI6" i="1"/>
  <c r="BJ6" i="1"/>
  <c r="BH19" i="1"/>
  <c r="BI5" i="1"/>
  <c r="BJ5" i="1"/>
  <c r="BH16" i="1"/>
  <c r="BI8" i="1"/>
  <c r="BJ8" i="1"/>
  <c r="BH18" i="1"/>
  <c r="BI9" i="1"/>
  <c r="BJ9" i="1"/>
  <c r="BI11" i="1"/>
  <c r="BJ11" i="1"/>
  <c r="BH22" i="1"/>
  <c r="BI10" i="1"/>
  <c r="BJ10" i="1"/>
  <c r="BH20" i="1"/>
  <c r="BH15" i="1"/>
  <c r="BH14" i="1"/>
  <c r="BI12" i="1"/>
  <c r="BJ12" i="1"/>
  <c r="BI13" i="1"/>
  <c r="BJ13" i="1"/>
  <c r="AU6" i="1"/>
  <c r="AV6" i="1"/>
  <c r="AW6" i="1"/>
  <c r="AX6" i="1"/>
  <c r="AY6" i="1"/>
  <c r="AW5" i="1"/>
  <c r="AU5" i="1"/>
  <c r="AX5" i="1"/>
  <c r="AY5" i="1"/>
  <c r="AV5" i="1"/>
  <c r="AV8" i="1"/>
  <c r="AX8" i="1"/>
  <c r="AU8" i="1"/>
  <c r="AW8" i="1"/>
  <c r="AY8" i="1"/>
  <c r="AU9" i="1"/>
  <c r="AW9" i="1"/>
  <c r="AV9" i="1"/>
  <c r="AX9" i="1"/>
  <c r="AY9" i="1"/>
  <c r="AV11" i="1"/>
  <c r="AX11" i="1"/>
  <c r="AU11" i="1"/>
  <c r="AW11" i="1"/>
  <c r="AY11" i="1"/>
  <c r="AV10" i="1"/>
  <c r="AX10" i="1"/>
  <c r="AY10" i="1"/>
  <c r="AW10" i="1"/>
  <c r="AU10" i="1"/>
  <c r="AX12" i="1"/>
  <c r="AU12" i="1"/>
  <c r="AV12" i="1"/>
  <c r="AY12" i="1"/>
  <c r="AW12" i="1"/>
  <c r="AU13" i="1"/>
  <c r="AW13" i="1"/>
  <c r="AY13" i="1"/>
  <c r="AV13" i="1"/>
  <c r="AX13" i="1"/>
  <c r="BH11" i="1" l="1"/>
  <c r="BH8" i="1"/>
  <c r="BH5" i="1"/>
  <c r="BH6" i="1"/>
  <c r="BH10" i="1"/>
  <c r="BH13" i="1"/>
  <c r="BH12" i="1"/>
  <c r="BH9" i="1"/>
</calcChain>
</file>

<file path=xl/sharedStrings.xml><?xml version="1.0" encoding="utf-8"?>
<sst xmlns="http://schemas.openxmlformats.org/spreadsheetml/2006/main" count="247" uniqueCount="150">
  <si>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</si>
  <si>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</si>
  <si>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</si>
  <si>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</si>
  <si>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</si>
  <si>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</si>
  <si>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</si>
  <si>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</si>
  <si>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</si>
  <si>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</si>
  <si>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</si>
  <si>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</si>
  <si>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</si>
  <si>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</si>
  <si>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</si>
  <si>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</si>
  <si>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</si>
  <si>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</si>
  <si>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</si>
  <si>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</si>
  <si>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</si>
  <si>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</si>
  <si>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</si>
  <si>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</si>
  <si>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</si>
  <si>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</si>
  <si>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</si>
  <si>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</si>
  <si>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</si>
  <si>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</si>
  <si>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</si>
  <si>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</si>
  <si>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</si>
  <si>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</si>
  <si>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</si>
  <si>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</si>
  <si>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</si>
  <si>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</si>
  <si>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</si>
  <si>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Requirement Rate</t>
  </si>
  <si>
    <t>Design Rate</t>
  </si>
  <si>
    <t>Code Rate</t>
  </si>
  <si>
    <t>Testing Rate</t>
  </si>
  <si>
    <t>Req_Rate</t>
  </si>
  <si>
    <t>Des_Rate</t>
  </si>
  <si>
    <t>Code_Rate</t>
  </si>
  <si>
    <t>Test_Rate</t>
  </si>
  <si>
    <t>Cycle Time</t>
  </si>
  <si>
    <t>Req_CT</t>
  </si>
  <si>
    <t>Des_CT</t>
  </si>
  <si>
    <t>Code_CT</t>
  </si>
  <si>
    <t>Test_CT</t>
  </si>
  <si>
    <t>Public Health Engineering Department</t>
  </si>
  <si>
    <t>Jal Rekha</t>
  </si>
  <si>
    <t>Admin</t>
  </si>
  <si>
    <t>Yes</t>
  </si>
  <si>
    <t>GM PIU User</t>
  </si>
  <si>
    <t>1) The PIU GM maps villages and bulk meters related to the OHT in the master and adds the WTP, Intake meter.                                                         2) Assign Bulk Meter to the FE under a scheme                                                            3) Assign OHT component meter-reading tasks to Field Engineers under a scheme.                                                       4) Assign WTP   Components meter-reading tasks to Field Engineers under a scheme.                                                            5) Verify field data reading for each component per day.                                     6) Check and Edit the reading  entries. 7) Approve readings with comments.  8) Development of  Water Supply Reports                                          a) DWSR Report  b) MWSR Report  c) Scheme wise report  d) village wise report  e) Bulk user reports  f) UFW Report.                                                       9) OHT Component delete option given PIU GM ID</t>
  </si>
  <si>
    <t>15/4/2025</t>
  </si>
  <si>
    <t>Change request</t>
  </si>
  <si>
    <t>1) Report Format change and Drill down functionality.                                 2) Change Reading entries - Options provided to GM also after TL &amp; FE.               3) Intake WTP OHT  Range functionality for mobile development</t>
  </si>
  <si>
    <t>TL</t>
  </si>
  <si>
    <t xml:space="preserve">1) The entries are edited by TL if entry are filled wrong by FE .                           2) The entries filled by the FE are verified and approved by the TL, and then forwarded to the GM                    3) View Water Supply Reports                                          a) DWSR Report  b) MWSR Report  c) Scheme wise report  d) village wise report  e) Bulk user reports  f) UFW Report                                                                       </t>
  </si>
  <si>
    <t>1) Change Reading entries - All options provided to TL also after FE</t>
  </si>
  <si>
    <t>FE / Mobile User</t>
  </si>
  <si>
    <t xml:space="preserve">1)  Check on 4 parameters of meter - Meter functional, Meter not functional, Meter replace, No water supply)                                                         2) Mobile Dev -Capture meter readings (  with numeric value, date, and remarks (Reading entry with validations, offline cache, and data persistence) &amp; capture and upload photos of the meter ( Verify File/photo capture, compression, and upload workflow)                                    3) If Network not available - Save readings offline and sync later (Offline-first design, local storage, and sync logic)                                                                       </t>
  </si>
  <si>
    <t>Contractor Report View</t>
  </si>
  <si>
    <t>View Water Supply Reports                                               a) DWSR Report  b) MWSR Report  c) Scheme wise report  d) village wise report  e) Bulk user reports  f) UFW Report</t>
  </si>
  <si>
    <t>Master</t>
  </si>
  <si>
    <t>GM</t>
  </si>
  <si>
    <t>All Web Reports</t>
  </si>
  <si>
    <t>1) Reports a) CWGM, b) CWPM   c) RWPM  d) Distribution Pipe                   2) Scheme Covered Villages Report</t>
  </si>
  <si>
    <t>28/3/2025</t>
  </si>
  <si>
    <t>Contractor</t>
  </si>
  <si>
    <t>1) Pipe line master details  - shown in anusharan module generate request for RFI  to contractor (on Mobile)         2) Contractor upload pipeline master component data as per the defiined schema.                                                    3) The GM approves or edits the pipeline master data.</t>
  </si>
  <si>
    <t>FE Mobile</t>
  </si>
  <si>
    <t>1) Add OHT name in anusharan module generate request for RFI  to contractor (on Mobile)</t>
  </si>
  <si>
    <t>1) Modify the schema                             2) Mobile app anusharan module changes inside Master</t>
  </si>
  <si>
    <t>Nirmal</t>
  </si>
  <si>
    <t>Contractor Login</t>
  </si>
  <si>
    <t>1) Contractor login - Check Samples collected from field                                 2) Contractor login - After Performing Lab test, update it on portal                 3) Contractor login - Submit the report on portal</t>
  </si>
  <si>
    <t>30/4/2025</t>
  </si>
  <si>
    <t>GM Login -  Shall be able to check the reports - &amp; Defects</t>
  </si>
  <si>
    <t>1) Report parameter changes               2) Mobile app functionality of OHT Intake WTP chnages                                3) Nirmal &amp; Dhara contractor functionality and User management</t>
  </si>
  <si>
    <t>Sahbhagita</t>
  </si>
  <si>
    <t xml:space="preserve">1) GM map ISA Project Managers (PMs) to Schemes   </t>
  </si>
  <si>
    <t>PM</t>
  </si>
  <si>
    <t>2) Sahbhagita report view</t>
  </si>
  <si>
    <t>FE</t>
  </si>
  <si>
    <t>3)  Fill the Sahbhagita activity &amp; upload the data activity &amp; changes updated</t>
  </si>
  <si>
    <t>Sopan</t>
  </si>
  <si>
    <t>1) OHT Work  plan start, plan end date against each stage and Submit                   2) Intake work plan start, plan end date against each stage and Submit     3) WTP work plan start, plan end date against each stage and Submit             4) IPS work plan start, plan end date against each stage and Submit</t>
  </si>
  <si>
    <t xml:space="preserve">1)  Check all Scheme &amp; component details, Freeze Actual plan date &amp; Fill actual work start and end date OHT      2)  Check all Scheme &amp; component details, Freeze Actual plan date &amp; Fill actual work start and end date WTP  3)  Check all Scheme &amp; component details, Freeze Actual plan date &amp; Fill actual work start and end date Intake  4) Check all Scheme &amp; component details, Freeze Actual plan date &amp; Fill actual work start and end date IPS      </t>
  </si>
  <si>
    <t xml:space="preserve">Sopan Document Upload &amp; Chat </t>
  </si>
  <si>
    <t>1) Upload Panchnama and other supporting documents &amp; Submit          2) Chat functionality with Contractor</t>
  </si>
  <si>
    <t xml:space="preserve">All Web User </t>
  </si>
  <si>
    <t xml:space="preserve">1) OHT - Mapping, Monitoring, &amp; Report                                                          2) WTP - Mapping, Monitoring, &amp; Report                                                                3) Intake - Mapping, Monitoring, &amp; Report                                                        </t>
  </si>
  <si>
    <t>Regression Equation</t>
  </si>
  <si>
    <t>=</t>
  </si>
  <si>
    <t xml:space="preserve">AS-IS </t>
  </si>
  <si>
    <t xml:space="preserve">Productivity </t>
  </si>
  <si>
    <t xml:space="preserve">Coding Rate </t>
  </si>
  <si>
    <t xml:space="preserve">Testing Rate </t>
  </si>
  <si>
    <t xml:space="preserve">Mean </t>
  </si>
  <si>
    <t xml:space="preserve">SD </t>
  </si>
  <si>
    <t xml:space="preserve">UCL </t>
  </si>
  <si>
    <t xml:space="preserve">LCL </t>
  </si>
  <si>
    <t>Target</t>
  </si>
  <si>
    <t xml:space="preserve">What if </t>
  </si>
  <si>
    <t xml:space="preserve">USL </t>
  </si>
  <si>
    <t>LSL</t>
  </si>
  <si>
    <t>Cycle time</t>
  </si>
  <si>
    <t xml:space="preserve">Internal Defects </t>
  </si>
  <si>
    <t>External Defects</t>
  </si>
  <si>
    <t>1) Scheme village master data (Link Scheme, PIU, GP, Village)   Bulk Meter village  &amp; O&amp;M of village Mapped            2) Edit or deactivate Master records of villages                                                     
3) OHT village master - a) associate village mapping of the scheme  b) Component data goes to Dhara for assignment to the FE                                 4) WTP Meter mapping</t>
  </si>
  <si>
    <t xml:space="preserve">set for cycle 3 </t>
  </si>
  <si>
    <t>Total Review Defects</t>
  </si>
  <si>
    <t>DRE-1</t>
  </si>
  <si>
    <t>1) Register Meter under a Scheme. 
2) Form design validation with scheme/asset linking.                             
 3) Bulk data Upload of Meter Excel parsing.                                                         4) Validation rules, and multiple meter entry creation.                                        
5) View Water Supply Reports                                          a) DWSR Report  b) MWSR Report  c) Scheme wise report  d) village wise report  e) Bulk user reports  f) UFW Report</t>
  </si>
  <si>
    <t>15/2/2025</t>
  </si>
  <si>
    <t>18/02/2025</t>
  </si>
  <si>
    <t>30/5/2025</t>
  </si>
  <si>
    <t>20/3/2025</t>
  </si>
  <si>
    <t>25/3/2025</t>
  </si>
  <si>
    <t>15/3/2025</t>
  </si>
  <si>
    <t>30/3/2025</t>
  </si>
  <si>
    <t>14/4/2025</t>
  </si>
  <si>
    <t>18/4/2025</t>
  </si>
  <si>
    <t>28/4/2025</t>
  </si>
  <si>
    <t>28/2/2025</t>
  </si>
  <si>
    <t>25/04/2025</t>
  </si>
  <si>
    <t>24/4/2025</t>
  </si>
  <si>
    <t>13/5/2025</t>
  </si>
  <si>
    <t>24/6/2025</t>
  </si>
  <si>
    <t>17/6/2025</t>
  </si>
  <si>
    <t>22/6/2025</t>
  </si>
  <si>
    <t>15/6/2025</t>
  </si>
  <si>
    <t>30/6/2025</t>
  </si>
  <si>
    <t>14/5/2025</t>
  </si>
  <si>
    <t>20/5/2025</t>
  </si>
  <si>
    <t>28/5/2025</t>
  </si>
  <si>
    <t>16/6/2025</t>
  </si>
  <si>
    <t>0.0821 + 0.1296 Code_Rate + 0.01913 Test_Rate</t>
  </si>
  <si>
    <t>0.129 + 1.312 Code_CT + 1.500 Test_CT</t>
  </si>
  <si>
    <t xml:space="preserve">Code Review Per Size </t>
  </si>
  <si>
    <t>0.6247 + 0.775 Code Review Per Size</t>
  </si>
  <si>
    <t>Code Review Per Size</t>
  </si>
  <si>
    <t>Dhara</t>
  </si>
  <si>
    <t>x`</t>
  </si>
  <si>
    <t>1) FE Login - Geofence components for app - API                                                    
2) FE login - Collect Water Samples from components                                    
3) FE login - Submit sample and send it to contractor offline                               
4) FE collect the sample of Intake, WTP, OHT and Benificary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</si>
</sst>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dd&quot;-&quot;mm&quot;-&quot;yyyy"/>
  </numFmts>
  <fonts count="7" x14ac:knownFonts="1">
    <font>
      <sz val="11"/>
      <color theme="1"/>
      <name val="Calibri"/>
      <family val="2"/>
      <scheme val="minor"/>
    </font>
    <font>
      <b/>
      <sz val="12"/>
      <name val="Calibri"/>
      <family val="2"/>
    </font>
    <font>
      <b/>
      <sz val="12"/>
      <color theme="1"/>
      <name val="Calibri"/>
      <family val="2"/>
    </font>
    <font>
      <sz val="11"/>
      <color rgb="FFFF0000"/>
      <name val="Calibri"/>
      <family val="2"/>
      <scheme val="minor"/>
    </font>
    <font>
      <sz val="11"/>
      <color theme="1"/>
      <name val="Calibri"/>
      <family val="2"/>
      <scheme val="minor"/>
    </font>
    <font>
      <b/>
      <sz val="11"/>
      <color theme="1"/>
      <name val="Calibri"/>
      <family val="2"/>
      <scheme val="minor"/>
    </font>
    <font>
      <sz val="11"/>
      <color theme="1"/>
      <name val="Calibri"/>
      <family val="2"/>
    </font>
  </fonts>
  <fills count="12">
    <fill>
      <patternFill patternType="none"/>
    </fill>
    <fill>
      <patternFill patternType="gray125"/>
    </fill>
    <fill>
      <patternFill patternType="solid">
        <fgColor rgb="FFC1D7D7"/>
      </patternFill>
    </fill>
    <fill>
      <patternFill patternType="solid">
        <fgColor theme="9"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3">
    <xf numFmtId="0" fontId="0" fillId="0" borderId="0"/>
    <xf numFmtId="0" fontId="4" fillId="0" borderId="0"/>
    <xf numFmtId="9" fontId="4" fillId="0" borderId="0" applyFont="0" applyFill="0" applyBorder="0" applyAlignment="0" applyProtection="0"/>
  </cellStyleXfs>
  <cellXfs count="113">
    <xf numFmtId="0" fontId="0" fillId="0" borderId="0" xfId="0"/>
    <xf numFmtId="0" fontId="0" fillId="0" borderId="1" xfId="0" applyBorder="1" applyAlignment="1">
      <alignment horizontal="left"/>
    </xf>
    <xf numFmtId="0" fontId="1" fillId="2" borderId="1" xfId="0" applyFont="1" applyFill="1" applyBorder="1" applyAlignment="1">
      <alignment horizontal="left" wrapText="1"/>
    </xf>
    <xf numFmtId="0" fontId="1" fillId="2" borderId="0" xfId="0" applyFont="1" applyFill="1" applyAlignment="1">
      <alignment wrapText="1"/>
    </xf>
    <xf numFmtId="0" fontId="0" fillId="0" borderId="1" xfId="0" applyBorder="1"/>
    <xf numFmtId="0" fontId="1" fillId="3" borderId="1" xfId="0" applyFont="1" applyFill="1" applyBorder="1" applyAlignment="1">
      <alignment wrapText="1"/>
    </xf>
    <xf numFmtId="0" fontId="1" fillId="4" borderId="1" xfId="0" applyFont="1" applyFill="1" applyBorder="1" applyAlignment="1">
      <alignment horizontal="left" wrapText="1"/>
    </xf>
    <xf numFmtId="0" fontId="1" fillId="5" borderId="1" xfId="0" applyFont="1" applyFill="1" applyBorder="1" applyAlignment="1">
      <alignment horizontal="left" wrapText="1"/>
    </xf>
    <xf numFmtId="0" fontId="0" fillId="5" borderId="2"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1" fillId="2" borderId="5" xfId="0" applyFont="1" applyFill="1" applyBorder="1" applyAlignment="1">
      <alignment horizontal="left" wrapText="1"/>
    </xf>
    <xf numFmtId="0" fontId="0" fillId="0" borderId="5" xfId="0" applyBorder="1" applyAlignment="1">
      <alignment vertical="center" wrapText="1"/>
    </xf>
    <xf numFmtId="0" fontId="0" fillId="0" borderId="5" xfId="0" applyBorder="1" applyAlignment="1">
      <alignment wrapText="1"/>
    </xf>
    <xf numFmtId="0" fontId="2" fillId="2" borderId="6" xfId="0" applyFont="1" applyFill="1" applyBorder="1" applyAlignment="1">
      <alignment horizontal="center" vertical="center" wrapText="1"/>
    </xf>
    <xf numFmtId="0" fontId="0" fillId="0" borderId="6"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14" fontId="0" fillId="5" borderId="2" xfId="0" applyNumberFormat="1" applyFill="1"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xf>
    <xf numFmtId="14" fontId="0" fillId="5" borderId="1" xfId="0" applyNumberFormat="1" applyFill="1" applyBorder="1" applyAlignment="1">
      <alignment horizontal="center" vertical="center"/>
    </xf>
    <xf numFmtId="0" fontId="0" fillId="0" borderId="5" xfId="0" applyBorder="1" applyAlignment="1">
      <alignment horizontal="left" vertical="center" wrapText="1"/>
    </xf>
    <xf numFmtId="0" fontId="0" fillId="6" borderId="1" xfId="0" applyFill="1" applyBorder="1" applyAlignment="1">
      <alignment horizontal="center" vertical="center"/>
    </xf>
    <xf numFmtId="0" fontId="0" fillId="0" borderId="5" xfId="0" applyBorder="1" applyAlignment="1">
      <alignment vertical="top" wrapText="1"/>
    </xf>
    <xf numFmtId="0" fontId="0" fillId="5" borderId="1" xfId="0" applyFill="1" applyBorder="1" applyAlignment="1">
      <alignment vertical="center"/>
    </xf>
    <xf numFmtId="0" fontId="3" fillId="5" borderId="3" xfId="0" applyFont="1" applyFill="1" applyBorder="1" applyAlignment="1">
      <alignment horizontal="center" vertical="center" wrapText="1"/>
    </xf>
    <xf numFmtId="0" fontId="3" fillId="5" borderId="4" xfId="0" applyFont="1" applyFill="1" applyBorder="1" applyAlignment="1">
      <alignment vertical="center" wrapText="1"/>
    </xf>
    <xf numFmtId="0" fontId="3" fillId="5" borderId="3" xfId="0" applyFont="1" applyFill="1" applyBorder="1" applyAlignment="1">
      <alignment vertical="center" wrapText="1"/>
    </xf>
    <xf numFmtId="0" fontId="0" fillId="0" borderId="8" xfId="0" applyBorder="1" applyAlignment="1">
      <alignment vertical="center" wrapText="1"/>
    </xf>
    <xf numFmtId="0" fontId="0" fillId="0" borderId="4" xfId="0" applyBorder="1"/>
    <xf numFmtId="0" fontId="0" fillId="0" borderId="1" xfId="0" applyBorder="1" applyAlignment="1">
      <alignment vertical="center" wrapText="1"/>
    </xf>
    <xf numFmtId="0" fontId="0" fillId="4" borderId="7" xfId="0" applyFill="1" applyBorder="1" applyAlignment="1">
      <alignment horizontal="center" vertical="center"/>
    </xf>
    <xf numFmtId="0" fontId="1" fillId="7" borderId="1" xfId="0" applyFont="1" applyFill="1" applyBorder="1" applyAlignment="1">
      <alignment horizontal="left" wrapText="1"/>
    </xf>
    <xf numFmtId="0" fontId="1" fillId="8" borderId="1" xfId="0" applyFont="1" applyFill="1" applyBorder="1" applyAlignment="1">
      <alignment horizontal="left" wrapText="1"/>
    </xf>
    <xf numFmtId="0" fontId="5" fillId="0" borderId="0" xfId="0" applyFont="1"/>
    <xf numFmtId="14" fontId="0" fillId="0" borderId="0" xfId="0" applyNumberFormat="1"/>
    <xf numFmtId="0" fontId="1" fillId="2" borderId="1" xfId="0" applyFont="1" applyFill="1" applyBorder="1" applyAlignment="1">
      <alignment wrapText="1"/>
    </xf>
    <xf numFmtId="0" fontId="5" fillId="0" borderId="1" xfId="0" applyFont="1" applyBorder="1" applyAlignment="1">
      <alignment vertical="top"/>
    </xf>
    <xf numFmtId="0" fontId="0" fillId="0" borderId="1" xfId="0" applyBorder="1" applyAlignment="1">
      <alignment vertical="top"/>
    </xf>
    <xf numFmtId="164" fontId="0" fillId="0" borderId="1" xfId="0" applyNumberFormat="1" applyBorder="1" applyAlignment="1">
      <alignment vertical="top"/>
    </xf>
    <xf numFmtId="0" fontId="0" fillId="0" borderId="0" xfId="0" applyAlignment="1">
      <alignment vertical="top"/>
    </xf>
    <xf numFmtId="0" fontId="5" fillId="0" borderId="1" xfId="0" applyFont="1" applyBorder="1"/>
    <xf numFmtId="0" fontId="4" fillId="0" borderId="1" xfId="0" applyFont="1" applyBorder="1"/>
    <xf numFmtId="0" fontId="0" fillId="9" borderId="1" xfId="0" applyFill="1" applyBorder="1" applyAlignment="1">
      <alignment vertical="top"/>
    </xf>
    <xf numFmtId="0" fontId="0" fillId="4" borderId="1" xfId="0" applyFill="1" applyBorder="1" applyAlignment="1">
      <alignment vertical="top"/>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1" xfId="0" applyFill="1" applyBorder="1" applyAlignment="1">
      <alignment horizontal="center" vertical="center" wrapText="1"/>
    </xf>
    <xf numFmtId="0" fontId="1" fillId="4" borderId="1" xfId="0" applyFont="1" applyFill="1" applyBorder="1" applyAlignment="1">
      <alignment wrapText="1"/>
    </xf>
    <xf numFmtId="0" fontId="0" fillId="11" borderId="1" xfId="0" applyFill="1" applyBorder="1" applyAlignment="1">
      <alignment horizontal="left"/>
    </xf>
    <xf numFmtId="0" fontId="0" fillId="11" borderId="1" xfId="0" applyFill="1" applyBorder="1" applyAlignment="1">
      <alignment horizontal="center" vertical="center"/>
    </xf>
    <xf numFmtId="0" fontId="0" fillId="11" borderId="5" xfId="0" applyFill="1" applyBorder="1" applyAlignment="1">
      <alignment wrapText="1"/>
    </xf>
    <xf numFmtId="0" fontId="0" fillId="11" borderId="0" xfId="0" applyFill="1"/>
    <xf numFmtId="0" fontId="0" fillId="11" borderId="5" xfId="0" applyFill="1" applyBorder="1" applyAlignment="1">
      <alignment horizontal="left" vertical="center" wrapText="1"/>
    </xf>
    <xf numFmtId="0" fontId="0" fillId="11" borderId="2" xfId="0" applyFill="1" applyBorder="1" applyAlignment="1">
      <alignment horizontal="center" vertical="center"/>
    </xf>
    <xf numFmtId="0" fontId="0" fillId="11" borderId="5" xfId="0" applyFill="1" applyBorder="1" applyAlignment="1">
      <alignment vertical="center" wrapText="1"/>
    </xf>
    <xf numFmtId="0" fontId="0" fillId="6" borderId="0" xfId="0" applyFill="1"/>
    <xf numFmtId="0" fontId="1" fillId="6" borderId="0" xfId="0" applyFont="1" applyFill="1" applyAlignment="1">
      <alignment wrapText="1"/>
    </xf>
    <xf numFmtId="2" fontId="5" fillId="0" borderId="0" xfId="0" applyNumberFormat="1" applyFont="1"/>
    <xf numFmtId="2" fontId="0" fillId="0" borderId="0" xfId="0" applyNumberFormat="1"/>
    <xf numFmtId="2" fontId="4" fillId="0" borderId="0" xfId="0" applyNumberFormat="1" applyFont="1"/>
    <xf numFmtId="0" fontId="5" fillId="0" borderId="1" xfId="1" applyFont="1" applyBorder="1" applyAlignment="1">
      <alignment vertical="top"/>
    </xf>
    <xf numFmtId="2" fontId="5" fillId="0" borderId="1" xfId="0" applyNumberFormat="1" applyFont="1" applyBorder="1"/>
    <xf numFmtId="0" fontId="4" fillId="0" borderId="1" xfId="1" applyBorder="1" applyAlignment="1">
      <alignment vertical="top"/>
    </xf>
    <xf numFmtId="164" fontId="4" fillId="0" borderId="1" xfId="1" applyNumberFormat="1" applyBorder="1" applyAlignment="1">
      <alignment horizontal="center" vertical="top"/>
    </xf>
    <xf numFmtId="0" fontId="4" fillId="0" borderId="0" xfId="1"/>
    <xf numFmtId="2" fontId="4" fillId="0" borderId="0" xfId="2" applyNumberFormat="1" applyFont="1"/>
    <xf numFmtId="2" fontId="4" fillId="0" borderId="1" xfId="1" applyNumberFormat="1" applyBorder="1" applyAlignment="1">
      <alignment horizontal="center" vertical="top"/>
    </xf>
    <xf numFmtId="0" fontId="4" fillId="0" borderId="0" xfId="0" applyFont="1"/>
    <xf numFmtId="14" fontId="0" fillId="0" borderId="2" xfId="0" applyNumberFormat="1" applyBorder="1" applyAlignment="1">
      <alignment horizontal="center" vertical="center"/>
    </xf>
    <xf numFmtId="0" fontId="0" fillId="0" borderId="1" xfId="0" applyBorder="1" applyAlignment="1">
      <alignment horizontal="center" vertical="center"/>
    </xf>
    <xf numFmtId="0" fontId="0" fillId="5" borderId="2" xfId="0" applyFill="1" applyBorder="1" applyAlignment="1">
      <alignment horizontal="center" vertical="center" wrapText="1"/>
    </xf>
    <xf numFmtId="14" fontId="0" fillId="0" borderId="3" xfId="0" applyNumberFormat="1" applyBorder="1" applyAlignment="1">
      <alignment horizontal="center" vertical="center"/>
    </xf>
    <xf numFmtId="14" fontId="0" fillId="11"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1" fillId="5" borderId="1" xfId="0" applyFont="1" applyFill="1" applyBorder="1" applyAlignment="1">
      <alignment horizontal="center" wrapText="1"/>
    </xf>
    <xf numFmtId="165" fontId="6" fillId="0" borderId="9" xfId="0" applyNumberFormat="1" applyFont="1" applyBorder="1" applyAlignment="1">
      <alignment horizontal="center" vertical="center"/>
    </xf>
    <xf numFmtId="0" fontId="0" fillId="0" borderId="0" xfId="0" applyAlignment="1">
      <alignment horizontal="center"/>
    </xf>
    <xf numFmtId="0" fontId="0" fillId="0" borderId="0" xfId="0" applyAlignment="1">
      <alignment vertical="center"/>
    </xf>
    <xf numFmtId="0" fontId="0" fillId="6" borderId="0" xfId="0" applyFill="1" applyAlignment="1">
      <alignment vertical="center"/>
    </xf>
    <xf numFmtId="0" fontId="4" fillId="9" borderId="1" xfId="1" applyFill="1" applyBorder="1" applyAlignment="1">
      <alignment vertical="top"/>
    </xf>
    <xf numFmtId="0" fontId="0" fillId="9" borderId="1" xfId="0" applyFill="1" applyBorder="1" applyAlignment="1">
      <alignment horizontal="center"/>
    </xf>
    <xf numFmtId="2" fontId="4" fillId="9" borderId="1" xfId="1" applyNumberFormat="1" applyFill="1" applyBorder="1" applyAlignment="1">
      <alignment horizontal="center" vertical="top"/>
    </xf>
    <xf numFmtId="0" fontId="0" fillId="9" borderId="1" xfId="0" applyFill="1" applyBorder="1"/>
    <xf numFmtId="164" fontId="5" fillId="0" borderId="1" xfId="0" applyNumberFormat="1" applyFont="1" applyBorder="1" applyAlignment="1">
      <alignment horizontal="left" vertical="top"/>
    </xf>
    <xf numFmtId="164" fontId="0" fillId="0" borderId="1" xfId="0" applyNumberFormat="1" applyBorder="1" applyAlignment="1">
      <alignment horizontal="left" vertical="top"/>
    </xf>
    <xf numFmtId="0" fontId="0" fillId="9" borderId="0" xfId="0" applyFill="1"/>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11" borderId="0" xfId="0" applyFill="1" applyAlignment="1">
      <alignment horizontal="center" vertical="center"/>
    </xf>
    <xf numFmtId="0" fontId="0" fillId="10" borderId="1" xfId="0" applyFill="1" applyBorder="1" applyAlignment="1">
      <alignment horizontal="center" vertical="center"/>
    </xf>
    <xf numFmtId="0" fontId="0" fillId="0" borderId="1" xfId="0" applyNumberFormat="1" applyBorder="1" applyAlignment="1">
      <alignment horizontal="center" vertical="center"/>
    </xf>
    <xf numFmtId="164" fontId="0" fillId="6" borderId="1" xfId="0" applyNumberFormat="1" applyFill="1" applyBorder="1" applyAlignment="1">
      <alignment horizontal="center" vertical="center"/>
    </xf>
    <xf numFmtId="164" fontId="0" fillId="0" borderId="1" xfId="0" applyNumberFormat="1" applyBorder="1"/>
    <xf numFmtId="164" fontId="0" fillId="0" borderId="0" xfId="0" applyNumberFormat="1"/>
    <xf numFmtId="2" fontId="5" fillId="4" borderId="0" xfId="0" applyNumberFormat="1" applyFont="1" applyFill="1"/>
    <xf numFmtId="0" fontId="0" fillId="0" borderId="10" xfId="0" applyFill="1" applyBorder="1" applyAlignment="1">
      <alignment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cellXfs>
  <cellStyles count="3">
    <cellStyle name="Normal" xfId="0" builtinId="0"/>
    <cellStyle name="Normal 3"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32</xdr:row>
      <xdr:rowOff>76200</xdr:rowOff>
    </xdr:from>
    <xdr:to>
      <xdr:col>10</xdr:col>
      <xdr:colOff>477203</xdr:colOff>
      <xdr:row>83</xdr:row>
      <xdr:rowOff>0</xdr:rowOff>
    </xdr:to>
    <xdr:pic>
      <xdr:nvPicPr>
        <xdr:cNvPr id="7" name="Picture 6">
          <a:extLst>
            <a:ext uri="{FF2B5EF4-FFF2-40B4-BE49-F238E27FC236}">
              <a16:creationId xmlns="" xmlns:a16="http://schemas.microsoft.com/office/drawing/2014/main" id="{34928A8E-C6EA-CA2D-4F09-51D6D878A825}"/>
            </a:ext>
          </a:extLst>
        </xdr:cNvPr>
        <xdr:cNvPicPr>
          <a:picLocks noChangeAspect="1"/>
        </xdr:cNvPicPr>
      </xdr:nvPicPr>
      <xdr:blipFill>
        <a:blip xmlns:r="http://schemas.openxmlformats.org/officeDocument/2006/relationships" r:embed="rId1"/>
        <a:stretch>
          <a:fillRect/>
        </a:stretch>
      </xdr:blipFill>
      <xdr:spPr>
        <a:xfrm>
          <a:off x="15240" y="5969000"/>
          <a:ext cx="7143750" cy="9315450"/>
        </a:xfrm>
        <a:prstGeom prst="rect">
          <a:avLst/>
        </a:prstGeom>
      </xdr:spPr>
    </xdr:pic>
    <xdr:clientData/>
  </xdr:twoCellAnchor>
  <xdr:twoCellAnchor editAs="oneCell">
    <xdr:from>
      <xdr:col>0</xdr:col>
      <xdr:colOff>15241</xdr:colOff>
      <xdr:row>32</xdr:row>
      <xdr:rowOff>158750</xdr:rowOff>
    </xdr:from>
    <xdr:to>
      <xdr:col>11</xdr:col>
      <xdr:colOff>404812</xdr:colOff>
      <xdr:row>97</xdr:row>
      <xdr:rowOff>157162</xdr:rowOff>
    </xdr:to>
    <xdr:pic>
      <xdr:nvPicPr>
        <xdr:cNvPr id="8" name="Picture 7"/>
        <xdr:cNvPicPr>
          <a:picLocks noChangeAspect="1"/>
        </xdr:cNvPicPr>
      </xdr:nvPicPr>
      <xdr:blipFill>
        <a:blip xmlns:r="http://schemas.openxmlformats.org/officeDocument/2006/relationships" r:embed="rId2"/>
        <a:stretch>
          <a:fillRect/>
        </a:stretch>
      </xdr:blipFill>
      <xdr:spPr>
        <a:xfrm>
          <a:off x="15241" y="6000750"/>
          <a:ext cx="7700009" cy="11864975"/>
        </a:xfrm>
        <a:prstGeom prst="rect">
          <a:avLst/>
        </a:prstGeom>
      </xdr:spPr>
    </xdr:pic>
    <xdr:clientData/>
  </xdr:twoCellAnchor>
  <xdr:twoCellAnchor editAs="oneCell">
    <xdr:from>
      <xdr:col>3</xdr:col>
      <xdr:colOff>577272</xdr:colOff>
      <xdr:row>0</xdr:row>
      <xdr:rowOff>80818</xdr:rowOff>
    </xdr:from>
    <xdr:to>
      <xdr:col>13</xdr:col>
      <xdr:colOff>405389</xdr:colOff>
      <xdr:row>22</xdr:row>
      <xdr:rowOff>24678</xdr:rowOff>
    </xdr:to>
    <xdr:pic>
      <xdr:nvPicPr>
        <xdr:cNvPr id="9" name="Picture 8"/>
        <xdr:cNvPicPr>
          <a:picLocks noChangeAspect="1"/>
        </xdr:cNvPicPr>
      </xdr:nvPicPr>
      <xdr:blipFill>
        <a:blip xmlns:r="http://schemas.openxmlformats.org/officeDocument/2006/relationships" r:embed="rId3"/>
        <a:stretch>
          <a:fillRect/>
        </a:stretch>
      </xdr:blipFill>
      <xdr:spPr>
        <a:xfrm>
          <a:off x="3001817" y="80818"/>
          <a:ext cx="5947208" cy="4007860"/>
        </a:xfrm>
        <a:prstGeom prst="rect">
          <a:avLst/>
        </a:prstGeom>
      </xdr:spPr>
    </xdr:pic>
    <xdr:clientData/>
  </xdr:twoCellAnchor>
  <xdr:twoCellAnchor editAs="oneCell">
    <xdr:from>
      <xdr:col>14</xdr:col>
      <xdr:colOff>68549</xdr:colOff>
      <xdr:row>0</xdr:row>
      <xdr:rowOff>142875</xdr:rowOff>
    </xdr:from>
    <xdr:to>
      <xdr:col>22</xdr:col>
      <xdr:colOff>172458</xdr:colOff>
      <xdr:row>22</xdr:row>
      <xdr:rowOff>25776</xdr:rowOff>
    </xdr:to>
    <xdr:pic>
      <xdr:nvPicPr>
        <xdr:cNvPr id="12" name="Picture 11"/>
        <xdr:cNvPicPr>
          <a:picLocks noChangeAspect="1"/>
        </xdr:cNvPicPr>
      </xdr:nvPicPr>
      <xdr:blipFill>
        <a:blip xmlns:r="http://schemas.openxmlformats.org/officeDocument/2006/relationships" r:embed="rId4"/>
        <a:stretch>
          <a:fillRect/>
        </a:stretch>
      </xdr:blipFill>
      <xdr:spPr>
        <a:xfrm>
          <a:off x="9224094" y="142875"/>
          <a:ext cx="5957455" cy="3946901"/>
        </a:xfrm>
        <a:prstGeom prst="rect">
          <a:avLst/>
        </a:prstGeom>
      </xdr:spPr>
    </xdr:pic>
    <xdr:clientData/>
  </xdr:twoCellAnchor>
  <xdr:twoCellAnchor editAs="oneCell">
    <xdr:from>
      <xdr:col>23</xdr:col>
      <xdr:colOff>46182</xdr:colOff>
      <xdr:row>1</xdr:row>
      <xdr:rowOff>34636</xdr:rowOff>
    </xdr:from>
    <xdr:to>
      <xdr:col>32</xdr:col>
      <xdr:colOff>489095</xdr:colOff>
      <xdr:row>22</xdr:row>
      <xdr:rowOff>163224</xdr:rowOff>
    </xdr:to>
    <xdr:pic>
      <xdr:nvPicPr>
        <xdr:cNvPr id="13" name="Picture 12"/>
        <xdr:cNvPicPr>
          <a:picLocks noChangeAspect="1"/>
        </xdr:cNvPicPr>
      </xdr:nvPicPr>
      <xdr:blipFill>
        <a:blip xmlns:r="http://schemas.openxmlformats.org/officeDocument/2006/relationships" r:embed="rId5"/>
        <a:stretch>
          <a:fillRect/>
        </a:stretch>
      </xdr:blipFill>
      <xdr:spPr>
        <a:xfrm>
          <a:off x="15667182" y="219363"/>
          <a:ext cx="5950095" cy="4007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51</xdr:col>
      <xdr:colOff>0</xdr:colOff>
      <xdr:row>0</xdr:row>
      <xdr:rowOff>0</xdr:rowOff>
    </xdr:from>
    <xdr:to>
      <xdr:col>59</xdr:col>
      <xdr:colOff>523200</xdr:colOff>
      <xdr:row>19</xdr:row>
      <xdr:rowOff>125280</xdr:rowOff>
    </xdr:to>
    <xdr:pic>
      <xdr:nvPicPr>
        <xdr:cNvPr id="6" name="Picture 5">
          <a:extLst>
            <a:ext uri="{FF2B5EF4-FFF2-40B4-BE49-F238E27FC236}">
              <a16:creationId xmlns="" xmlns:a16="http://schemas.microsoft.com/office/drawing/2014/main" id="{76CEE111-D579-6717-8699-A4DA9A9644DE}"/>
            </a:ext>
          </a:extLst>
        </xdr:cNvPr>
        <xdr:cNvPicPr>
          <a:picLocks noChangeAspect="1"/>
        </xdr:cNvPicPr>
      </xdr:nvPicPr>
      <xdr:blipFill>
        <a:blip xmlns:r="http://schemas.openxmlformats.org/officeDocument/2006/relationships" r:embed="rId1"/>
        <a:stretch>
          <a:fillRect/>
        </a:stretch>
      </xdr:blipFill>
      <xdr:spPr>
        <a:xfrm>
          <a:off x="34213800" y="0"/>
          <a:ext cx="5400000" cy="3624130"/>
        </a:xfrm>
        <a:prstGeom prst="rect">
          <a:avLst/>
        </a:prstGeom>
      </xdr:spPr>
    </xdr:pic>
    <xdr:clientData/>
  </xdr:twoCellAnchor>
  <xdr:twoCellAnchor editAs="oneCell">
    <xdr:from>
      <xdr:col>4</xdr:col>
      <xdr:colOff>601577</xdr:colOff>
      <xdr:row>0</xdr:row>
      <xdr:rowOff>11045</xdr:rowOff>
    </xdr:from>
    <xdr:to>
      <xdr:col>11</xdr:col>
      <xdr:colOff>74371</xdr:colOff>
      <xdr:row>15</xdr:row>
      <xdr:rowOff>110436</xdr:rowOff>
    </xdr:to>
    <xdr:pic>
      <xdr:nvPicPr>
        <xdr:cNvPr id="9" name="Picture 8"/>
        <xdr:cNvPicPr>
          <a:picLocks noChangeAspect="1"/>
        </xdr:cNvPicPr>
      </xdr:nvPicPr>
      <xdr:blipFill>
        <a:blip xmlns:r="http://schemas.openxmlformats.org/officeDocument/2006/relationships" r:embed="rId2"/>
        <a:stretch>
          <a:fillRect/>
        </a:stretch>
      </xdr:blipFill>
      <xdr:spPr>
        <a:xfrm>
          <a:off x="3031142" y="11045"/>
          <a:ext cx="4238055" cy="2832652"/>
        </a:xfrm>
        <a:prstGeom prst="rect">
          <a:avLst/>
        </a:prstGeom>
      </xdr:spPr>
    </xdr:pic>
    <xdr:clientData/>
  </xdr:twoCellAnchor>
  <xdr:twoCellAnchor editAs="oneCell">
    <xdr:from>
      <xdr:col>11</xdr:col>
      <xdr:colOff>598714</xdr:colOff>
      <xdr:row>0</xdr:row>
      <xdr:rowOff>7471</xdr:rowOff>
    </xdr:from>
    <xdr:to>
      <xdr:col>19</xdr:col>
      <xdr:colOff>125559</xdr:colOff>
      <xdr:row>17</xdr:row>
      <xdr:rowOff>155673</xdr:rowOff>
    </xdr:to>
    <xdr:pic>
      <xdr:nvPicPr>
        <xdr:cNvPr id="12" name="Picture 11"/>
        <xdr:cNvPicPr>
          <a:picLocks noChangeAspect="1"/>
        </xdr:cNvPicPr>
      </xdr:nvPicPr>
      <xdr:blipFill>
        <a:blip xmlns:r="http://schemas.openxmlformats.org/officeDocument/2006/relationships" r:embed="rId3"/>
        <a:stretch>
          <a:fillRect/>
        </a:stretch>
      </xdr:blipFill>
      <xdr:spPr>
        <a:xfrm>
          <a:off x="7837714" y="7471"/>
          <a:ext cx="4883257" cy="3323202"/>
        </a:xfrm>
        <a:prstGeom prst="rect">
          <a:avLst/>
        </a:prstGeom>
      </xdr:spPr>
    </xdr:pic>
    <xdr:clientData/>
  </xdr:twoCellAnchor>
  <xdr:twoCellAnchor editAs="oneCell">
    <xdr:from>
      <xdr:col>20</xdr:col>
      <xdr:colOff>3402</xdr:colOff>
      <xdr:row>0</xdr:row>
      <xdr:rowOff>0</xdr:rowOff>
    </xdr:from>
    <xdr:to>
      <xdr:col>26</xdr:col>
      <xdr:colOff>508001</xdr:colOff>
      <xdr:row>17</xdr:row>
      <xdr:rowOff>111125</xdr:rowOff>
    </xdr:to>
    <xdr:pic>
      <xdr:nvPicPr>
        <xdr:cNvPr id="13" name="Picture 12"/>
        <xdr:cNvPicPr>
          <a:picLocks noChangeAspect="1"/>
        </xdr:cNvPicPr>
      </xdr:nvPicPr>
      <xdr:blipFill>
        <a:blip xmlns:r="http://schemas.openxmlformats.org/officeDocument/2006/relationships" r:embed="rId4"/>
        <a:stretch>
          <a:fillRect/>
        </a:stretch>
      </xdr:blipFill>
      <xdr:spPr>
        <a:xfrm>
          <a:off x="16640402" y="0"/>
          <a:ext cx="4124098" cy="3349625"/>
        </a:xfrm>
        <a:prstGeom prst="rect">
          <a:avLst/>
        </a:prstGeom>
      </xdr:spPr>
    </xdr:pic>
    <xdr:clientData/>
  </xdr:twoCellAnchor>
  <xdr:twoCellAnchor editAs="oneCell">
    <xdr:from>
      <xdr:col>0</xdr:col>
      <xdr:colOff>0</xdr:colOff>
      <xdr:row>24</xdr:row>
      <xdr:rowOff>104588</xdr:rowOff>
    </xdr:from>
    <xdr:to>
      <xdr:col>10</xdr:col>
      <xdr:colOff>493058</xdr:colOff>
      <xdr:row>73</xdr:row>
      <xdr:rowOff>67795</xdr:rowOff>
    </xdr:to>
    <xdr:pic>
      <xdr:nvPicPr>
        <xdr:cNvPr id="2" name="Picture 1"/>
        <xdr:cNvPicPr>
          <a:picLocks noChangeAspect="1"/>
        </xdr:cNvPicPr>
      </xdr:nvPicPr>
      <xdr:blipFill>
        <a:blip xmlns:r="http://schemas.openxmlformats.org/officeDocument/2006/relationships" r:embed="rId5"/>
        <a:stretch>
          <a:fillRect/>
        </a:stretch>
      </xdr:blipFill>
      <xdr:spPr>
        <a:xfrm>
          <a:off x="0" y="4586941"/>
          <a:ext cx="6940176" cy="91146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7938</xdr:rowOff>
    </xdr:from>
    <xdr:to>
      <xdr:col>16</xdr:col>
      <xdr:colOff>226377</xdr:colOff>
      <xdr:row>23</xdr:row>
      <xdr:rowOff>37148</xdr:rowOff>
    </xdr:to>
    <xdr:pic>
      <xdr:nvPicPr>
        <xdr:cNvPr id="2" name="Picture 1"/>
        <xdr:cNvPicPr>
          <a:picLocks noChangeAspect="1"/>
        </xdr:cNvPicPr>
      </xdr:nvPicPr>
      <xdr:blipFill>
        <a:blip xmlns:r="http://schemas.openxmlformats.org/officeDocument/2006/relationships" r:embed="rId1"/>
        <a:stretch>
          <a:fillRect/>
        </a:stretch>
      </xdr:blipFill>
      <xdr:spPr>
        <a:xfrm>
          <a:off x="3349625" y="7938"/>
          <a:ext cx="6949440" cy="4632960"/>
        </a:xfrm>
        <a:prstGeom prst="rect">
          <a:avLst/>
        </a:prstGeom>
      </xdr:spPr>
    </xdr:pic>
    <xdr:clientData/>
  </xdr:twoCellAnchor>
  <xdr:twoCellAnchor editAs="oneCell">
    <xdr:from>
      <xdr:col>17</xdr:col>
      <xdr:colOff>0</xdr:colOff>
      <xdr:row>0</xdr:row>
      <xdr:rowOff>0</xdr:rowOff>
    </xdr:from>
    <xdr:to>
      <xdr:col>26</xdr:col>
      <xdr:colOff>67627</xdr:colOff>
      <xdr:row>23</xdr:row>
      <xdr:rowOff>29210</xdr:rowOff>
    </xdr:to>
    <xdr:pic>
      <xdr:nvPicPr>
        <xdr:cNvPr id="3" name="Picture 2"/>
        <xdr:cNvPicPr>
          <a:picLocks noChangeAspect="1"/>
        </xdr:cNvPicPr>
      </xdr:nvPicPr>
      <xdr:blipFill>
        <a:blip xmlns:r="http://schemas.openxmlformats.org/officeDocument/2006/relationships" r:embed="rId2"/>
        <a:stretch>
          <a:fillRect/>
        </a:stretch>
      </xdr:blipFill>
      <xdr:spPr>
        <a:xfrm>
          <a:off x="10683875" y="0"/>
          <a:ext cx="6949440" cy="4632960"/>
        </a:xfrm>
        <a:prstGeom prst="rect">
          <a:avLst/>
        </a:prstGeom>
      </xdr:spPr>
    </xdr:pic>
    <xdr:clientData/>
  </xdr:twoCellAnchor>
  <xdr:twoCellAnchor editAs="oneCell">
    <xdr:from>
      <xdr:col>0</xdr:col>
      <xdr:colOff>0</xdr:colOff>
      <xdr:row>28</xdr:row>
      <xdr:rowOff>0</xdr:rowOff>
    </xdr:from>
    <xdr:to>
      <xdr:col>11</xdr:col>
      <xdr:colOff>593725</xdr:colOff>
      <xdr:row>88</xdr:row>
      <xdr:rowOff>171450</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5516563"/>
          <a:ext cx="7610475" cy="11125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MPSeDC%20MPSSDI%20GIS\Jal%20Rekha\CMMI%20Jal%20rekha%20documents%202025\July%20November%20Cycle%202\Jal%20Rekha%20Data%20Collection%20Sheet%20Jan%20to%20June%20Cycle%201_V_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to June"/>
      <sheetName val="CT-PPM3"/>
      <sheetName val="DRE-PPM"/>
      <sheetName val="DRE1-PPM"/>
      <sheetName val="Prod-PPM"/>
      <sheetName val="CT-PPM-2"/>
    </sheetNames>
    <sheetDataSet>
      <sheetData sheetId="0">
        <row r="20">
          <cell r="S20">
            <v>45827</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26"/>
  <sheetViews>
    <sheetView zoomScale="70" zoomScaleNormal="70" workbookViewId="0">
      <pane ySplit="1" topLeftCell="A10" activePane="bottomLeft" state="frozen"/>
      <selection activeCell="E1" sqref="E1"/>
      <selection pane="bottomLeft" activeCell="E14" sqref="E14:F17"/>
    </sheetView>
  </sheetViews>
  <sheetFormatPr defaultRowHeight="42" customHeight="1" x14ac:dyDescent="0.35"/>
  <cols>
    <col min="1" max="1" width="5.453125" customWidth="1"/>
    <col min="2" max="2" width="3.6328125" customWidth="1"/>
    <col min="3" max="3" width="5.36328125" customWidth="1"/>
    <col min="4" max="4" width="7.54296875" customWidth="1"/>
    <col min="5" max="5" width="12.08984375" customWidth="1"/>
    <col min="6" max="6" width="32.54296875" customWidth="1"/>
    <col min="7" max="7" width="8.6328125" style="4"/>
    <col min="8" max="8" width="12.6328125" style="14" customWidth="1"/>
    <col min="9" max="9" width="12.6328125" customWidth="1"/>
    <col min="10" max="10" width="8.90625" customWidth="1"/>
    <col min="11" max="11" width="10.90625" customWidth="1"/>
    <col min="12" max="12" width="13.54296875" customWidth="1"/>
    <col min="13" max="13" width="12.90625" customWidth="1"/>
    <col min="14" max="14" width="15.08984375" customWidth="1"/>
    <col min="15" max="15" width="15.08984375" style="82" customWidth="1"/>
    <col min="16" max="16" width="13.453125" customWidth="1"/>
    <col min="17" max="17" width="15.08984375" customWidth="1"/>
    <col min="18" max="18" width="10.90625" customWidth="1"/>
    <col min="19" max="19" width="11.08984375" customWidth="1"/>
    <col min="20" max="20" width="13.26953125" customWidth="1"/>
    <col min="21" max="21" width="11.54296875" customWidth="1"/>
    <col min="22" max="22" width="11.36328125" customWidth="1"/>
    <col min="23" max="23" width="10.90625" customWidth="1"/>
    <col min="24" max="31" width="8.90625" customWidth="1"/>
    <col min="38" max="45" width="0" hidden="1" customWidth="1"/>
    <col min="47" max="47" width="13.08984375" customWidth="1"/>
    <col min="48" max="51" width="11.453125" customWidth="1"/>
    <col min="52" max="56" width="11.36328125" customWidth="1"/>
    <col min="61" max="61" width="10.81640625" customWidth="1"/>
    <col min="62" max="62" width="10.90625" customWidth="1"/>
    <col min="63" max="78" width="8.81640625" style="61"/>
  </cols>
  <sheetData>
    <row r="1" spans="1:78" s="3" customFormat="1" ht="42" customHeight="1" x14ac:dyDescent="0.35">
      <c r="A1" s="2" t="s">
        <v>0</v>
      </c>
      <c r="B1" s="2" t="s">
        <v>1</v>
      </c>
      <c r="C1" s="2" t="s">
        <v>2</v>
      </c>
      <c r="D1" s="2" t="s">
        <v>3</v>
      </c>
      <c r="E1" s="2" t="s">
        <v>4</v>
      </c>
      <c r="F1" s="15" t="s">
        <v>5</v>
      </c>
      <c r="G1" s="2" t="s">
        <v>6</v>
      </c>
      <c r="H1" s="18" t="s">
        <v>7</v>
      </c>
      <c r="I1" s="6" t="s">
        <v>8</v>
      </c>
      <c r="J1" s="6" t="s">
        <v>9</v>
      </c>
      <c r="K1" s="2" t="s">
        <v>10</v>
      </c>
      <c r="L1" s="6" t="s">
        <v>11</v>
      </c>
      <c r="M1" s="6" t="s">
        <v>12</v>
      </c>
      <c r="N1" s="7" t="s">
        <v>13</v>
      </c>
      <c r="O1" s="80" t="s">
        <v>14</v>
      </c>
      <c r="P1" s="2" t="s">
        <v>15</v>
      </c>
      <c r="Q1" s="2" t="s">
        <v>16</v>
      </c>
      <c r="R1" s="2" t="s">
        <v>17</v>
      </c>
      <c r="S1" s="2" t="s">
        <v>18</v>
      </c>
      <c r="T1" s="2" t="s">
        <v>19</v>
      </c>
      <c r="U1" s="2" t="s">
        <v>20</v>
      </c>
      <c r="V1" s="2" t="s">
        <v>21</v>
      </c>
      <c r="W1" s="2" t="s">
        <v>22</v>
      </c>
      <c r="X1" s="37" t="s">
        <v>23</v>
      </c>
      <c r="Y1" s="37" t="s">
        <v>24</v>
      </c>
      <c r="Z1" s="37" t="s">
        <v>25</v>
      </c>
      <c r="AA1" s="37" t="s">
        <v>26</v>
      </c>
      <c r="AB1" s="37" t="s">
        <v>27</v>
      </c>
      <c r="AC1" s="37" t="s">
        <v>28</v>
      </c>
      <c r="AD1" s="37" t="s">
        <v>29</v>
      </c>
      <c r="AE1" s="37" t="s">
        <v>30</v>
      </c>
      <c r="AF1" s="2" t="s">
        <v>31</v>
      </c>
      <c r="AG1" s="2" t="s">
        <v>32</v>
      </c>
      <c r="AH1" s="2" t="s">
        <v>33</v>
      </c>
      <c r="AI1" s="2" t="s">
        <v>34</v>
      </c>
      <c r="AJ1" s="2" t="s">
        <v>35</v>
      </c>
      <c r="AK1" s="2" t="s">
        <v>36</v>
      </c>
      <c r="AL1" s="2" t="s">
        <v>37</v>
      </c>
      <c r="AM1" s="2" t="s">
        <v>38</v>
      </c>
      <c r="AN1" s="2" t="s">
        <v>39</v>
      </c>
      <c r="AO1" s="2" t="s">
        <v>40</v>
      </c>
      <c r="AP1" s="2" t="s">
        <v>41</v>
      </c>
      <c r="AQ1" s="2" t="s">
        <v>42</v>
      </c>
      <c r="AS1" s="5" t="s">
        <v>38</v>
      </c>
      <c r="AU1" s="38" t="s">
        <v>37</v>
      </c>
      <c r="AV1" s="37" t="s">
        <v>43</v>
      </c>
      <c r="AW1" s="37" t="s">
        <v>44</v>
      </c>
      <c r="AX1" s="37" t="s">
        <v>45</v>
      </c>
      <c r="AY1" s="37" t="s">
        <v>46</v>
      </c>
      <c r="AZ1" s="5" t="s">
        <v>47</v>
      </c>
      <c r="BA1" s="53" t="s">
        <v>48</v>
      </c>
      <c r="BB1" s="53" t="s">
        <v>49</v>
      </c>
      <c r="BC1" s="41" t="s">
        <v>50</v>
      </c>
      <c r="BD1" s="53" t="s">
        <v>51</v>
      </c>
      <c r="BE1" s="53" t="s">
        <v>38</v>
      </c>
      <c r="BF1" s="41" t="s">
        <v>112</v>
      </c>
      <c r="BG1" s="41" t="s">
        <v>113</v>
      </c>
      <c r="BH1" s="53" t="s">
        <v>117</v>
      </c>
      <c r="BI1" s="41" t="s">
        <v>116</v>
      </c>
      <c r="BJ1" s="41" t="s">
        <v>34</v>
      </c>
      <c r="BK1" s="41" t="s">
        <v>144</v>
      </c>
      <c r="BL1" s="62"/>
      <c r="BM1" s="62"/>
      <c r="BN1" s="62"/>
      <c r="BO1" s="62"/>
      <c r="BP1" s="62"/>
      <c r="BQ1" s="62"/>
      <c r="BR1" s="62"/>
      <c r="BS1" s="62"/>
      <c r="BT1" s="62"/>
      <c r="BU1" s="62"/>
      <c r="BV1" s="62"/>
      <c r="BW1" s="62"/>
      <c r="BX1" s="62"/>
      <c r="BY1" s="62"/>
      <c r="BZ1" s="62"/>
    </row>
    <row r="2" spans="1:78" s="57" customFormat="1" ht="42" customHeight="1" x14ac:dyDescent="0.35">
      <c r="A2" s="54">
        <v>1</v>
      </c>
      <c r="B2" s="54" t="s">
        <v>52</v>
      </c>
      <c r="C2" s="54" t="s">
        <v>53</v>
      </c>
      <c r="D2" s="108" t="s">
        <v>147</v>
      </c>
      <c r="E2" s="51" t="s">
        <v>54</v>
      </c>
      <c r="F2" s="60" t="s">
        <v>118</v>
      </c>
      <c r="G2" s="55" t="s">
        <v>55</v>
      </c>
      <c r="H2" s="36">
        <f>ROUNDUP(I2/8.3,0)</f>
        <v>9</v>
      </c>
      <c r="I2" s="55">
        <v>72</v>
      </c>
      <c r="J2" s="59">
        <v>82</v>
      </c>
      <c r="K2" s="59">
        <v>72</v>
      </c>
      <c r="L2" s="81">
        <v>45699</v>
      </c>
      <c r="M2" s="81">
        <v>45780</v>
      </c>
      <c r="N2" s="81">
        <v>45701</v>
      </c>
      <c r="O2" s="81">
        <v>45719</v>
      </c>
      <c r="P2" s="81">
        <v>45699</v>
      </c>
      <c r="Q2" s="81">
        <v>45703</v>
      </c>
      <c r="R2" s="81">
        <v>45706</v>
      </c>
      <c r="S2" s="81">
        <v>45706</v>
      </c>
      <c r="T2" s="81">
        <v>45707</v>
      </c>
      <c r="U2" s="81">
        <v>45714</v>
      </c>
      <c r="V2" s="81">
        <v>45715</v>
      </c>
      <c r="W2" s="81">
        <v>45719</v>
      </c>
      <c r="X2" s="50">
        <v>8</v>
      </c>
      <c r="Y2" s="55">
        <v>6</v>
      </c>
      <c r="Z2" s="55">
        <v>36</v>
      </c>
      <c r="AA2" s="55">
        <v>4</v>
      </c>
      <c r="AB2" s="55">
        <v>14</v>
      </c>
      <c r="AC2" s="55">
        <v>2</v>
      </c>
      <c r="AD2" s="50">
        <v>1</v>
      </c>
      <c r="AE2" s="55">
        <v>1</v>
      </c>
      <c r="AF2" s="92">
        <v>1</v>
      </c>
      <c r="AG2" s="92">
        <v>1</v>
      </c>
      <c r="AH2" s="92">
        <v>1</v>
      </c>
      <c r="AI2" s="92">
        <v>1</v>
      </c>
      <c r="AJ2" s="55">
        <v>1</v>
      </c>
      <c r="AK2" s="55">
        <v>2</v>
      </c>
      <c r="AL2" s="55"/>
      <c r="AM2" s="55">
        <v>0</v>
      </c>
      <c r="AN2" s="55">
        <v>0</v>
      </c>
      <c r="AO2" s="55">
        <v>0</v>
      </c>
      <c r="AP2" s="55">
        <v>0</v>
      </c>
      <c r="AQ2" s="55">
        <v>0</v>
      </c>
      <c r="AR2" s="97"/>
      <c r="AS2" s="55">
        <v>0</v>
      </c>
      <c r="AT2" s="97"/>
      <c r="AU2" s="55">
        <f>H2/I2</f>
        <v>0.125</v>
      </c>
      <c r="AV2" s="55">
        <f>H2/(X2+AD2)</f>
        <v>1</v>
      </c>
      <c r="AW2" s="55">
        <f>H2/(Y2+AE2)</f>
        <v>1.2857142857142858</v>
      </c>
      <c r="AX2" s="55">
        <f>H2/(Z2+AA2)</f>
        <v>0.22500000000000001</v>
      </c>
      <c r="AY2" s="55">
        <f>H2/(AB2+AC2)</f>
        <v>0.5625</v>
      </c>
      <c r="AZ2" s="55">
        <f>((W2-P2)/H2)</f>
        <v>2.2222222222222223</v>
      </c>
      <c r="BA2" s="98">
        <f>((Q2-P2)/H2)</f>
        <v>0.44444444444444442</v>
      </c>
      <c r="BB2" s="55">
        <f>((S2-R2)/H2)</f>
        <v>0</v>
      </c>
      <c r="BC2" s="55">
        <f>((U2-T2)/H2)</f>
        <v>0.77777777777777779</v>
      </c>
      <c r="BD2" s="55">
        <f>((W2-V2)/H2)</f>
        <v>0.44444444444444442</v>
      </c>
      <c r="BE2" s="55">
        <f>SUM(AF2:AI2)/SUM(AF2:AK2)</f>
        <v>0.5714285714285714</v>
      </c>
      <c r="BF2" s="55">
        <f>SUM(AF2:AI2)</f>
        <v>4</v>
      </c>
      <c r="BG2" s="55">
        <f>SUM(AJ2:AK2)</f>
        <v>3</v>
      </c>
      <c r="BH2" s="27">
        <f>BI2/(BI2+BJ2)</f>
        <v>0.75</v>
      </c>
      <c r="BI2" s="27">
        <f>(AF2+AG2+AH2)/H2</f>
        <v>0.33333333333333331</v>
      </c>
      <c r="BJ2" s="27">
        <f>AI2/H2</f>
        <v>0.1111111111111111</v>
      </c>
      <c r="BK2" s="27">
        <f>AH2/H2</f>
        <v>0.1111111111111111</v>
      </c>
      <c r="BL2" s="61"/>
      <c r="BM2" s="61"/>
      <c r="BN2" s="61"/>
      <c r="BO2" s="61"/>
      <c r="BP2" s="61"/>
      <c r="BQ2" s="61"/>
      <c r="BR2" s="61"/>
      <c r="BS2" s="61"/>
      <c r="BT2" s="61"/>
      <c r="BU2" s="61"/>
      <c r="BV2" s="61"/>
      <c r="BW2" s="61"/>
      <c r="BX2" s="61"/>
      <c r="BY2" s="61"/>
      <c r="BZ2" s="61"/>
    </row>
    <row r="3" spans="1:78" ht="42" customHeight="1" x14ac:dyDescent="0.35">
      <c r="A3" s="1"/>
      <c r="B3" s="1"/>
      <c r="C3" s="1"/>
      <c r="D3" s="109"/>
      <c r="E3" s="29" t="s">
        <v>56</v>
      </c>
      <c r="F3" s="35" t="s">
        <v>57</v>
      </c>
      <c r="H3" s="36">
        <f t="shared" ref="H3:H8" si="0">ROUNDUP(I3/8.3,0)</f>
        <v>76</v>
      </c>
      <c r="I3" s="92">
        <v>624</v>
      </c>
      <c r="J3" s="105">
        <v>850</v>
      </c>
      <c r="K3" s="105">
        <v>744</v>
      </c>
      <c r="L3" s="81">
        <v>45703</v>
      </c>
      <c r="M3" s="81">
        <v>45752</v>
      </c>
      <c r="N3" s="81">
        <v>45706</v>
      </c>
      <c r="O3" s="81">
        <v>45762</v>
      </c>
      <c r="P3" s="81">
        <v>45704</v>
      </c>
      <c r="Q3" s="81">
        <v>45711</v>
      </c>
      <c r="R3" s="81">
        <v>45715</v>
      </c>
      <c r="S3" s="81">
        <v>45719</v>
      </c>
      <c r="T3" s="81">
        <v>45720</v>
      </c>
      <c r="U3" s="81">
        <v>45752</v>
      </c>
      <c r="V3" s="81">
        <v>45753</v>
      </c>
      <c r="W3" s="81">
        <v>45762</v>
      </c>
      <c r="X3" s="92">
        <v>64</v>
      </c>
      <c r="Y3" s="92">
        <v>32</v>
      </c>
      <c r="Z3" s="92">
        <v>320</v>
      </c>
      <c r="AA3" s="92">
        <v>36</v>
      </c>
      <c r="AB3" s="92">
        <v>120</v>
      </c>
      <c r="AC3" s="92">
        <v>24</v>
      </c>
      <c r="AD3" s="92">
        <v>16</v>
      </c>
      <c r="AE3" s="92">
        <v>12</v>
      </c>
      <c r="AF3" s="99">
        <v>1</v>
      </c>
      <c r="AG3" s="99">
        <v>3</v>
      </c>
      <c r="AH3" s="99">
        <v>3</v>
      </c>
      <c r="AI3" s="99">
        <v>3</v>
      </c>
      <c r="AJ3" s="92">
        <v>4</v>
      </c>
      <c r="AK3" s="92">
        <v>4</v>
      </c>
      <c r="AL3" s="92"/>
      <c r="AM3" s="92"/>
      <c r="AN3" s="92"/>
      <c r="AO3" s="92"/>
      <c r="AP3" s="92"/>
      <c r="AQ3" s="92"/>
      <c r="AR3" s="14"/>
      <c r="AS3" s="92"/>
      <c r="AT3" s="14"/>
      <c r="AU3" s="92">
        <f>H3/I3</f>
        <v>0.12179487179487179</v>
      </c>
      <c r="AV3" s="92">
        <f>H3/(X3+AD3)</f>
        <v>0.95</v>
      </c>
      <c r="AW3" s="92">
        <f>H3/(Y3+AE3)</f>
        <v>1.7272727272727273</v>
      </c>
      <c r="AX3" s="92">
        <f>H3/(Z3+AA3)</f>
        <v>0.21348314606741572</v>
      </c>
      <c r="AY3" s="92">
        <f>H3/(AB3+AC3)</f>
        <v>0.52777777777777779</v>
      </c>
      <c r="AZ3" s="55">
        <f>((W3-P3)/H3)</f>
        <v>0.76315789473684215</v>
      </c>
      <c r="BA3" s="98">
        <f>((Q3-P3)/H3)</f>
        <v>9.2105263157894732E-2</v>
      </c>
      <c r="BB3" s="55">
        <f>((S3-R3)/H3)</f>
        <v>5.2631578947368418E-2</v>
      </c>
      <c r="BC3" s="55">
        <f>((U3-T3)/H3)</f>
        <v>0.42105263157894735</v>
      </c>
      <c r="BD3" s="55">
        <f>((W3-V3)/H3)</f>
        <v>0.11842105263157894</v>
      </c>
      <c r="BE3" s="92">
        <f>SUM(AF3:AI3)/SUM(AF3:AK3)</f>
        <v>0.55555555555555558</v>
      </c>
      <c r="BF3" s="92">
        <f t="shared" ref="BF3:BF24" si="1">SUM(AF3:AI3)</f>
        <v>10</v>
      </c>
      <c r="BG3" s="92">
        <f t="shared" ref="BG3:BG24" si="2">SUM(AJ3:AK3)</f>
        <v>8</v>
      </c>
      <c r="BH3" s="27">
        <f t="shared" ref="BH3:BH24" si="3">BI3/(BI3+BJ3)</f>
        <v>0.7</v>
      </c>
      <c r="BI3" s="27">
        <f>(AF3+AG3+AH3)/H3</f>
        <v>9.2105263157894732E-2</v>
      </c>
      <c r="BJ3" s="27">
        <f>AI3/H3</f>
        <v>3.9473684210526314E-2</v>
      </c>
      <c r="BK3" s="27">
        <f t="shared" ref="BK3:BK24" si="4">AH3/H3</f>
        <v>3.9473684210526314E-2</v>
      </c>
    </row>
    <row r="4" spans="1:78" ht="42" customHeight="1" x14ac:dyDescent="0.35">
      <c r="A4" s="1"/>
      <c r="B4" s="1"/>
      <c r="C4" s="1"/>
      <c r="D4" s="109"/>
      <c r="E4" s="32" t="s">
        <v>59</v>
      </c>
      <c r="F4" s="35" t="s">
        <v>60</v>
      </c>
      <c r="H4" s="36">
        <f t="shared" si="0"/>
        <v>15</v>
      </c>
      <c r="I4" s="92">
        <v>120</v>
      </c>
      <c r="J4" s="105"/>
      <c r="K4" s="105"/>
      <c r="L4" s="81">
        <v>45785</v>
      </c>
      <c r="M4" s="81">
        <v>45807</v>
      </c>
      <c r="N4" s="81">
        <v>45787</v>
      </c>
      <c r="O4" s="77">
        <v>45804</v>
      </c>
      <c r="P4" s="77">
        <v>45787</v>
      </c>
      <c r="Q4" s="77">
        <v>45788</v>
      </c>
      <c r="R4" s="77">
        <v>45788</v>
      </c>
      <c r="S4" s="77">
        <v>45790</v>
      </c>
      <c r="T4" s="77">
        <v>45791</v>
      </c>
      <c r="U4" s="77">
        <v>45801</v>
      </c>
      <c r="V4" s="77">
        <v>45801</v>
      </c>
      <c r="W4" s="77">
        <v>45804</v>
      </c>
      <c r="X4" s="92">
        <v>16</v>
      </c>
      <c r="Y4" s="92">
        <v>12</v>
      </c>
      <c r="Z4" s="92">
        <v>56</v>
      </c>
      <c r="AA4" s="92">
        <v>12</v>
      </c>
      <c r="AB4" s="92">
        <v>16</v>
      </c>
      <c r="AC4" s="92">
        <v>4</v>
      </c>
      <c r="AD4" s="92">
        <v>2</v>
      </c>
      <c r="AE4" s="92">
        <v>2</v>
      </c>
      <c r="AF4" s="99">
        <v>1</v>
      </c>
      <c r="AG4" s="99">
        <v>1</v>
      </c>
      <c r="AH4" s="99">
        <v>2</v>
      </c>
      <c r="AI4" s="99">
        <v>1</v>
      </c>
      <c r="AJ4" s="92">
        <v>0</v>
      </c>
      <c r="AK4" s="92">
        <v>1</v>
      </c>
      <c r="AL4" s="92"/>
      <c r="AM4" s="92"/>
      <c r="AN4" s="92"/>
      <c r="AO4" s="92"/>
      <c r="AP4" s="92"/>
      <c r="AQ4" s="92"/>
      <c r="AR4" s="14"/>
      <c r="AS4" s="92"/>
      <c r="AT4" s="14"/>
      <c r="AU4" s="92">
        <f t="shared" ref="AU4:AU24" si="5">H4/I4</f>
        <v>0.125</v>
      </c>
      <c r="AV4" s="92">
        <f t="shared" ref="AV4:AV24" si="6">H4/(X4+AD4)</f>
        <v>0.83333333333333337</v>
      </c>
      <c r="AW4" s="92">
        <f t="shared" ref="AW4:AW24" si="7">H4/(Y4+AE4)</f>
        <v>1.0714285714285714</v>
      </c>
      <c r="AX4" s="92">
        <f t="shared" ref="AX4:AX24" si="8">H4/(Z4+AA4)</f>
        <v>0.22058823529411764</v>
      </c>
      <c r="AY4" s="92">
        <f t="shared" ref="AY4:AY24" si="9">H4/(AB4+AC4)</f>
        <v>0.75</v>
      </c>
      <c r="AZ4" s="55">
        <f t="shared" ref="AZ4:AZ24" si="10">((W4-P4)/H4)</f>
        <v>1.1333333333333333</v>
      </c>
      <c r="BA4" s="98">
        <f t="shared" ref="BA4:BA24" si="11">((Q4-P4)/H4)</f>
        <v>6.6666666666666666E-2</v>
      </c>
      <c r="BB4" s="55">
        <f t="shared" ref="BB4:BB24" si="12">((S4-R4)/H4)</f>
        <v>0.13333333333333333</v>
      </c>
      <c r="BC4" s="55">
        <f t="shared" ref="BC4:BC24" si="13">((U4-T4)/H4)</f>
        <v>0.66666666666666663</v>
      </c>
      <c r="BD4" s="55">
        <f t="shared" ref="BD4:BD24" si="14">((W4-V4)/H4)</f>
        <v>0.2</v>
      </c>
      <c r="BE4" s="92">
        <f t="shared" ref="BE4:BE24" si="15">SUM(AF4:AI4)/SUM(AF4:AK4)</f>
        <v>0.83333333333333337</v>
      </c>
      <c r="BF4" s="92">
        <f t="shared" si="1"/>
        <v>5</v>
      </c>
      <c r="BG4" s="92">
        <f t="shared" si="2"/>
        <v>1</v>
      </c>
      <c r="BH4" s="27">
        <f t="shared" si="3"/>
        <v>0.8</v>
      </c>
      <c r="BI4" s="27">
        <f t="shared" ref="BI4:BI24" si="16">(AF4+AG4+AH4)/H4</f>
        <v>0.26666666666666666</v>
      </c>
      <c r="BJ4" s="27">
        <f t="shared" ref="BJ4:BJ24" si="17">AI4/H4</f>
        <v>6.6666666666666666E-2</v>
      </c>
      <c r="BK4" s="27">
        <f t="shared" si="4"/>
        <v>0.13333333333333333</v>
      </c>
    </row>
    <row r="5" spans="1:78" ht="42" customHeight="1" x14ac:dyDescent="0.35">
      <c r="A5" s="1"/>
      <c r="B5" s="1"/>
      <c r="C5" s="1"/>
      <c r="D5" s="109"/>
      <c r="E5" s="29" t="s">
        <v>61</v>
      </c>
      <c r="F5" s="33" t="s">
        <v>62</v>
      </c>
      <c r="G5" s="34"/>
      <c r="H5" s="36">
        <f t="shared" si="0"/>
        <v>7</v>
      </c>
      <c r="I5" s="94">
        <v>52</v>
      </c>
      <c r="J5" s="106">
        <v>98</v>
      </c>
      <c r="K5" s="106">
        <v>82</v>
      </c>
      <c r="L5" s="24" t="s">
        <v>122</v>
      </c>
      <c r="M5" s="24">
        <v>45934</v>
      </c>
      <c r="N5" s="92" t="s">
        <v>123</v>
      </c>
      <c r="O5" s="24">
        <v>45752</v>
      </c>
      <c r="P5" s="24">
        <v>45737</v>
      </c>
      <c r="Q5" s="24">
        <v>45738</v>
      </c>
      <c r="R5" s="24">
        <v>45739</v>
      </c>
      <c r="S5" s="24">
        <v>45740</v>
      </c>
      <c r="T5" s="24">
        <v>45741</v>
      </c>
      <c r="U5" s="24">
        <v>45749</v>
      </c>
      <c r="V5" s="24">
        <v>45750</v>
      </c>
      <c r="W5" s="24">
        <v>45752</v>
      </c>
      <c r="X5" s="94">
        <v>8</v>
      </c>
      <c r="Y5" s="92">
        <v>6</v>
      </c>
      <c r="Z5" s="92">
        <v>24</v>
      </c>
      <c r="AA5" s="92">
        <v>2</v>
      </c>
      <c r="AB5" s="92">
        <v>8</v>
      </c>
      <c r="AC5" s="92">
        <v>2</v>
      </c>
      <c r="AD5" s="92">
        <v>1</v>
      </c>
      <c r="AE5" s="92">
        <v>1</v>
      </c>
      <c r="AF5" s="92">
        <v>1</v>
      </c>
      <c r="AG5" s="92">
        <v>1</v>
      </c>
      <c r="AH5" s="92">
        <v>1</v>
      </c>
      <c r="AI5" s="92">
        <v>0</v>
      </c>
      <c r="AJ5" s="92">
        <v>1</v>
      </c>
      <c r="AK5" s="92">
        <v>2</v>
      </c>
      <c r="AL5" s="92"/>
      <c r="AM5" s="92"/>
      <c r="AN5" s="92"/>
      <c r="AO5" s="92"/>
      <c r="AP5" s="92"/>
      <c r="AQ5" s="92"/>
      <c r="AR5" s="14"/>
      <c r="AS5" s="92"/>
      <c r="AT5" s="14"/>
      <c r="AU5" s="92">
        <f t="shared" si="5"/>
        <v>0.13461538461538461</v>
      </c>
      <c r="AV5" s="92">
        <f t="shared" si="6"/>
        <v>0.77777777777777779</v>
      </c>
      <c r="AW5" s="92">
        <f t="shared" si="7"/>
        <v>1</v>
      </c>
      <c r="AX5" s="92">
        <f t="shared" si="8"/>
        <v>0.26923076923076922</v>
      </c>
      <c r="AY5" s="92">
        <f t="shared" si="9"/>
        <v>0.7</v>
      </c>
      <c r="AZ5" s="55">
        <f t="shared" si="10"/>
        <v>2.1428571428571428</v>
      </c>
      <c r="BA5" s="98">
        <f t="shared" si="11"/>
        <v>0.14285714285714285</v>
      </c>
      <c r="BB5" s="55">
        <f t="shared" si="12"/>
        <v>0.14285714285714285</v>
      </c>
      <c r="BC5" s="55">
        <f t="shared" si="13"/>
        <v>1.1428571428571428</v>
      </c>
      <c r="BD5" s="55">
        <f t="shared" si="14"/>
        <v>0.2857142857142857</v>
      </c>
      <c r="BE5" s="92">
        <f t="shared" si="15"/>
        <v>0.5</v>
      </c>
      <c r="BF5" s="92">
        <f t="shared" si="1"/>
        <v>3</v>
      </c>
      <c r="BG5" s="92">
        <f t="shared" si="2"/>
        <v>3</v>
      </c>
      <c r="BH5" s="27">
        <f t="shared" si="3"/>
        <v>1</v>
      </c>
      <c r="BI5" s="27">
        <f t="shared" si="16"/>
        <v>0.42857142857142855</v>
      </c>
      <c r="BJ5" s="27">
        <f t="shared" si="17"/>
        <v>0</v>
      </c>
      <c r="BK5" s="27">
        <f t="shared" si="4"/>
        <v>0.14285714285714285</v>
      </c>
    </row>
    <row r="6" spans="1:78" ht="42" customHeight="1" x14ac:dyDescent="0.35">
      <c r="A6" s="1"/>
      <c r="B6" s="1"/>
      <c r="C6" s="1"/>
      <c r="D6" s="109"/>
      <c r="E6" s="31" t="s">
        <v>59</v>
      </c>
      <c r="F6" s="16" t="s">
        <v>63</v>
      </c>
      <c r="H6" s="36">
        <f t="shared" si="0"/>
        <v>4</v>
      </c>
      <c r="I6" s="92">
        <v>30</v>
      </c>
      <c r="J6" s="107"/>
      <c r="K6" s="107"/>
      <c r="L6" s="24">
        <v>45812</v>
      </c>
      <c r="M6" s="24">
        <v>45995</v>
      </c>
      <c r="N6" s="24">
        <v>45842</v>
      </c>
      <c r="O6" s="24">
        <v>45759</v>
      </c>
      <c r="P6" s="24">
        <v>45754</v>
      </c>
      <c r="Q6" s="24">
        <v>45755</v>
      </c>
      <c r="R6" s="24">
        <v>45755</v>
      </c>
      <c r="S6" s="24">
        <v>45756</v>
      </c>
      <c r="T6" s="24">
        <v>45755</v>
      </c>
      <c r="U6" s="24">
        <v>45757</v>
      </c>
      <c r="V6" s="24">
        <v>45758</v>
      </c>
      <c r="W6" s="24">
        <v>45759</v>
      </c>
      <c r="X6" s="92">
        <v>6</v>
      </c>
      <c r="Y6" s="92">
        <v>4</v>
      </c>
      <c r="Z6" s="92">
        <v>12</v>
      </c>
      <c r="AA6" s="92">
        <v>2</v>
      </c>
      <c r="AB6" s="92">
        <v>4</v>
      </c>
      <c r="AC6" s="92">
        <v>1</v>
      </c>
      <c r="AD6" s="92">
        <v>1</v>
      </c>
      <c r="AE6" s="92">
        <v>0</v>
      </c>
      <c r="AF6" s="92">
        <v>0</v>
      </c>
      <c r="AG6" s="92">
        <v>0</v>
      </c>
      <c r="AH6" s="92">
        <v>1</v>
      </c>
      <c r="AI6" s="92">
        <v>0</v>
      </c>
      <c r="AJ6" s="92">
        <v>0</v>
      </c>
      <c r="AK6" s="92">
        <v>0</v>
      </c>
      <c r="AL6" s="92"/>
      <c r="AM6" s="92"/>
      <c r="AN6" s="92"/>
      <c r="AO6" s="92"/>
      <c r="AP6" s="92"/>
      <c r="AQ6" s="92"/>
      <c r="AR6" s="14"/>
      <c r="AS6" s="92"/>
      <c r="AT6" s="14"/>
      <c r="AU6" s="92">
        <f t="shared" si="5"/>
        <v>0.13333333333333333</v>
      </c>
      <c r="AV6" s="92">
        <f t="shared" si="6"/>
        <v>0.5714285714285714</v>
      </c>
      <c r="AW6" s="92">
        <f t="shared" si="7"/>
        <v>1</v>
      </c>
      <c r="AX6" s="92">
        <f t="shared" si="8"/>
        <v>0.2857142857142857</v>
      </c>
      <c r="AY6" s="92">
        <f t="shared" si="9"/>
        <v>0.8</v>
      </c>
      <c r="AZ6" s="55">
        <f t="shared" si="10"/>
        <v>1.25</v>
      </c>
      <c r="BA6" s="98">
        <f t="shared" si="11"/>
        <v>0.25</v>
      </c>
      <c r="BB6" s="55">
        <f t="shared" si="12"/>
        <v>0.25</v>
      </c>
      <c r="BC6" s="55">
        <f t="shared" si="13"/>
        <v>0.5</v>
      </c>
      <c r="BD6" s="55">
        <f t="shared" si="14"/>
        <v>0.25</v>
      </c>
      <c r="BE6" s="92">
        <f t="shared" si="15"/>
        <v>1</v>
      </c>
      <c r="BF6" s="92">
        <f t="shared" si="1"/>
        <v>1</v>
      </c>
      <c r="BG6" s="92">
        <f t="shared" si="2"/>
        <v>0</v>
      </c>
      <c r="BH6" s="27">
        <f t="shared" si="3"/>
        <v>1</v>
      </c>
      <c r="BI6" s="27">
        <f t="shared" si="16"/>
        <v>0.25</v>
      </c>
      <c r="BJ6" s="27">
        <f t="shared" si="17"/>
        <v>0</v>
      </c>
      <c r="BK6" s="27">
        <f t="shared" si="4"/>
        <v>0.25</v>
      </c>
    </row>
    <row r="7" spans="1:78" ht="42" customHeight="1" x14ac:dyDescent="0.35">
      <c r="A7" s="1">
        <v>0</v>
      </c>
      <c r="B7" s="1"/>
      <c r="C7" s="1"/>
      <c r="D7" s="109"/>
      <c r="E7" s="12" t="s">
        <v>64</v>
      </c>
      <c r="F7" s="16" t="s">
        <v>65</v>
      </c>
      <c r="H7" s="36">
        <f t="shared" si="0"/>
        <v>26</v>
      </c>
      <c r="I7" s="92">
        <v>208</v>
      </c>
      <c r="J7" s="21">
        <v>246</v>
      </c>
      <c r="K7" s="21">
        <v>208</v>
      </c>
      <c r="L7" s="74" t="s">
        <v>119</v>
      </c>
      <c r="M7" s="74">
        <v>45781</v>
      </c>
      <c r="N7" s="95" t="s">
        <v>120</v>
      </c>
      <c r="O7" s="24">
        <v>45762</v>
      </c>
      <c r="P7" s="24">
        <v>45704</v>
      </c>
      <c r="Q7" s="24">
        <v>45711</v>
      </c>
      <c r="R7" s="24">
        <v>45715</v>
      </c>
      <c r="S7" s="24">
        <v>45719</v>
      </c>
      <c r="T7" s="24">
        <v>45720</v>
      </c>
      <c r="U7" s="24">
        <v>45752</v>
      </c>
      <c r="V7" s="24">
        <v>45753</v>
      </c>
      <c r="W7" s="24">
        <v>45762</v>
      </c>
      <c r="X7" s="92">
        <v>24</v>
      </c>
      <c r="Y7" s="92">
        <v>16</v>
      </c>
      <c r="Z7" s="92">
        <v>104</v>
      </c>
      <c r="AA7" s="92">
        <v>8</v>
      </c>
      <c r="AB7" s="92">
        <v>40</v>
      </c>
      <c r="AC7" s="92">
        <v>8</v>
      </c>
      <c r="AD7" s="92">
        <v>4</v>
      </c>
      <c r="AE7" s="92">
        <v>4</v>
      </c>
      <c r="AF7" s="99">
        <v>1</v>
      </c>
      <c r="AG7" s="99">
        <v>1</v>
      </c>
      <c r="AH7" s="99">
        <v>3</v>
      </c>
      <c r="AI7" s="99">
        <v>2</v>
      </c>
      <c r="AJ7" s="92">
        <v>2</v>
      </c>
      <c r="AK7" s="92">
        <v>3</v>
      </c>
      <c r="AL7" s="92"/>
      <c r="AM7" s="92"/>
      <c r="AN7" s="92"/>
      <c r="AO7" s="92"/>
      <c r="AP7" s="92"/>
      <c r="AQ7" s="92"/>
      <c r="AR7" s="14"/>
      <c r="AS7" s="92"/>
      <c r="AT7" s="14"/>
      <c r="AU7" s="92">
        <f t="shared" si="5"/>
        <v>0.125</v>
      </c>
      <c r="AV7" s="92">
        <f t="shared" si="6"/>
        <v>0.9285714285714286</v>
      </c>
      <c r="AW7" s="92">
        <f t="shared" si="7"/>
        <v>1.3</v>
      </c>
      <c r="AX7" s="92">
        <f t="shared" si="8"/>
        <v>0.23214285714285715</v>
      </c>
      <c r="AY7" s="92">
        <f t="shared" si="9"/>
        <v>0.54166666666666663</v>
      </c>
      <c r="AZ7" s="55">
        <f t="shared" si="10"/>
        <v>2.2307692307692308</v>
      </c>
      <c r="BA7" s="98">
        <f t="shared" si="11"/>
        <v>0.26923076923076922</v>
      </c>
      <c r="BB7" s="55">
        <f t="shared" si="12"/>
        <v>0.15384615384615385</v>
      </c>
      <c r="BC7" s="55">
        <f t="shared" si="13"/>
        <v>1.2307692307692308</v>
      </c>
      <c r="BD7" s="55">
        <f t="shared" si="14"/>
        <v>0.34615384615384615</v>
      </c>
      <c r="BE7" s="92">
        <f t="shared" si="15"/>
        <v>0.58333333333333337</v>
      </c>
      <c r="BF7" s="92">
        <f t="shared" si="1"/>
        <v>7</v>
      </c>
      <c r="BG7" s="92">
        <f t="shared" si="2"/>
        <v>5</v>
      </c>
      <c r="BH7" s="27">
        <f t="shared" si="3"/>
        <v>0.71428571428571419</v>
      </c>
      <c r="BI7" s="27">
        <f t="shared" si="16"/>
        <v>0.19230769230769232</v>
      </c>
      <c r="BJ7" s="27">
        <f t="shared" si="17"/>
        <v>7.6923076923076927E-2</v>
      </c>
      <c r="BK7" s="27">
        <f t="shared" si="4"/>
        <v>0.11538461538461539</v>
      </c>
    </row>
    <row r="8" spans="1:78" ht="42" customHeight="1" x14ac:dyDescent="0.35">
      <c r="A8" s="1"/>
      <c r="B8" s="1"/>
      <c r="C8" s="1"/>
      <c r="D8" s="110"/>
      <c r="E8" s="10" t="s">
        <v>66</v>
      </c>
      <c r="F8" s="16" t="s">
        <v>67</v>
      </c>
      <c r="G8" s="20"/>
      <c r="H8" s="36">
        <f t="shared" si="0"/>
        <v>2</v>
      </c>
      <c r="I8" s="92">
        <v>16</v>
      </c>
      <c r="J8" s="92">
        <v>22</v>
      </c>
      <c r="K8" s="92">
        <v>16</v>
      </c>
      <c r="L8" s="74">
        <v>45722</v>
      </c>
      <c r="M8" s="24">
        <v>45906</v>
      </c>
      <c r="N8" s="22">
        <v>45722</v>
      </c>
      <c r="O8" s="24">
        <v>45816</v>
      </c>
      <c r="P8" s="24">
        <v>45812</v>
      </c>
      <c r="Q8" s="24">
        <v>45812</v>
      </c>
      <c r="R8" s="24">
        <v>45812</v>
      </c>
      <c r="S8" s="24">
        <v>45812</v>
      </c>
      <c r="T8" s="24">
        <v>45813</v>
      </c>
      <c r="U8" s="24">
        <v>45814</v>
      </c>
      <c r="V8" s="24">
        <v>45815</v>
      </c>
      <c r="W8" s="24">
        <v>45816</v>
      </c>
      <c r="X8" s="92">
        <v>2</v>
      </c>
      <c r="Y8" s="92">
        <v>2</v>
      </c>
      <c r="Z8" s="92">
        <v>8</v>
      </c>
      <c r="AA8" s="92">
        <v>0</v>
      </c>
      <c r="AB8" s="92">
        <v>4</v>
      </c>
      <c r="AC8" s="92">
        <v>0</v>
      </c>
      <c r="AD8" s="92">
        <v>0</v>
      </c>
      <c r="AE8" s="92">
        <v>0</v>
      </c>
      <c r="AF8" s="92">
        <v>1</v>
      </c>
      <c r="AG8" s="92">
        <v>0</v>
      </c>
      <c r="AH8" s="92">
        <v>0</v>
      </c>
      <c r="AI8" s="92">
        <v>1</v>
      </c>
      <c r="AJ8" s="92">
        <v>0</v>
      </c>
      <c r="AK8" s="92">
        <v>0</v>
      </c>
      <c r="AL8" s="92"/>
      <c r="AM8" s="92"/>
      <c r="AN8" s="92"/>
      <c r="AO8" s="92"/>
      <c r="AP8" s="92"/>
      <c r="AQ8" s="92"/>
      <c r="AR8" s="14"/>
      <c r="AS8" s="92"/>
      <c r="AT8" s="14"/>
      <c r="AU8" s="92">
        <f t="shared" si="5"/>
        <v>0.125</v>
      </c>
      <c r="AV8" s="92">
        <f t="shared" si="6"/>
        <v>1</v>
      </c>
      <c r="AW8" s="92">
        <f t="shared" si="7"/>
        <v>1</v>
      </c>
      <c r="AX8" s="92">
        <f t="shared" si="8"/>
        <v>0.25</v>
      </c>
      <c r="AY8" s="92">
        <f t="shared" si="9"/>
        <v>0.5</v>
      </c>
      <c r="AZ8" s="55">
        <f t="shared" si="10"/>
        <v>2</v>
      </c>
      <c r="BA8" s="98">
        <f t="shared" si="11"/>
        <v>0</v>
      </c>
      <c r="BB8" s="55">
        <f t="shared" si="12"/>
        <v>0</v>
      </c>
      <c r="BC8" s="55">
        <f t="shared" si="13"/>
        <v>0.5</v>
      </c>
      <c r="BD8" s="55">
        <f t="shared" si="14"/>
        <v>0.5</v>
      </c>
      <c r="BE8" s="92">
        <f t="shared" si="15"/>
        <v>1</v>
      </c>
      <c r="BF8" s="92">
        <f t="shared" si="1"/>
        <v>2</v>
      </c>
      <c r="BG8" s="92">
        <f t="shared" si="2"/>
        <v>0</v>
      </c>
      <c r="BH8" s="27">
        <f t="shared" si="3"/>
        <v>0.5</v>
      </c>
      <c r="BI8" s="27">
        <f t="shared" si="16"/>
        <v>0.5</v>
      </c>
      <c r="BJ8" s="27">
        <f t="shared" si="17"/>
        <v>0.5</v>
      </c>
      <c r="BK8" s="27">
        <f t="shared" si="4"/>
        <v>0</v>
      </c>
    </row>
    <row r="9" spans="1:78" s="83" customFormat="1" ht="60" customHeight="1" x14ac:dyDescent="0.35">
      <c r="A9" s="23">
        <v>2</v>
      </c>
      <c r="B9" s="23" t="s">
        <v>52</v>
      </c>
      <c r="C9" s="23" t="s">
        <v>53</v>
      </c>
      <c r="D9" s="108" t="s">
        <v>68</v>
      </c>
      <c r="E9" s="76" t="s">
        <v>69</v>
      </c>
      <c r="F9" s="16" t="s">
        <v>114</v>
      </c>
      <c r="G9" s="75" t="s">
        <v>55</v>
      </c>
      <c r="H9" s="19">
        <f>ROUNDUP(I9/8.3,0)</f>
        <v>25</v>
      </c>
      <c r="I9" s="92">
        <v>205</v>
      </c>
      <c r="J9" s="21">
        <v>260</v>
      </c>
      <c r="K9" s="21">
        <v>205</v>
      </c>
      <c r="L9" s="74" t="s">
        <v>119</v>
      </c>
      <c r="M9" s="74">
        <v>45933</v>
      </c>
      <c r="N9" s="95" t="s">
        <v>120</v>
      </c>
      <c r="O9" s="24">
        <v>45724</v>
      </c>
      <c r="P9" s="24">
        <v>45706</v>
      </c>
      <c r="Q9" s="24">
        <v>45708</v>
      </c>
      <c r="R9" s="24">
        <v>45708</v>
      </c>
      <c r="S9" s="24">
        <v>45709</v>
      </c>
      <c r="T9" s="24">
        <v>45710</v>
      </c>
      <c r="U9" s="24">
        <v>45721</v>
      </c>
      <c r="V9" s="24">
        <v>45722</v>
      </c>
      <c r="W9" s="24">
        <v>45724</v>
      </c>
      <c r="X9" s="27">
        <v>10</v>
      </c>
      <c r="Y9" s="27">
        <v>16</v>
      </c>
      <c r="Z9" s="27">
        <v>136</v>
      </c>
      <c r="AA9" s="27">
        <v>8</v>
      </c>
      <c r="AB9" s="27">
        <v>22</v>
      </c>
      <c r="AC9" s="27">
        <v>2</v>
      </c>
      <c r="AD9" s="27">
        <v>5</v>
      </c>
      <c r="AE9" s="27">
        <v>6</v>
      </c>
      <c r="AF9" s="99">
        <v>0</v>
      </c>
      <c r="AG9" s="99">
        <v>1</v>
      </c>
      <c r="AH9" s="99">
        <v>2</v>
      </c>
      <c r="AI9" s="99">
        <v>3</v>
      </c>
      <c r="AJ9" s="92">
        <v>2</v>
      </c>
      <c r="AK9" s="92">
        <v>2</v>
      </c>
      <c r="AL9" s="92"/>
      <c r="AM9" s="92">
        <v>0</v>
      </c>
      <c r="AN9" s="92">
        <v>0</v>
      </c>
      <c r="AO9" s="92">
        <v>0</v>
      </c>
      <c r="AP9" s="92">
        <v>0</v>
      </c>
      <c r="AQ9" s="92">
        <v>0</v>
      </c>
      <c r="AR9" s="14"/>
      <c r="AS9" s="92">
        <v>0</v>
      </c>
      <c r="AT9" s="14"/>
      <c r="AU9" s="92">
        <f t="shared" si="5"/>
        <v>0.12195121951219512</v>
      </c>
      <c r="AV9" s="92">
        <f t="shared" si="6"/>
        <v>1.6666666666666667</v>
      </c>
      <c r="AW9" s="92">
        <f t="shared" si="7"/>
        <v>1.1363636363636365</v>
      </c>
      <c r="AX9" s="92">
        <f t="shared" si="8"/>
        <v>0.1736111111111111</v>
      </c>
      <c r="AY9" s="92">
        <f t="shared" si="9"/>
        <v>1.0416666666666667</v>
      </c>
      <c r="AZ9" s="55">
        <f t="shared" si="10"/>
        <v>0.72</v>
      </c>
      <c r="BA9" s="98">
        <f t="shared" si="11"/>
        <v>0.08</v>
      </c>
      <c r="BB9" s="55">
        <f t="shared" si="12"/>
        <v>0.04</v>
      </c>
      <c r="BC9" s="55">
        <f t="shared" si="13"/>
        <v>0.44</v>
      </c>
      <c r="BD9" s="55">
        <f t="shared" si="14"/>
        <v>0.08</v>
      </c>
      <c r="BE9" s="92">
        <f t="shared" si="15"/>
        <v>0.6</v>
      </c>
      <c r="BF9" s="92">
        <f t="shared" si="1"/>
        <v>6</v>
      </c>
      <c r="BG9" s="92">
        <f t="shared" si="2"/>
        <v>4</v>
      </c>
      <c r="BH9" s="27">
        <f t="shared" si="3"/>
        <v>0.5</v>
      </c>
      <c r="BI9" s="27">
        <f t="shared" si="16"/>
        <v>0.12</v>
      </c>
      <c r="BJ9" s="27">
        <f t="shared" si="17"/>
        <v>0.12</v>
      </c>
      <c r="BK9" s="27">
        <f t="shared" si="4"/>
        <v>0.08</v>
      </c>
      <c r="BL9" s="84"/>
      <c r="BM9" s="84"/>
      <c r="BN9" s="84"/>
      <c r="BO9" s="84"/>
      <c r="BP9" s="84"/>
      <c r="BQ9" s="84"/>
      <c r="BR9" s="84"/>
      <c r="BS9" s="84"/>
      <c r="BT9" s="84"/>
      <c r="BU9" s="84"/>
      <c r="BV9" s="84"/>
      <c r="BW9" s="84"/>
      <c r="BX9" s="84"/>
      <c r="BY9" s="84"/>
      <c r="BZ9" s="84"/>
    </row>
    <row r="10" spans="1:78" ht="43.5" x14ac:dyDescent="0.35">
      <c r="A10" s="1"/>
      <c r="B10" s="1"/>
      <c r="C10" s="1"/>
      <c r="D10" s="109"/>
      <c r="E10" s="12" t="s">
        <v>70</v>
      </c>
      <c r="F10" s="16" t="s">
        <v>71</v>
      </c>
      <c r="G10" s="1"/>
      <c r="H10" s="19">
        <f t="shared" ref="H10:H13" si="18">ROUNDUP(I10/8.3,0)</f>
        <v>12</v>
      </c>
      <c r="I10" s="92">
        <v>98</v>
      </c>
      <c r="J10" s="21">
        <v>116</v>
      </c>
      <c r="K10" s="21">
        <v>88</v>
      </c>
      <c r="L10" s="74" t="s">
        <v>124</v>
      </c>
      <c r="M10" s="74" t="s">
        <v>125</v>
      </c>
      <c r="N10" s="22" t="s">
        <v>124</v>
      </c>
      <c r="O10" s="24">
        <v>45744</v>
      </c>
      <c r="P10" s="24">
        <v>45731</v>
      </c>
      <c r="Q10" s="24">
        <v>45732</v>
      </c>
      <c r="R10" s="24">
        <v>45732</v>
      </c>
      <c r="S10" s="24">
        <v>45733</v>
      </c>
      <c r="T10" s="24">
        <v>45733</v>
      </c>
      <c r="U10" s="24">
        <v>45742</v>
      </c>
      <c r="V10" s="24">
        <v>45742</v>
      </c>
      <c r="W10" s="24">
        <v>45744</v>
      </c>
      <c r="X10" s="27">
        <v>6</v>
      </c>
      <c r="Y10" s="27">
        <v>14</v>
      </c>
      <c r="Z10" s="27">
        <v>48</v>
      </c>
      <c r="AA10" s="27">
        <v>4</v>
      </c>
      <c r="AB10" s="27">
        <v>10</v>
      </c>
      <c r="AC10" s="27">
        <v>2</v>
      </c>
      <c r="AD10" s="27">
        <v>2</v>
      </c>
      <c r="AE10" s="27">
        <v>2</v>
      </c>
      <c r="AF10" s="92">
        <v>1</v>
      </c>
      <c r="AG10" s="99">
        <v>1</v>
      </c>
      <c r="AH10" s="99">
        <v>2</v>
      </c>
      <c r="AI10" s="99">
        <v>1</v>
      </c>
      <c r="AJ10" s="92">
        <v>1</v>
      </c>
      <c r="AK10" s="92">
        <v>1</v>
      </c>
      <c r="AL10" s="92"/>
      <c r="AM10" s="92">
        <v>0</v>
      </c>
      <c r="AN10" s="92"/>
      <c r="AO10" s="92"/>
      <c r="AP10" s="92"/>
      <c r="AQ10" s="92"/>
      <c r="AR10" s="14"/>
      <c r="AS10" s="92"/>
      <c r="AT10" s="14"/>
      <c r="AU10" s="92">
        <f t="shared" si="5"/>
        <v>0.12244897959183673</v>
      </c>
      <c r="AV10" s="92">
        <f t="shared" si="6"/>
        <v>1.5</v>
      </c>
      <c r="AW10" s="92">
        <f t="shared" si="7"/>
        <v>0.75</v>
      </c>
      <c r="AX10" s="92">
        <f t="shared" si="8"/>
        <v>0.23076923076923078</v>
      </c>
      <c r="AY10" s="92">
        <f t="shared" si="9"/>
        <v>1</v>
      </c>
      <c r="AZ10" s="55">
        <f t="shared" si="10"/>
        <v>1.0833333333333333</v>
      </c>
      <c r="BA10" s="98">
        <f t="shared" si="11"/>
        <v>8.3333333333333329E-2</v>
      </c>
      <c r="BB10" s="55">
        <f t="shared" si="12"/>
        <v>8.3333333333333329E-2</v>
      </c>
      <c r="BC10" s="55">
        <f t="shared" si="13"/>
        <v>0.75</v>
      </c>
      <c r="BD10" s="55">
        <f t="shared" si="14"/>
        <v>0.16666666666666666</v>
      </c>
      <c r="BE10" s="92">
        <f t="shared" si="15"/>
        <v>0.7142857142857143</v>
      </c>
      <c r="BF10" s="92">
        <f t="shared" si="1"/>
        <v>5</v>
      </c>
      <c r="BG10" s="92">
        <f t="shared" si="2"/>
        <v>2</v>
      </c>
      <c r="BH10" s="27">
        <f t="shared" si="3"/>
        <v>0.8</v>
      </c>
      <c r="BI10" s="27">
        <f t="shared" si="16"/>
        <v>0.33333333333333331</v>
      </c>
      <c r="BJ10" s="27">
        <f t="shared" si="17"/>
        <v>8.3333333333333329E-2</v>
      </c>
      <c r="BK10" s="27">
        <f t="shared" si="4"/>
        <v>0.16666666666666666</v>
      </c>
    </row>
    <row r="11" spans="1:78" ht="42" customHeight="1" x14ac:dyDescent="0.35">
      <c r="A11" s="1"/>
      <c r="B11" s="1"/>
      <c r="C11" s="1"/>
      <c r="D11" s="109"/>
      <c r="E11" s="10" t="s">
        <v>73</v>
      </c>
      <c r="F11" s="16" t="s">
        <v>74</v>
      </c>
      <c r="G11" s="1"/>
      <c r="H11" s="19">
        <f t="shared" si="18"/>
        <v>15</v>
      </c>
      <c r="I11" s="92">
        <v>122</v>
      </c>
      <c r="J11" s="21">
        <v>148</v>
      </c>
      <c r="K11" s="92">
        <v>122</v>
      </c>
      <c r="L11" s="74">
        <v>45964</v>
      </c>
      <c r="M11" s="74">
        <v>45781</v>
      </c>
      <c r="N11" s="22">
        <v>45964</v>
      </c>
      <c r="O11" s="24">
        <v>45747</v>
      </c>
      <c r="P11" s="24">
        <v>45727</v>
      </c>
      <c r="Q11" s="24">
        <v>45728</v>
      </c>
      <c r="R11" s="24">
        <v>45729</v>
      </c>
      <c r="S11" s="24">
        <v>45730</v>
      </c>
      <c r="T11" s="24">
        <v>45731</v>
      </c>
      <c r="U11" s="24">
        <v>45741</v>
      </c>
      <c r="V11" s="24">
        <v>45742</v>
      </c>
      <c r="W11" s="24">
        <v>45747</v>
      </c>
      <c r="X11" s="27">
        <v>8</v>
      </c>
      <c r="Y11" s="27">
        <v>12</v>
      </c>
      <c r="Z11" s="27">
        <v>72</v>
      </c>
      <c r="AA11" s="27">
        <v>9</v>
      </c>
      <c r="AB11" s="27">
        <v>16</v>
      </c>
      <c r="AC11" s="27">
        <v>1</v>
      </c>
      <c r="AD11" s="27">
        <v>2</v>
      </c>
      <c r="AE11" s="27">
        <v>2</v>
      </c>
      <c r="AF11" s="99">
        <v>0</v>
      </c>
      <c r="AG11" s="99">
        <v>1</v>
      </c>
      <c r="AH11" s="99">
        <v>2</v>
      </c>
      <c r="AI11" s="99">
        <v>2</v>
      </c>
      <c r="AJ11" s="92">
        <v>2</v>
      </c>
      <c r="AK11" s="92">
        <v>1</v>
      </c>
      <c r="AL11" s="92"/>
      <c r="AM11" s="92"/>
      <c r="AN11" s="92"/>
      <c r="AO11" s="92"/>
      <c r="AP11" s="92"/>
      <c r="AQ11" s="92"/>
      <c r="AR11" s="14"/>
      <c r="AS11" s="92"/>
      <c r="AT11" s="14"/>
      <c r="AU11" s="92">
        <f t="shared" si="5"/>
        <v>0.12295081967213115</v>
      </c>
      <c r="AV11" s="92">
        <f t="shared" si="6"/>
        <v>1.5</v>
      </c>
      <c r="AW11" s="92">
        <f t="shared" si="7"/>
        <v>1.0714285714285714</v>
      </c>
      <c r="AX11" s="92">
        <f t="shared" si="8"/>
        <v>0.18518518518518517</v>
      </c>
      <c r="AY11" s="92">
        <f t="shared" si="9"/>
        <v>0.88235294117647056</v>
      </c>
      <c r="AZ11" s="55">
        <f t="shared" si="10"/>
        <v>1.3333333333333333</v>
      </c>
      <c r="BA11" s="98">
        <f t="shared" si="11"/>
        <v>6.6666666666666666E-2</v>
      </c>
      <c r="BB11" s="55">
        <f t="shared" si="12"/>
        <v>6.6666666666666666E-2</v>
      </c>
      <c r="BC11" s="55">
        <f t="shared" si="13"/>
        <v>0.66666666666666663</v>
      </c>
      <c r="BD11" s="55">
        <f t="shared" si="14"/>
        <v>0.33333333333333331</v>
      </c>
      <c r="BE11" s="92">
        <f t="shared" si="15"/>
        <v>0.625</v>
      </c>
      <c r="BF11" s="92">
        <f t="shared" si="1"/>
        <v>5</v>
      </c>
      <c r="BG11" s="92">
        <f t="shared" si="2"/>
        <v>3</v>
      </c>
      <c r="BH11" s="27">
        <f t="shared" si="3"/>
        <v>0.6</v>
      </c>
      <c r="BI11" s="27">
        <f t="shared" si="16"/>
        <v>0.2</v>
      </c>
      <c r="BJ11" s="27">
        <f t="shared" si="17"/>
        <v>0.13333333333333333</v>
      </c>
      <c r="BK11" s="27">
        <f t="shared" si="4"/>
        <v>0.13333333333333333</v>
      </c>
    </row>
    <row r="12" spans="1:78" ht="42" customHeight="1" x14ac:dyDescent="0.35">
      <c r="A12" s="1"/>
      <c r="B12" s="1"/>
      <c r="C12" s="1"/>
      <c r="D12" s="109"/>
      <c r="E12" s="11" t="s">
        <v>75</v>
      </c>
      <c r="F12" s="16" t="s">
        <v>76</v>
      </c>
      <c r="G12" s="1"/>
      <c r="H12" s="19">
        <f t="shared" si="18"/>
        <v>2</v>
      </c>
      <c r="I12" s="92">
        <v>12</v>
      </c>
      <c r="J12" s="92">
        <v>24</v>
      </c>
      <c r="K12" s="92">
        <v>12</v>
      </c>
      <c r="L12" s="24">
        <v>45934</v>
      </c>
      <c r="M12" s="92" t="s">
        <v>126</v>
      </c>
      <c r="N12" s="25">
        <v>45934</v>
      </c>
      <c r="O12" s="77">
        <v>45759</v>
      </c>
      <c r="P12" s="77">
        <v>45757</v>
      </c>
      <c r="Q12" s="77">
        <v>45758</v>
      </c>
      <c r="R12" s="77">
        <v>45757</v>
      </c>
      <c r="S12" s="77">
        <v>45758</v>
      </c>
      <c r="T12" s="77">
        <v>45758</v>
      </c>
      <c r="U12" s="77">
        <v>45759</v>
      </c>
      <c r="V12" s="77">
        <v>45759</v>
      </c>
      <c r="W12" s="77">
        <v>45759</v>
      </c>
      <c r="X12" s="27">
        <v>1</v>
      </c>
      <c r="Y12" s="27">
        <v>1</v>
      </c>
      <c r="Z12" s="27">
        <v>7</v>
      </c>
      <c r="AA12" s="27">
        <v>1</v>
      </c>
      <c r="AB12" s="27">
        <v>2</v>
      </c>
      <c r="AC12" s="27">
        <v>0</v>
      </c>
      <c r="AD12" s="27">
        <v>0</v>
      </c>
      <c r="AE12" s="27">
        <v>0</v>
      </c>
      <c r="AF12" s="92">
        <v>0</v>
      </c>
      <c r="AG12" s="99">
        <v>0</v>
      </c>
      <c r="AH12" s="99">
        <v>1</v>
      </c>
      <c r="AI12" s="99">
        <v>0</v>
      </c>
      <c r="AJ12" s="92">
        <v>0</v>
      </c>
      <c r="AK12" s="92">
        <v>0</v>
      </c>
      <c r="AL12" s="92"/>
      <c r="AM12" s="92"/>
      <c r="AN12" s="92"/>
      <c r="AO12" s="92"/>
      <c r="AP12" s="92"/>
      <c r="AQ12" s="92"/>
      <c r="AR12" s="14"/>
      <c r="AS12" s="92"/>
      <c r="AT12" s="14"/>
      <c r="AU12" s="92">
        <f t="shared" si="5"/>
        <v>0.16666666666666666</v>
      </c>
      <c r="AV12" s="92">
        <f t="shared" si="6"/>
        <v>2</v>
      </c>
      <c r="AW12" s="92">
        <f t="shared" si="7"/>
        <v>2</v>
      </c>
      <c r="AX12" s="92">
        <f t="shared" si="8"/>
        <v>0.25</v>
      </c>
      <c r="AY12" s="92">
        <f t="shared" si="9"/>
        <v>1</v>
      </c>
      <c r="AZ12" s="55">
        <f t="shared" si="10"/>
        <v>1</v>
      </c>
      <c r="BA12" s="98">
        <f t="shared" si="11"/>
        <v>0.5</v>
      </c>
      <c r="BB12" s="55">
        <f t="shared" si="12"/>
        <v>0.5</v>
      </c>
      <c r="BC12" s="55">
        <f t="shared" si="13"/>
        <v>0.5</v>
      </c>
      <c r="BD12" s="55">
        <f t="shared" si="14"/>
        <v>0</v>
      </c>
      <c r="BE12" s="92">
        <f t="shared" si="15"/>
        <v>1</v>
      </c>
      <c r="BF12" s="92">
        <f t="shared" si="1"/>
        <v>1</v>
      </c>
      <c r="BG12" s="92">
        <f t="shared" si="2"/>
        <v>0</v>
      </c>
      <c r="BH12" s="27">
        <f t="shared" si="3"/>
        <v>1</v>
      </c>
      <c r="BI12" s="27">
        <f t="shared" si="16"/>
        <v>0.5</v>
      </c>
      <c r="BJ12" s="27">
        <f t="shared" si="17"/>
        <v>0</v>
      </c>
      <c r="BK12" s="27">
        <f t="shared" si="4"/>
        <v>0.5</v>
      </c>
    </row>
    <row r="13" spans="1:78" ht="42" customHeight="1" x14ac:dyDescent="0.35">
      <c r="A13" s="1"/>
      <c r="B13" s="1"/>
      <c r="C13" s="1"/>
      <c r="D13" s="109"/>
      <c r="E13" s="30" t="s">
        <v>59</v>
      </c>
      <c r="F13" s="16" t="s">
        <v>77</v>
      </c>
      <c r="G13" s="1"/>
      <c r="H13" s="19">
        <f t="shared" si="18"/>
        <v>6</v>
      </c>
      <c r="I13" s="92">
        <v>48</v>
      </c>
      <c r="J13" s="21">
        <v>32</v>
      </c>
      <c r="K13" s="21">
        <v>40</v>
      </c>
      <c r="L13" s="92" t="s">
        <v>127</v>
      </c>
      <c r="M13" s="92" t="s">
        <v>128</v>
      </c>
      <c r="N13" s="9" t="s">
        <v>127</v>
      </c>
      <c r="O13" s="77">
        <v>45772</v>
      </c>
      <c r="P13" s="24">
        <v>45765</v>
      </c>
      <c r="Q13" s="24">
        <v>45766</v>
      </c>
      <c r="R13" s="24">
        <v>45765</v>
      </c>
      <c r="S13" s="24">
        <v>45766</v>
      </c>
      <c r="T13" s="24">
        <v>45766</v>
      </c>
      <c r="U13" s="77">
        <v>45770</v>
      </c>
      <c r="V13" s="77">
        <v>45771</v>
      </c>
      <c r="W13" s="77">
        <v>45772</v>
      </c>
      <c r="X13" s="27">
        <v>2</v>
      </c>
      <c r="Y13" s="27">
        <v>6</v>
      </c>
      <c r="Z13" s="27">
        <v>22</v>
      </c>
      <c r="AA13" s="27">
        <v>2</v>
      </c>
      <c r="AB13" s="27">
        <v>5</v>
      </c>
      <c r="AC13" s="27">
        <v>1</v>
      </c>
      <c r="AD13" s="27">
        <v>1</v>
      </c>
      <c r="AE13" s="27">
        <v>1</v>
      </c>
      <c r="AF13" s="92">
        <v>0</v>
      </c>
      <c r="AG13" s="92">
        <v>0</v>
      </c>
      <c r="AH13" s="99">
        <v>1</v>
      </c>
      <c r="AI13" s="99">
        <v>0</v>
      </c>
      <c r="AJ13" s="92">
        <v>0</v>
      </c>
      <c r="AK13" s="92">
        <v>0</v>
      </c>
      <c r="AL13" s="92"/>
      <c r="AM13" s="92"/>
      <c r="AN13" s="92"/>
      <c r="AO13" s="92"/>
      <c r="AP13" s="92"/>
      <c r="AQ13" s="92"/>
      <c r="AR13" s="14"/>
      <c r="AS13" s="92"/>
      <c r="AT13" s="14"/>
      <c r="AU13" s="92">
        <f t="shared" si="5"/>
        <v>0.125</v>
      </c>
      <c r="AV13" s="92">
        <f t="shared" si="6"/>
        <v>2</v>
      </c>
      <c r="AW13" s="92">
        <f t="shared" si="7"/>
        <v>0.8571428571428571</v>
      </c>
      <c r="AX13" s="92">
        <f t="shared" si="8"/>
        <v>0.25</v>
      </c>
      <c r="AY13" s="92">
        <f t="shared" si="9"/>
        <v>1</v>
      </c>
      <c r="AZ13" s="55">
        <f t="shared" si="10"/>
        <v>1.1666666666666667</v>
      </c>
      <c r="BA13" s="98">
        <f t="shared" si="11"/>
        <v>0.16666666666666666</v>
      </c>
      <c r="BB13" s="55">
        <f t="shared" si="12"/>
        <v>0.16666666666666666</v>
      </c>
      <c r="BC13" s="55">
        <f t="shared" si="13"/>
        <v>0.66666666666666663</v>
      </c>
      <c r="BD13" s="55">
        <f t="shared" si="14"/>
        <v>0.16666666666666666</v>
      </c>
      <c r="BE13" s="92">
        <f t="shared" si="15"/>
        <v>1</v>
      </c>
      <c r="BF13" s="92">
        <f t="shared" si="1"/>
        <v>1</v>
      </c>
      <c r="BG13" s="92">
        <f t="shared" si="2"/>
        <v>0</v>
      </c>
      <c r="BH13" s="27">
        <f t="shared" si="3"/>
        <v>1</v>
      </c>
      <c r="BI13" s="27">
        <f t="shared" si="16"/>
        <v>0.16666666666666666</v>
      </c>
      <c r="BJ13" s="27">
        <f t="shared" si="17"/>
        <v>0</v>
      </c>
      <c r="BK13" s="27">
        <f t="shared" si="4"/>
        <v>0.16666666666666666</v>
      </c>
    </row>
    <row r="14" spans="1:78" ht="116" x14ac:dyDescent="0.35">
      <c r="A14" s="1">
        <v>4</v>
      </c>
      <c r="B14" s="1" t="s">
        <v>52</v>
      </c>
      <c r="C14" s="1" t="s">
        <v>53</v>
      </c>
      <c r="D14" s="111" t="s">
        <v>78</v>
      </c>
      <c r="E14" s="8" t="s">
        <v>75</v>
      </c>
      <c r="F14" s="17" t="s">
        <v>149</v>
      </c>
      <c r="G14" s="1"/>
      <c r="H14" s="19">
        <f>ROUNDUP(I14/8,0)</f>
        <v>44</v>
      </c>
      <c r="I14" s="92">
        <v>350</v>
      </c>
      <c r="J14" s="21">
        <v>324</v>
      </c>
      <c r="K14" s="21">
        <v>350</v>
      </c>
      <c r="L14" s="24" t="s">
        <v>129</v>
      </c>
      <c r="M14" s="92" t="s">
        <v>130</v>
      </c>
      <c r="N14" s="9" t="s">
        <v>129</v>
      </c>
      <c r="O14" s="24">
        <v>45762</v>
      </c>
      <c r="P14" s="24">
        <v>45716</v>
      </c>
      <c r="Q14" s="24">
        <v>45723</v>
      </c>
      <c r="R14" s="24">
        <v>45723</v>
      </c>
      <c r="S14" s="24">
        <v>45728</v>
      </c>
      <c r="T14" s="24">
        <v>45730</v>
      </c>
      <c r="U14" s="24">
        <v>45752</v>
      </c>
      <c r="V14" s="24">
        <v>45753</v>
      </c>
      <c r="W14" s="24">
        <v>45762</v>
      </c>
      <c r="X14" s="27">
        <v>18</v>
      </c>
      <c r="Y14" s="27">
        <v>34</v>
      </c>
      <c r="Z14" s="27">
        <v>218</v>
      </c>
      <c r="AA14" s="27">
        <v>12</v>
      </c>
      <c r="AB14" s="27">
        <v>42</v>
      </c>
      <c r="AC14" s="27">
        <v>12</v>
      </c>
      <c r="AD14" s="27">
        <v>8</v>
      </c>
      <c r="AE14" s="27">
        <v>6</v>
      </c>
      <c r="AF14" s="99">
        <v>1</v>
      </c>
      <c r="AG14" s="99">
        <v>1</v>
      </c>
      <c r="AH14" s="99">
        <v>2</v>
      </c>
      <c r="AI14" s="99">
        <v>3</v>
      </c>
      <c r="AJ14" s="92">
        <v>1</v>
      </c>
      <c r="AK14" s="92">
        <v>1</v>
      </c>
      <c r="AL14" s="92"/>
      <c r="AM14" s="92"/>
      <c r="AN14" s="92"/>
      <c r="AO14" s="92">
        <v>0</v>
      </c>
      <c r="AP14" s="92">
        <v>0</v>
      </c>
      <c r="AQ14" s="92">
        <v>0</v>
      </c>
      <c r="AR14" s="14"/>
      <c r="AS14" s="92">
        <v>0</v>
      </c>
      <c r="AT14" s="14"/>
      <c r="AU14" s="92">
        <f t="shared" si="5"/>
        <v>0.12571428571428572</v>
      </c>
      <c r="AV14" s="92">
        <f t="shared" si="6"/>
        <v>1.6923076923076923</v>
      </c>
      <c r="AW14" s="92">
        <f t="shared" si="7"/>
        <v>1.1000000000000001</v>
      </c>
      <c r="AX14" s="92">
        <f t="shared" si="8"/>
        <v>0.19130434782608696</v>
      </c>
      <c r="AY14" s="92">
        <f t="shared" si="9"/>
        <v>0.81481481481481477</v>
      </c>
      <c r="AZ14" s="55">
        <f t="shared" si="10"/>
        <v>1.0454545454545454</v>
      </c>
      <c r="BA14" s="98">
        <f t="shared" si="11"/>
        <v>0.15909090909090909</v>
      </c>
      <c r="BB14" s="55">
        <f t="shared" si="12"/>
        <v>0.11363636363636363</v>
      </c>
      <c r="BC14" s="55">
        <f t="shared" si="13"/>
        <v>0.5</v>
      </c>
      <c r="BD14" s="55">
        <f t="shared" si="14"/>
        <v>0.20454545454545456</v>
      </c>
      <c r="BE14" s="92">
        <f t="shared" si="15"/>
        <v>0.77777777777777779</v>
      </c>
      <c r="BF14" s="92">
        <f t="shared" si="1"/>
        <v>7</v>
      </c>
      <c r="BG14" s="92">
        <f t="shared" si="2"/>
        <v>2</v>
      </c>
      <c r="BH14" s="27">
        <f t="shared" si="3"/>
        <v>0.57142857142857151</v>
      </c>
      <c r="BI14" s="27">
        <f t="shared" si="16"/>
        <v>9.0909090909090912E-2</v>
      </c>
      <c r="BJ14" s="27">
        <f t="shared" si="17"/>
        <v>6.8181818181818177E-2</v>
      </c>
      <c r="BK14" s="27">
        <f t="shared" si="4"/>
        <v>4.5454545454545456E-2</v>
      </c>
    </row>
    <row r="15" spans="1:78" ht="42" customHeight="1" x14ac:dyDescent="0.35">
      <c r="A15" s="1"/>
      <c r="B15" s="1"/>
      <c r="C15" s="1"/>
      <c r="D15" s="112"/>
      <c r="E15" s="10" t="s">
        <v>79</v>
      </c>
      <c r="F15" s="17" t="s">
        <v>80</v>
      </c>
      <c r="G15" s="1"/>
      <c r="H15" s="19">
        <f t="shared" ref="H15:H17" si="19">ROUNDUP(I15/8,0)</f>
        <v>23</v>
      </c>
      <c r="I15" s="92">
        <v>183</v>
      </c>
      <c r="J15" s="21">
        <v>160</v>
      </c>
      <c r="K15" s="21">
        <v>183</v>
      </c>
      <c r="L15" s="74">
        <v>45692</v>
      </c>
      <c r="M15" s="21" t="s">
        <v>81</v>
      </c>
      <c r="N15" s="25">
        <v>45692</v>
      </c>
      <c r="O15" s="24">
        <v>45773</v>
      </c>
      <c r="P15" s="24">
        <v>45749</v>
      </c>
      <c r="Q15" s="24">
        <v>45750</v>
      </c>
      <c r="R15" s="24">
        <v>45751</v>
      </c>
      <c r="S15" s="24">
        <v>45754</v>
      </c>
      <c r="T15" s="24">
        <v>45755</v>
      </c>
      <c r="U15" s="24">
        <v>45765</v>
      </c>
      <c r="V15" s="24">
        <v>45766</v>
      </c>
      <c r="W15" s="24">
        <v>45773</v>
      </c>
      <c r="X15" s="27">
        <v>12</v>
      </c>
      <c r="Y15" s="27">
        <v>18</v>
      </c>
      <c r="Z15" s="27">
        <v>98</v>
      </c>
      <c r="AA15" s="27">
        <v>8</v>
      </c>
      <c r="AB15" s="27">
        <v>26</v>
      </c>
      <c r="AC15" s="27">
        <v>10</v>
      </c>
      <c r="AD15" s="27">
        <v>6</v>
      </c>
      <c r="AE15" s="27">
        <v>5</v>
      </c>
      <c r="AF15" s="99">
        <v>1</v>
      </c>
      <c r="AG15" s="99">
        <v>1</v>
      </c>
      <c r="AH15" s="99">
        <v>3</v>
      </c>
      <c r="AI15" s="99">
        <v>1</v>
      </c>
      <c r="AJ15" s="92">
        <v>1</v>
      </c>
      <c r="AK15" s="92">
        <v>1</v>
      </c>
      <c r="AL15" s="92"/>
      <c r="AM15" s="92"/>
      <c r="AN15" s="92"/>
      <c r="AO15" s="92"/>
      <c r="AP15" s="92"/>
      <c r="AQ15" s="92"/>
      <c r="AR15" s="14"/>
      <c r="AS15" s="92"/>
      <c r="AT15" s="14"/>
      <c r="AU15" s="92">
        <f t="shared" si="5"/>
        <v>0.12568306010928962</v>
      </c>
      <c r="AV15" s="92">
        <f t="shared" si="6"/>
        <v>1.2777777777777777</v>
      </c>
      <c r="AW15" s="92">
        <f t="shared" si="7"/>
        <v>1</v>
      </c>
      <c r="AX15" s="92">
        <f t="shared" si="8"/>
        <v>0.21698113207547171</v>
      </c>
      <c r="AY15" s="92">
        <f t="shared" si="9"/>
        <v>0.63888888888888884</v>
      </c>
      <c r="AZ15" s="55">
        <f t="shared" si="10"/>
        <v>1.0434782608695652</v>
      </c>
      <c r="BA15" s="98">
        <f t="shared" si="11"/>
        <v>4.3478260869565216E-2</v>
      </c>
      <c r="BB15" s="55">
        <f t="shared" si="12"/>
        <v>0.13043478260869565</v>
      </c>
      <c r="BC15" s="55">
        <f t="shared" si="13"/>
        <v>0.43478260869565216</v>
      </c>
      <c r="BD15" s="55">
        <f t="shared" si="14"/>
        <v>0.30434782608695654</v>
      </c>
      <c r="BE15" s="92">
        <f t="shared" si="15"/>
        <v>0.75</v>
      </c>
      <c r="BF15" s="92">
        <f t="shared" si="1"/>
        <v>6</v>
      </c>
      <c r="BG15" s="92">
        <f t="shared" si="2"/>
        <v>2</v>
      </c>
      <c r="BH15" s="27">
        <f t="shared" si="3"/>
        <v>0.83333333333333337</v>
      </c>
      <c r="BI15" s="27">
        <f t="shared" si="16"/>
        <v>0.21739130434782608</v>
      </c>
      <c r="BJ15" s="27">
        <f t="shared" si="17"/>
        <v>4.3478260869565216E-2</v>
      </c>
      <c r="BK15" s="27">
        <f t="shared" si="4"/>
        <v>0.13043478260869565</v>
      </c>
    </row>
    <row r="16" spans="1:78" s="57" customFormat="1" ht="42" customHeight="1" x14ac:dyDescent="0.35">
      <c r="A16" s="54"/>
      <c r="B16" s="54"/>
      <c r="C16" s="54"/>
      <c r="D16" s="112"/>
      <c r="E16" s="50" t="s">
        <v>69</v>
      </c>
      <c r="F16" s="56" t="s">
        <v>82</v>
      </c>
      <c r="G16" s="54"/>
      <c r="H16" s="19">
        <f t="shared" si="19"/>
        <v>3</v>
      </c>
      <c r="I16" s="55">
        <v>24</v>
      </c>
      <c r="J16" s="55">
        <v>30</v>
      </c>
      <c r="K16" s="55">
        <v>24</v>
      </c>
      <c r="L16" s="55" t="s">
        <v>58</v>
      </c>
      <c r="M16" s="55" t="s">
        <v>131</v>
      </c>
      <c r="N16" s="55" t="s">
        <v>58</v>
      </c>
      <c r="O16" s="79">
        <v>45768</v>
      </c>
      <c r="P16" s="78">
        <v>45762</v>
      </c>
      <c r="Q16" s="78">
        <v>45762</v>
      </c>
      <c r="R16" s="78">
        <v>45763</v>
      </c>
      <c r="S16" s="78">
        <v>45763</v>
      </c>
      <c r="T16" s="78">
        <v>45764</v>
      </c>
      <c r="U16" s="78">
        <v>45766</v>
      </c>
      <c r="V16" s="79">
        <v>45766</v>
      </c>
      <c r="W16" s="79">
        <v>45768</v>
      </c>
      <c r="X16" s="55">
        <v>2</v>
      </c>
      <c r="Y16" s="55">
        <v>3</v>
      </c>
      <c r="Z16" s="55">
        <v>14</v>
      </c>
      <c r="AA16" s="55">
        <v>1</v>
      </c>
      <c r="AB16" s="50">
        <v>2</v>
      </c>
      <c r="AC16" s="55">
        <v>0</v>
      </c>
      <c r="AD16" s="55">
        <v>1</v>
      </c>
      <c r="AE16" s="55">
        <v>1</v>
      </c>
      <c r="AF16" s="55">
        <v>0</v>
      </c>
      <c r="AG16" s="55">
        <v>1</v>
      </c>
      <c r="AH16" s="55">
        <v>2</v>
      </c>
      <c r="AI16" s="55">
        <v>0</v>
      </c>
      <c r="AJ16" s="55">
        <v>3</v>
      </c>
      <c r="AK16" s="55">
        <v>3</v>
      </c>
      <c r="AL16" s="55"/>
      <c r="AM16" s="55"/>
      <c r="AN16" s="55"/>
      <c r="AO16" s="55">
        <v>0</v>
      </c>
      <c r="AP16" s="55"/>
      <c r="AQ16" s="55"/>
      <c r="AR16" s="97"/>
      <c r="AS16" s="55"/>
      <c r="AT16" s="97"/>
      <c r="AU16" s="55">
        <f t="shared" si="5"/>
        <v>0.125</v>
      </c>
      <c r="AV16" s="55">
        <f t="shared" si="6"/>
        <v>1</v>
      </c>
      <c r="AW16" s="55">
        <f t="shared" si="7"/>
        <v>0.75</v>
      </c>
      <c r="AX16" s="55">
        <f t="shared" si="8"/>
        <v>0.2</v>
      </c>
      <c r="AY16" s="55">
        <f t="shared" si="9"/>
        <v>1.5</v>
      </c>
      <c r="AZ16" s="55">
        <f t="shared" si="10"/>
        <v>2</v>
      </c>
      <c r="BA16" s="98">
        <f t="shared" si="11"/>
        <v>0</v>
      </c>
      <c r="BB16" s="55">
        <f t="shared" si="12"/>
        <v>0</v>
      </c>
      <c r="BC16" s="55">
        <f t="shared" si="13"/>
        <v>0.66666666666666663</v>
      </c>
      <c r="BD16" s="55">
        <f t="shared" si="14"/>
        <v>0.66666666666666663</v>
      </c>
      <c r="BE16" s="55">
        <f t="shared" si="15"/>
        <v>0.33333333333333331</v>
      </c>
      <c r="BF16" s="55">
        <f t="shared" si="1"/>
        <v>3</v>
      </c>
      <c r="BG16" s="55">
        <f t="shared" si="2"/>
        <v>6</v>
      </c>
      <c r="BH16" s="27">
        <f t="shared" si="3"/>
        <v>1</v>
      </c>
      <c r="BI16" s="27">
        <f t="shared" si="16"/>
        <v>1</v>
      </c>
      <c r="BJ16" s="27">
        <f t="shared" si="17"/>
        <v>0</v>
      </c>
      <c r="BK16" s="27">
        <f t="shared" si="4"/>
        <v>0.66666666666666663</v>
      </c>
      <c r="BL16" s="61"/>
      <c r="BM16" s="61"/>
      <c r="BN16" s="61"/>
      <c r="BO16" s="61"/>
      <c r="BP16" s="61"/>
      <c r="BQ16" s="61"/>
      <c r="BR16" s="61"/>
      <c r="BS16" s="61"/>
      <c r="BT16" s="61"/>
      <c r="BU16" s="61"/>
      <c r="BV16" s="61"/>
      <c r="BW16" s="61"/>
      <c r="BX16" s="61"/>
      <c r="BY16" s="61"/>
      <c r="BZ16" s="61"/>
    </row>
    <row r="17" spans="1:78" ht="42" customHeight="1" x14ac:dyDescent="0.35">
      <c r="A17" s="1"/>
      <c r="B17" s="1"/>
      <c r="C17" s="1"/>
      <c r="D17" s="112"/>
      <c r="E17" s="30" t="s">
        <v>59</v>
      </c>
      <c r="F17" s="17" t="s">
        <v>83</v>
      </c>
      <c r="G17" s="1"/>
      <c r="H17" s="19">
        <f t="shared" si="19"/>
        <v>11</v>
      </c>
      <c r="I17" s="92">
        <v>88</v>
      </c>
      <c r="J17" s="21">
        <v>96</v>
      </c>
      <c r="K17" s="21">
        <v>88</v>
      </c>
      <c r="L17" s="92" t="s">
        <v>132</v>
      </c>
      <c r="M17" s="92" t="s">
        <v>121</v>
      </c>
      <c r="N17" s="9" t="s">
        <v>132</v>
      </c>
      <c r="O17" s="24">
        <v>45803</v>
      </c>
      <c r="P17" s="24">
        <v>45790</v>
      </c>
      <c r="Q17" s="24">
        <v>45791</v>
      </c>
      <c r="R17" s="24">
        <v>45792</v>
      </c>
      <c r="S17" s="24">
        <v>45793</v>
      </c>
      <c r="T17" s="24">
        <v>45794</v>
      </c>
      <c r="U17" s="24">
        <v>45800</v>
      </c>
      <c r="V17" s="24">
        <v>45801</v>
      </c>
      <c r="W17" s="24">
        <v>45803</v>
      </c>
      <c r="X17" s="27">
        <v>6</v>
      </c>
      <c r="Y17" s="27">
        <v>10</v>
      </c>
      <c r="Z17" s="27">
        <v>51</v>
      </c>
      <c r="AA17" s="27">
        <v>2</v>
      </c>
      <c r="AB17" s="27">
        <v>12</v>
      </c>
      <c r="AC17" s="27">
        <v>3</v>
      </c>
      <c r="AD17" s="27">
        <v>2</v>
      </c>
      <c r="AE17" s="27">
        <v>2</v>
      </c>
      <c r="AF17" s="99">
        <v>1</v>
      </c>
      <c r="AG17" s="99">
        <v>1</v>
      </c>
      <c r="AH17" s="99">
        <v>2</v>
      </c>
      <c r="AI17" s="99">
        <v>1</v>
      </c>
      <c r="AJ17" s="92">
        <v>0</v>
      </c>
      <c r="AK17" s="92">
        <v>1</v>
      </c>
      <c r="AL17" s="92"/>
      <c r="AM17" s="92"/>
      <c r="AN17" s="92"/>
      <c r="AO17" s="92"/>
      <c r="AP17" s="92"/>
      <c r="AQ17" s="92"/>
      <c r="AR17" s="14"/>
      <c r="AS17" s="92"/>
      <c r="AT17" s="14"/>
      <c r="AU17" s="92">
        <f t="shared" si="5"/>
        <v>0.125</v>
      </c>
      <c r="AV17" s="92">
        <f t="shared" si="6"/>
        <v>1.375</v>
      </c>
      <c r="AW17" s="92">
        <f t="shared" si="7"/>
        <v>0.91666666666666663</v>
      </c>
      <c r="AX17" s="92">
        <f t="shared" si="8"/>
        <v>0.20754716981132076</v>
      </c>
      <c r="AY17" s="92">
        <f t="shared" si="9"/>
        <v>0.73333333333333328</v>
      </c>
      <c r="AZ17" s="55">
        <f t="shared" si="10"/>
        <v>1.1818181818181819</v>
      </c>
      <c r="BA17" s="98">
        <f t="shared" si="11"/>
        <v>9.0909090909090912E-2</v>
      </c>
      <c r="BB17" s="55">
        <f t="shared" si="12"/>
        <v>9.0909090909090912E-2</v>
      </c>
      <c r="BC17" s="55">
        <f t="shared" si="13"/>
        <v>0.54545454545454541</v>
      </c>
      <c r="BD17" s="55">
        <f t="shared" si="14"/>
        <v>0.18181818181818182</v>
      </c>
      <c r="BE17" s="92">
        <f t="shared" si="15"/>
        <v>0.83333333333333337</v>
      </c>
      <c r="BF17" s="92">
        <f t="shared" si="1"/>
        <v>5</v>
      </c>
      <c r="BG17" s="92">
        <f t="shared" si="2"/>
        <v>1</v>
      </c>
      <c r="BH17" s="27">
        <f t="shared" si="3"/>
        <v>0.79999999999999993</v>
      </c>
      <c r="BI17" s="27">
        <f t="shared" si="16"/>
        <v>0.36363636363636365</v>
      </c>
      <c r="BJ17" s="27">
        <f t="shared" si="17"/>
        <v>9.0909090909090912E-2</v>
      </c>
      <c r="BK17" s="27">
        <f t="shared" si="4"/>
        <v>0.18181818181818182</v>
      </c>
    </row>
    <row r="18" spans="1:78" ht="42" customHeight="1" x14ac:dyDescent="0.35">
      <c r="A18" s="1">
        <v>5</v>
      </c>
      <c r="B18" s="1" t="s">
        <v>52</v>
      </c>
      <c r="C18" s="1" t="s">
        <v>53</v>
      </c>
      <c r="D18" s="108" t="s">
        <v>84</v>
      </c>
      <c r="E18" s="12" t="s">
        <v>69</v>
      </c>
      <c r="F18" s="26" t="s">
        <v>85</v>
      </c>
      <c r="G18" s="13"/>
      <c r="H18" s="19">
        <f>ROUNDUP(I18/8.3,0)</f>
        <v>6</v>
      </c>
      <c r="I18" s="92">
        <v>48</v>
      </c>
      <c r="J18" s="92">
        <v>72</v>
      </c>
      <c r="K18" s="92">
        <v>40</v>
      </c>
      <c r="L18" s="24">
        <f>+'[1]Jan to June'!S20</f>
        <v>45827</v>
      </c>
      <c r="M18" s="92" t="s">
        <v>133</v>
      </c>
      <c r="N18" s="9" t="s">
        <v>134</v>
      </c>
      <c r="O18" s="24">
        <v>45831</v>
      </c>
      <c r="P18" s="24">
        <v>45825</v>
      </c>
      <c r="Q18" s="24">
        <v>45826</v>
      </c>
      <c r="R18" s="24">
        <v>45826</v>
      </c>
      <c r="S18" s="24">
        <v>45827</v>
      </c>
      <c r="T18" s="24">
        <v>45827</v>
      </c>
      <c r="U18" s="24">
        <v>45830</v>
      </c>
      <c r="V18" s="24">
        <v>45831</v>
      </c>
      <c r="W18" s="24">
        <v>45831</v>
      </c>
      <c r="X18" s="27">
        <v>4</v>
      </c>
      <c r="Y18" s="27">
        <v>6</v>
      </c>
      <c r="Z18" s="27">
        <v>18</v>
      </c>
      <c r="AA18" s="27">
        <v>1</v>
      </c>
      <c r="AB18" s="27">
        <v>6</v>
      </c>
      <c r="AC18" s="27">
        <v>1</v>
      </c>
      <c r="AD18" s="27">
        <v>2</v>
      </c>
      <c r="AE18" s="27">
        <v>2</v>
      </c>
      <c r="AF18" s="99">
        <v>1</v>
      </c>
      <c r="AG18" s="92">
        <v>0</v>
      </c>
      <c r="AH18" s="99">
        <v>0</v>
      </c>
      <c r="AI18" s="92">
        <v>1</v>
      </c>
      <c r="AJ18" s="92">
        <v>0</v>
      </c>
      <c r="AK18" s="92">
        <v>1</v>
      </c>
      <c r="AL18" s="92"/>
      <c r="AM18" s="92">
        <v>0</v>
      </c>
      <c r="AN18" s="92">
        <v>0</v>
      </c>
      <c r="AO18" s="92">
        <v>0</v>
      </c>
      <c r="AP18" s="92">
        <v>0</v>
      </c>
      <c r="AQ18" s="92">
        <v>0</v>
      </c>
      <c r="AR18" s="14"/>
      <c r="AS18" s="92">
        <v>0</v>
      </c>
      <c r="AT18" s="14"/>
      <c r="AU18" s="92">
        <f t="shared" si="5"/>
        <v>0.125</v>
      </c>
      <c r="AV18" s="92">
        <f t="shared" si="6"/>
        <v>1</v>
      </c>
      <c r="AW18" s="92">
        <f t="shared" si="7"/>
        <v>0.75</v>
      </c>
      <c r="AX18" s="92">
        <f t="shared" si="8"/>
        <v>0.31578947368421051</v>
      </c>
      <c r="AY18" s="92">
        <f t="shared" si="9"/>
        <v>0.8571428571428571</v>
      </c>
      <c r="AZ18" s="55">
        <f t="shared" si="10"/>
        <v>1</v>
      </c>
      <c r="BA18" s="98">
        <f t="shared" si="11"/>
        <v>0.16666666666666666</v>
      </c>
      <c r="BB18" s="55">
        <f t="shared" si="12"/>
        <v>0.16666666666666666</v>
      </c>
      <c r="BC18" s="55">
        <f t="shared" si="13"/>
        <v>0.5</v>
      </c>
      <c r="BD18" s="55">
        <f t="shared" si="14"/>
        <v>0</v>
      </c>
      <c r="BE18" s="92">
        <f t="shared" si="15"/>
        <v>0.66666666666666663</v>
      </c>
      <c r="BF18" s="92">
        <f t="shared" si="1"/>
        <v>2</v>
      </c>
      <c r="BG18" s="92">
        <f t="shared" si="2"/>
        <v>1</v>
      </c>
      <c r="BH18" s="27">
        <f t="shared" si="3"/>
        <v>0.5</v>
      </c>
      <c r="BI18" s="27">
        <f t="shared" si="16"/>
        <v>0.16666666666666666</v>
      </c>
      <c r="BJ18" s="27">
        <f t="shared" si="17"/>
        <v>0.16666666666666666</v>
      </c>
      <c r="BK18" s="27">
        <f t="shared" si="4"/>
        <v>0</v>
      </c>
    </row>
    <row r="19" spans="1:78" ht="42" customHeight="1" x14ac:dyDescent="0.35">
      <c r="A19" s="1"/>
      <c r="B19" s="1"/>
      <c r="C19" s="1"/>
      <c r="D19" s="109"/>
      <c r="E19" s="10" t="s">
        <v>86</v>
      </c>
      <c r="F19" s="26" t="s">
        <v>87</v>
      </c>
      <c r="G19" s="13"/>
      <c r="H19" s="19">
        <f t="shared" ref="H19:H20" si="20">ROUNDUP(I19/8.3,0)</f>
        <v>2</v>
      </c>
      <c r="I19" s="92">
        <v>12</v>
      </c>
      <c r="J19" s="92">
        <v>16</v>
      </c>
      <c r="K19" s="92">
        <v>12</v>
      </c>
      <c r="L19" s="92" t="s">
        <v>135</v>
      </c>
      <c r="M19" s="92" t="s">
        <v>133</v>
      </c>
      <c r="N19" s="9" t="s">
        <v>135</v>
      </c>
      <c r="O19" s="24">
        <v>45832</v>
      </c>
      <c r="P19" s="24">
        <v>45830</v>
      </c>
      <c r="Q19" s="24">
        <v>45830</v>
      </c>
      <c r="R19" s="24">
        <v>45830</v>
      </c>
      <c r="S19" s="24">
        <v>45830</v>
      </c>
      <c r="T19" s="24">
        <v>45831</v>
      </c>
      <c r="U19" s="24">
        <v>45832</v>
      </c>
      <c r="V19" s="24">
        <v>45832</v>
      </c>
      <c r="W19" s="24">
        <v>45832</v>
      </c>
      <c r="X19" s="27">
        <v>1</v>
      </c>
      <c r="Y19" s="27">
        <v>2</v>
      </c>
      <c r="Z19" s="27">
        <v>6</v>
      </c>
      <c r="AA19" s="27">
        <v>1</v>
      </c>
      <c r="AB19" s="27">
        <v>1</v>
      </c>
      <c r="AC19" s="27">
        <v>0</v>
      </c>
      <c r="AD19" s="27">
        <v>1</v>
      </c>
      <c r="AE19" s="27">
        <v>0</v>
      </c>
      <c r="AF19" s="92">
        <v>0</v>
      </c>
      <c r="AG19" s="92">
        <v>0</v>
      </c>
      <c r="AH19" s="99">
        <v>1</v>
      </c>
      <c r="AI19" s="92">
        <v>0</v>
      </c>
      <c r="AJ19" s="92">
        <v>0</v>
      </c>
      <c r="AK19" s="92">
        <v>0</v>
      </c>
      <c r="AL19" s="92"/>
      <c r="AM19" s="92"/>
      <c r="AN19" s="92"/>
      <c r="AO19" s="92"/>
      <c r="AP19" s="92"/>
      <c r="AQ19" s="92"/>
      <c r="AR19" s="14"/>
      <c r="AS19" s="92"/>
      <c r="AT19" s="14"/>
      <c r="AU19" s="92">
        <f t="shared" si="5"/>
        <v>0.16666666666666666</v>
      </c>
      <c r="AV19" s="92">
        <f t="shared" si="6"/>
        <v>1</v>
      </c>
      <c r="AW19" s="92">
        <f t="shared" si="7"/>
        <v>1</v>
      </c>
      <c r="AX19" s="92">
        <f t="shared" si="8"/>
        <v>0.2857142857142857</v>
      </c>
      <c r="AY19" s="92">
        <f t="shared" si="9"/>
        <v>2</v>
      </c>
      <c r="AZ19" s="55">
        <f t="shared" si="10"/>
        <v>1</v>
      </c>
      <c r="BA19" s="98">
        <f t="shared" si="11"/>
        <v>0</v>
      </c>
      <c r="BB19" s="55">
        <f t="shared" si="12"/>
        <v>0</v>
      </c>
      <c r="BC19" s="55">
        <f t="shared" si="13"/>
        <v>0.5</v>
      </c>
      <c r="BD19" s="55">
        <f t="shared" si="14"/>
        <v>0</v>
      </c>
      <c r="BE19" s="92">
        <f t="shared" si="15"/>
        <v>1</v>
      </c>
      <c r="BF19" s="92">
        <f t="shared" si="1"/>
        <v>1</v>
      </c>
      <c r="BG19" s="92">
        <f t="shared" si="2"/>
        <v>0</v>
      </c>
      <c r="BH19" s="27">
        <f t="shared" si="3"/>
        <v>1</v>
      </c>
      <c r="BI19" s="27">
        <f t="shared" si="16"/>
        <v>0.5</v>
      </c>
      <c r="BJ19" s="27">
        <f t="shared" si="17"/>
        <v>0</v>
      </c>
      <c r="BK19" s="27">
        <f t="shared" si="4"/>
        <v>0.5</v>
      </c>
    </row>
    <row r="20" spans="1:78" s="57" customFormat="1" ht="42" customHeight="1" x14ac:dyDescent="0.35">
      <c r="A20" s="54"/>
      <c r="B20" s="54"/>
      <c r="C20" s="54"/>
      <c r="D20" s="110"/>
      <c r="E20" s="52" t="s">
        <v>88</v>
      </c>
      <c r="F20" s="58" t="s">
        <v>89</v>
      </c>
      <c r="G20" s="55"/>
      <c r="H20" s="19">
        <f t="shared" si="20"/>
        <v>5</v>
      </c>
      <c r="I20" s="55">
        <v>36</v>
      </c>
      <c r="J20" s="55">
        <v>52</v>
      </c>
      <c r="K20" s="55">
        <v>28</v>
      </c>
      <c r="L20" s="55" t="s">
        <v>136</v>
      </c>
      <c r="M20" s="55" t="s">
        <v>137</v>
      </c>
      <c r="N20" s="55" t="s">
        <v>134</v>
      </c>
      <c r="O20" s="78">
        <v>45835</v>
      </c>
      <c r="P20" s="78">
        <v>45825</v>
      </c>
      <c r="Q20" s="78">
        <v>45825</v>
      </c>
      <c r="R20" s="79">
        <v>45826</v>
      </c>
      <c r="S20" s="79">
        <v>45827</v>
      </c>
      <c r="T20" s="78">
        <v>45828</v>
      </c>
      <c r="U20" s="78">
        <v>45833</v>
      </c>
      <c r="V20" s="78">
        <v>45834</v>
      </c>
      <c r="W20" s="78">
        <v>45835</v>
      </c>
      <c r="X20" s="55">
        <v>2</v>
      </c>
      <c r="Y20" s="50">
        <v>3</v>
      </c>
      <c r="Z20" s="55">
        <v>12</v>
      </c>
      <c r="AA20" s="55">
        <v>1</v>
      </c>
      <c r="AB20" s="55">
        <v>7</v>
      </c>
      <c r="AC20" s="55">
        <v>1</v>
      </c>
      <c r="AD20" s="55">
        <v>1</v>
      </c>
      <c r="AE20" s="50">
        <v>1</v>
      </c>
      <c r="AF20" s="55">
        <v>0</v>
      </c>
      <c r="AG20" s="55">
        <v>1</v>
      </c>
      <c r="AH20" s="55">
        <v>1</v>
      </c>
      <c r="AI20" s="55">
        <v>1</v>
      </c>
      <c r="AJ20" s="55">
        <v>1</v>
      </c>
      <c r="AK20" s="55">
        <v>2</v>
      </c>
      <c r="AL20" s="55"/>
      <c r="AM20" s="55"/>
      <c r="AN20" s="55"/>
      <c r="AO20" s="55"/>
      <c r="AP20" s="55"/>
      <c r="AQ20" s="55"/>
      <c r="AR20" s="97"/>
      <c r="AS20" s="55"/>
      <c r="AT20" s="97"/>
      <c r="AU20" s="55">
        <f t="shared" si="5"/>
        <v>0.1388888888888889</v>
      </c>
      <c r="AV20" s="55">
        <f t="shared" si="6"/>
        <v>1.6666666666666667</v>
      </c>
      <c r="AW20" s="55">
        <f t="shared" si="7"/>
        <v>1.25</v>
      </c>
      <c r="AX20" s="55">
        <f t="shared" si="8"/>
        <v>0.38461538461538464</v>
      </c>
      <c r="AY20" s="55">
        <f t="shared" si="9"/>
        <v>0.625</v>
      </c>
      <c r="AZ20" s="55">
        <f t="shared" si="10"/>
        <v>2</v>
      </c>
      <c r="BA20" s="98">
        <f t="shared" si="11"/>
        <v>0</v>
      </c>
      <c r="BB20" s="55">
        <f t="shared" si="12"/>
        <v>0.2</v>
      </c>
      <c r="BC20" s="55">
        <f t="shared" si="13"/>
        <v>1</v>
      </c>
      <c r="BD20" s="55">
        <f t="shared" si="14"/>
        <v>0.2</v>
      </c>
      <c r="BE20" s="55">
        <f t="shared" si="15"/>
        <v>0.5</v>
      </c>
      <c r="BF20" s="55">
        <f t="shared" si="1"/>
        <v>3</v>
      </c>
      <c r="BG20" s="55">
        <f t="shared" si="2"/>
        <v>3</v>
      </c>
      <c r="BH20" s="27">
        <f t="shared" si="3"/>
        <v>0.66666666666666663</v>
      </c>
      <c r="BI20" s="27">
        <f t="shared" si="16"/>
        <v>0.4</v>
      </c>
      <c r="BJ20" s="27">
        <f t="shared" si="17"/>
        <v>0.2</v>
      </c>
      <c r="BK20" s="27">
        <f t="shared" si="4"/>
        <v>0.2</v>
      </c>
      <c r="BL20" s="61"/>
      <c r="BM20" s="61"/>
      <c r="BN20" s="61"/>
      <c r="BO20" s="61"/>
      <c r="BP20" s="61"/>
      <c r="BQ20" s="61"/>
      <c r="BR20" s="61"/>
      <c r="BS20" s="61"/>
      <c r="BT20" s="61"/>
      <c r="BU20" s="61"/>
      <c r="BV20" s="61"/>
      <c r="BW20" s="61"/>
      <c r="BX20" s="61"/>
      <c r="BY20" s="61"/>
      <c r="BZ20" s="61"/>
    </row>
    <row r="21" spans="1:78" ht="42" customHeight="1" x14ac:dyDescent="0.35">
      <c r="A21" s="1"/>
      <c r="B21" s="1"/>
      <c r="C21" s="1"/>
      <c r="D21" s="108" t="s">
        <v>90</v>
      </c>
      <c r="E21" s="12" t="s">
        <v>73</v>
      </c>
      <c r="F21" s="17" t="s">
        <v>91</v>
      </c>
      <c r="G21" s="1"/>
      <c r="H21" s="19">
        <f>ROUNDUP(I21/8.3,0)</f>
        <v>30</v>
      </c>
      <c r="I21" s="92">
        <v>248</v>
      </c>
      <c r="J21" s="21">
        <v>310</v>
      </c>
      <c r="K21" s="93">
        <v>248</v>
      </c>
      <c r="L21" s="93" t="s">
        <v>123</v>
      </c>
      <c r="M21" s="77">
        <v>45782</v>
      </c>
      <c r="N21" s="96" t="s">
        <v>72</v>
      </c>
      <c r="O21" s="77">
        <v>45777</v>
      </c>
      <c r="P21" s="77">
        <v>45744</v>
      </c>
      <c r="Q21" s="77">
        <v>45747</v>
      </c>
      <c r="R21" s="77">
        <v>45748</v>
      </c>
      <c r="S21" s="77">
        <v>45751</v>
      </c>
      <c r="T21" s="77">
        <v>45752</v>
      </c>
      <c r="U21" s="77">
        <v>45769</v>
      </c>
      <c r="V21" s="77">
        <v>45770</v>
      </c>
      <c r="W21" s="77">
        <v>45777</v>
      </c>
      <c r="X21" s="27">
        <v>12</v>
      </c>
      <c r="Y21" s="27">
        <v>32</v>
      </c>
      <c r="Z21" s="27">
        <v>164</v>
      </c>
      <c r="AA21" s="27">
        <v>6</v>
      </c>
      <c r="AB21" s="27">
        <v>24</v>
      </c>
      <c r="AC21" s="27">
        <v>2</v>
      </c>
      <c r="AD21" s="27">
        <v>4</v>
      </c>
      <c r="AE21" s="27">
        <v>4</v>
      </c>
      <c r="AF21" s="92">
        <v>1</v>
      </c>
      <c r="AG21" s="92">
        <v>0</v>
      </c>
      <c r="AH21" s="99">
        <v>2</v>
      </c>
      <c r="AI21" s="92">
        <v>2</v>
      </c>
      <c r="AJ21" s="92">
        <v>2</v>
      </c>
      <c r="AK21" s="92">
        <v>2</v>
      </c>
      <c r="AL21" s="92"/>
      <c r="AM21" s="92"/>
      <c r="AN21" s="92"/>
      <c r="AO21" s="92"/>
      <c r="AP21" s="92"/>
      <c r="AQ21" s="92"/>
      <c r="AR21" s="14"/>
      <c r="AS21" s="92"/>
      <c r="AT21" s="14"/>
      <c r="AU21" s="92">
        <f t="shared" si="5"/>
        <v>0.12096774193548387</v>
      </c>
      <c r="AV21" s="92">
        <f t="shared" si="6"/>
        <v>1.875</v>
      </c>
      <c r="AW21" s="92">
        <f t="shared" si="7"/>
        <v>0.83333333333333337</v>
      </c>
      <c r="AX21" s="92">
        <f t="shared" si="8"/>
        <v>0.17647058823529413</v>
      </c>
      <c r="AY21" s="92">
        <f t="shared" si="9"/>
        <v>1.1538461538461537</v>
      </c>
      <c r="AZ21" s="55">
        <f t="shared" si="10"/>
        <v>1.1000000000000001</v>
      </c>
      <c r="BA21" s="98">
        <f t="shared" si="11"/>
        <v>0.1</v>
      </c>
      <c r="BB21" s="55">
        <f t="shared" si="12"/>
        <v>0.1</v>
      </c>
      <c r="BC21" s="55">
        <f t="shared" si="13"/>
        <v>0.56666666666666665</v>
      </c>
      <c r="BD21" s="55">
        <f t="shared" si="14"/>
        <v>0.23333333333333334</v>
      </c>
      <c r="BE21" s="92">
        <f t="shared" si="15"/>
        <v>0.55555555555555558</v>
      </c>
      <c r="BF21" s="92">
        <f t="shared" si="1"/>
        <v>5</v>
      </c>
      <c r="BG21" s="92">
        <f t="shared" si="2"/>
        <v>4</v>
      </c>
      <c r="BH21" s="27">
        <f t="shared" si="3"/>
        <v>0.6</v>
      </c>
      <c r="BI21" s="27">
        <f t="shared" si="16"/>
        <v>0.1</v>
      </c>
      <c r="BJ21" s="27">
        <f t="shared" si="17"/>
        <v>6.6666666666666666E-2</v>
      </c>
      <c r="BK21" s="27">
        <f t="shared" si="4"/>
        <v>6.6666666666666666E-2</v>
      </c>
    </row>
    <row r="22" spans="1:78" ht="42" customHeight="1" x14ac:dyDescent="0.35">
      <c r="A22" s="1"/>
      <c r="B22" s="1"/>
      <c r="C22" s="1"/>
      <c r="D22" s="109"/>
      <c r="E22" s="10" t="s">
        <v>69</v>
      </c>
      <c r="F22" s="17" t="s">
        <v>92</v>
      </c>
      <c r="G22" s="1"/>
      <c r="H22" s="19">
        <f t="shared" ref="H22:H24" si="21">ROUNDDOWN(I22/8.3,0)</f>
        <v>29</v>
      </c>
      <c r="I22" s="92">
        <v>243</v>
      </c>
      <c r="J22" s="92">
        <v>290</v>
      </c>
      <c r="K22" s="21">
        <v>243</v>
      </c>
      <c r="L22" s="24">
        <v>45781</v>
      </c>
      <c r="M22" s="24" t="s">
        <v>138</v>
      </c>
      <c r="N22" s="25">
        <v>45842</v>
      </c>
      <c r="O22" s="24">
        <v>45787</v>
      </c>
      <c r="P22" s="24">
        <v>45754</v>
      </c>
      <c r="Q22" s="24">
        <v>45757</v>
      </c>
      <c r="R22" s="24">
        <v>45758</v>
      </c>
      <c r="S22" s="24">
        <v>45761</v>
      </c>
      <c r="T22" s="24">
        <v>45762</v>
      </c>
      <c r="U22" s="24">
        <v>45780</v>
      </c>
      <c r="V22" s="24">
        <v>45781</v>
      </c>
      <c r="W22" s="24">
        <v>45787</v>
      </c>
      <c r="X22" s="27">
        <v>12</v>
      </c>
      <c r="Y22" s="27">
        <v>28</v>
      </c>
      <c r="Z22" s="27">
        <v>158</v>
      </c>
      <c r="AA22" s="27">
        <v>4</v>
      </c>
      <c r="AB22" s="27">
        <v>32</v>
      </c>
      <c r="AC22" s="27">
        <v>2</v>
      </c>
      <c r="AD22" s="27">
        <v>4</v>
      </c>
      <c r="AE22" s="27">
        <v>3</v>
      </c>
      <c r="AF22" s="92">
        <v>0</v>
      </c>
      <c r="AG22" s="92">
        <v>1</v>
      </c>
      <c r="AH22" s="99">
        <v>2</v>
      </c>
      <c r="AI22" s="92">
        <v>3</v>
      </c>
      <c r="AJ22" s="92">
        <v>2</v>
      </c>
      <c r="AK22" s="92">
        <v>1</v>
      </c>
      <c r="AL22" s="92"/>
      <c r="AM22" s="92"/>
      <c r="AN22" s="92"/>
      <c r="AO22" s="92"/>
      <c r="AP22" s="92"/>
      <c r="AQ22" s="92"/>
      <c r="AR22" s="14"/>
      <c r="AS22" s="92"/>
      <c r="AT22" s="14"/>
      <c r="AU22" s="92">
        <f t="shared" si="5"/>
        <v>0.11934156378600823</v>
      </c>
      <c r="AV22" s="92">
        <f t="shared" si="6"/>
        <v>1.8125</v>
      </c>
      <c r="AW22" s="92">
        <f t="shared" si="7"/>
        <v>0.93548387096774188</v>
      </c>
      <c r="AX22" s="92">
        <f t="shared" si="8"/>
        <v>0.17901234567901234</v>
      </c>
      <c r="AY22" s="92">
        <f t="shared" si="9"/>
        <v>0.8529411764705882</v>
      </c>
      <c r="AZ22" s="55">
        <f t="shared" si="10"/>
        <v>1.1379310344827587</v>
      </c>
      <c r="BA22" s="98">
        <f t="shared" si="11"/>
        <v>0.10344827586206896</v>
      </c>
      <c r="BB22" s="55">
        <f t="shared" si="12"/>
        <v>0.10344827586206896</v>
      </c>
      <c r="BC22" s="55">
        <f t="shared" si="13"/>
        <v>0.62068965517241381</v>
      </c>
      <c r="BD22" s="55">
        <f t="shared" si="14"/>
        <v>0.20689655172413793</v>
      </c>
      <c r="BE22" s="92">
        <f t="shared" si="15"/>
        <v>0.66666666666666663</v>
      </c>
      <c r="BF22" s="92">
        <f t="shared" si="1"/>
        <v>6</v>
      </c>
      <c r="BG22" s="92">
        <f t="shared" si="2"/>
        <v>3</v>
      </c>
      <c r="BH22" s="27">
        <f t="shared" si="3"/>
        <v>0.5</v>
      </c>
      <c r="BI22" s="27">
        <f t="shared" si="16"/>
        <v>0.10344827586206896</v>
      </c>
      <c r="BJ22" s="27">
        <f t="shared" si="17"/>
        <v>0.10344827586206896</v>
      </c>
      <c r="BK22" s="27">
        <f t="shared" si="4"/>
        <v>6.8965517241379309E-2</v>
      </c>
    </row>
    <row r="23" spans="1:78" ht="42" customHeight="1" x14ac:dyDescent="0.35">
      <c r="A23" s="1"/>
      <c r="B23" s="1"/>
      <c r="C23" s="1"/>
      <c r="D23" s="109"/>
      <c r="E23" s="10" t="s">
        <v>93</v>
      </c>
      <c r="F23" s="28" t="s">
        <v>94</v>
      </c>
      <c r="G23" s="1"/>
      <c r="H23" s="19">
        <f t="shared" si="21"/>
        <v>14</v>
      </c>
      <c r="I23" s="92">
        <v>124</v>
      </c>
      <c r="J23" s="92">
        <v>156</v>
      </c>
      <c r="K23" s="21">
        <v>124</v>
      </c>
      <c r="L23" s="24">
        <v>45662</v>
      </c>
      <c r="M23" s="92" t="s">
        <v>139</v>
      </c>
      <c r="N23" s="24">
        <v>45779</v>
      </c>
      <c r="O23" s="24">
        <v>45793</v>
      </c>
      <c r="P23" s="24">
        <v>45779</v>
      </c>
      <c r="Q23" s="24">
        <v>45780</v>
      </c>
      <c r="R23" s="24">
        <v>45780</v>
      </c>
      <c r="S23" s="24">
        <v>45781</v>
      </c>
      <c r="T23" s="24">
        <v>45781</v>
      </c>
      <c r="U23" s="24">
        <v>45789</v>
      </c>
      <c r="V23" s="24">
        <v>45790</v>
      </c>
      <c r="W23" s="24">
        <v>45793</v>
      </c>
      <c r="X23" s="27">
        <v>6</v>
      </c>
      <c r="Y23" s="27">
        <v>12</v>
      </c>
      <c r="Z23" s="27">
        <v>78</v>
      </c>
      <c r="AA23" s="27">
        <v>4</v>
      </c>
      <c r="AB23" s="27">
        <v>18</v>
      </c>
      <c r="AC23" s="27">
        <v>2</v>
      </c>
      <c r="AD23" s="27">
        <v>2</v>
      </c>
      <c r="AE23" s="27">
        <v>2</v>
      </c>
      <c r="AF23" s="92">
        <v>1</v>
      </c>
      <c r="AG23" s="92">
        <v>1</v>
      </c>
      <c r="AH23" s="99">
        <v>2</v>
      </c>
      <c r="AI23" s="92">
        <v>1</v>
      </c>
      <c r="AJ23" s="92">
        <v>1</v>
      </c>
      <c r="AK23" s="92">
        <v>1</v>
      </c>
      <c r="AL23" s="92"/>
      <c r="AM23" s="92"/>
      <c r="AN23" s="92"/>
      <c r="AO23" s="92"/>
      <c r="AP23" s="92"/>
      <c r="AQ23" s="92"/>
      <c r="AR23" s="14"/>
      <c r="AS23" s="92"/>
      <c r="AT23" s="14"/>
      <c r="AU23" s="92">
        <f t="shared" si="5"/>
        <v>0.11290322580645161</v>
      </c>
      <c r="AV23" s="92">
        <f t="shared" si="6"/>
        <v>1.75</v>
      </c>
      <c r="AW23" s="92">
        <f t="shared" si="7"/>
        <v>1</v>
      </c>
      <c r="AX23" s="92">
        <f t="shared" si="8"/>
        <v>0.17073170731707318</v>
      </c>
      <c r="AY23" s="92">
        <f t="shared" si="9"/>
        <v>0.7</v>
      </c>
      <c r="AZ23" s="55">
        <f t="shared" si="10"/>
        <v>1</v>
      </c>
      <c r="BA23" s="98">
        <f t="shared" si="11"/>
        <v>7.1428571428571425E-2</v>
      </c>
      <c r="BB23" s="55">
        <f t="shared" si="12"/>
        <v>7.1428571428571425E-2</v>
      </c>
      <c r="BC23" s="55">
        <f t="shared" si="13"/>
        <v>0.5714285714285714</v>
      </c>
      <c r="BD23" s="55">
        <f t="shared" si="14"/>
        <v>0.21428571428571427</v>
      </c>
      <c r="BE23" s="92">
        <f t="shared" si="15"/>
        <v>0.7142857142857143</v>
      </c>
      <c r="BF23" s="92">
        <f t="shared" si="1"/>
        <v>5</v>
      </c>
      <c r="BG23" s="92">
        <f t="shared" si="2"/>
        <v>2</v>
      </c>
      <c r="BH23" s="27">
        <f t="shared" si="3"/>
        <v>0.8</v>
      </c>
      <c r="BI23" s="27">
        <f t="shared" si="16"/>
        <v>0.2857142857142857</v>
      </c>
      <c r="BJ23" s="27">
        <f t="shared" si="17"/>
        <v>7.1428571428571425E-2</v>
      </c>
      <c r="BK23" s="27">
        <f t="shared" si="4"/>
        <v>0.14285714285714285</v>
      </c>
    </row>
    <row r="24" spans="1:78" ht="42" customHeight="1" x14ac:dyDescent="0.35">
      <c r="A24" s="1"/>
      <c r="B24" s="1"/>
      <c r="C24" s="1"/>
      <c r="D24" s="109"/>
      <c r="E24" s="10" t="s">
        <v>95</v>
      </c>
      <c r="F24" s="17" t="s">
        <v>96</v>
      </c>
      <c r="G24" s="1"/>
      <c r="H24" s="19">
        <f t="shared" si="21"/>
        <v>18</v>
      </c>
      <c r="I24" s="92">
        <v>150</v>
      </c>
      <c r="J24" s="92">
        <v>132</v>
      </c>
      <c r="K24" s="21">
        <v>150</v>
      </c>
      <c r="L24" s="92" t="s">
        <v>140</v>
      </c>
      <c r="M24" s="92" t="s">
        <v>141</v>
      </c>
      <c r="N24" s="24">
        <v>45813</v>
      </c>
      <c r="O24" s="24">
        <v>45836</v>
      </c>
      <c r="P24" s="24">
        <v>45813</v>
      </c>
      <c r="Q24" s="24">
        <v>45815</v>
      </c>
      <c r="R24" s="24">
        <v>45816</v>
      </c>
      <c r="S24" s="24">
        <v>45818</v>
      </c>
      <c r="T24" s="24">
        <v>45819</v>
      </c>
      <c r="U24" s="24">
        <v>45830</v>
      </c>
      <c r="V24" s="24">
        <v>45831</v>
      </c>
      <c r="W24" s="24">
        <v>45836</v>
      </c>
      <c r="X24" s="27">
        <v>6</v>
      </c>
      <c r="Y24" s="27">
        <v>14</v>
      </c>
      <c r="Z24" s="27">
        <v>90</v>
      </c>
      <c r="AA24" s="27">
        <v>2</v>
      </c>
      <c r="AB24" s="27">
        <v>32</v>
      </c>
      <c r="AC24" s="27">
        <v>1</v>
      </c>
      <c r="AD24" s="27">
        <v>3</v>
      </c>
      <c r="AE24" s="27">
        <v>2</v>
      </c>
      <c r="AF24" s="92">
        <v>1</v>
      </c>
      <c r="AG24" s="92">
        <v>1</v>
      </c>
      <c r="AH24" s="99">
        <v>1</v>
      </c>
      <c r="AI24" s="92">
        <v>1</v>
      </c>
      <c r="AJ24" s="92">
        <v>1</v>
      </c>
      <c r="AK24" s="92">
        <v>1</v>
      </c>
      <c r="AL24" s="92"/>
      <c r="AM24" s="92"/>
      <c r="AN24" s="92"/>
      <c r="AO24" s="92"/>
      <c r="AP24" s="92"/>
      <c r="AQ24" s="92"/>
      <c r="AR24" s="14"/>
      <c r="AS24" s="92"/>
      <c r="AT24" s="14"/>
      <c r="AU24" s="92">
        <f t="shared" si="5"/>
        <v>0.12</v>
      </c>
      <c r="AV24" s="92">
        <f t="shared" si="6"/>
        <v>2</v>
      </c>
      <c r="AW24" s="92">
        <f t="shared" si="7"/>
        <v>1.125</v>
      </c>
      <c r="AX24" s="92">
        <f t="shared" si="8"/>
        <v>0.19565217391304349</v>
      </c>
      <c r="AY24" s="92">
        <f t="shared" si="9"/>
        <v>0.54545454545454541</v>
      </c>
      <c r="AZ24" s="55">
        <f t="shared" si="10"/>
        <v>1.2777777777777777</v>
      </c>
      <c r="BA24" s="98">
        <f t="shared" si="11"/>
        <v>0.1111111111111111</v>
      </c>
      <c r="BB24" s="55">
        <f t="shared" si="12"/>
        <v>0.1111111111111111</v>
      </c>
      <c r="BC24" s="55">
        <f t="shared" si="13"/>
        <v>0.61111111111111116</v>
      </c>
      <c r="BD24" s="55">
        <f t="shared" si="14"/>
        <v>0.27777777777777779</v>
      </c>
      <c r="BE24" s="92">
        <f t="shared" si="15"/>
        <v>0.66666666666666663</v>
      </c>
      <c r="BF24" s="92">
        <f t="shared" si="1"/>
        <v>4</v>
      </c>
      <c r="BG24" s="92">
        <f t="shared" si="2"/>
        <v>2</v>
      </c>
      <c r="BH24" s="27">
        <f t="shared" si="3"/>
        <v>0.75</v>
      </c>
      <c r="BI24" s="27">
        <f t="shared" si="16"/>
        <v>0.16666666666666666</v>
      </c>
      <c r="BJ24" s="27">
        <f t="shared" si="17"/>
        <v>5.5555555555555552E-2</v>
      </c>
      <c r="BK24" s="27">
        <f t="shared" si="4"/>
        <v>5.5555555555555552E-2</v>
      </c>
    </row>
    <row r="25" spans="1:78" ht="42" customHeight="1" x14ac:dyDescent="0.35">
      <c r="F25" s="104" t="s">
        <v>148</v>
      </c>
      <c r="AF25">
        <f t="shared" ref="AF25:AK25" si="22">SUM(AF2:AF24)</f>
        <v>14</v>
      </c>
      <c r="AG25">
        <f t="shared" si="22"/>
        <v>18</v>
      </c>
      <c r="AH25">
        <f t="shared" si="22"/>
        <v>37</v>
      </c>
      <c r="AI25">
        <f t="shared" si="22"/>
        <v>28</v>
      </c>
      <c r="AJ25">
        <f t="shared" si="22"/>
        <v>25</v>
      </c>
      <c r="AK25">
        <f t="shared" si="22"/>
        <v>30</v>
      </c>
    </row>
    <row r="26" spans="1:78" ht="42" customHeight="1" x14ac:dyDescent="0.35">
      <c r="U26" s="40"/>
    </row>
  </sheetData>
  <mergeCells count="9">
    <mergeCell ref="J3:J4"/>
    <mergeCell ref="K3:K4"/>
    <mergeCell ref="K5:K6"/>
    <mergeCell ref="J5:J6"/>
    <mergeCell ref="D21:D24"/>
    <mergeCell ref="D2:D8"/>
    <mergeCell ref="D18:D20"/>
    <mergeCell ref="D14:D17"/>
    <mergeCell ref="D9:D13"/>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
  <sheetViews>
    <sheetView zoomScale="70" zoomScaleNormal="70" workbookViewId="0">
      <selection activeCell="A24" sqref="A24"/>
    </sheetView>
  </sheetViews>
  <sheetFormatPr defaultRowHeight="14.5" x14ac:dyDescent="0.35"/>
  <cols>
    <col min="1" max="1" width="14.08984375" customWidth="1"/>
    <col min="2" max="2" width="11.81640625" customWidth="1"/>
    <col min="7" max="7" width="8.7265625" customWidth="1"/>
    <col min="16" max="16" width="12.54296875" customWidth="1"/>
    <col min="17" max="17" width="12.90625" customWidth="1"/>
    <col min="18" max="18" width="14.54296875" customWidth="1"/>
  </cols>
  <sheetData>
    <row r="1" spans="1:10" x14ac:dyDescent="0.35">
      <c r="A1" s="89" t="s">
        <v>37</v>
      </c>
      <c r="B1" s="89" t="s">
        <v>45</v>
      </c>
      <c r="C1" s="89" t="s">
        <v>46</v>
      </c>
      <c r="D1" s="39"/>
      <c r="E1" s="39"/>
      <c r="H1" s="39"/>
      <c r="I1" s="39"/>
      <c r="J1" s="39"/>
    </row>
    <row r="2" spans="1:10" x14ac:dyDescent="0.35">
      <c r="A2" s="90">
        <v>0.125</v>
      </c>
      <c r="B2" s="90">
        <v>0.22500000000000001</v>
      </c>
      <c r="C2" s="90">
        <v>0.5625</v>
      </c>
    </row>
    <row r="3" spans="1:10" x14ac:dyDescent="0.35">
      <c r="A3" s="90">
        <v>0.12179487179487179</v>
      </c>
      <c r="B3" s="90">
        <v>0.21348314606741572</v>
      </c>
      <c r="C3" s="90">
        <v>0.52777777777777779</v>
      </c>
    </row>
    <row r="4" spans="1:10" x14ac:dyDescent="0.35">
      <c r="A4" s="90">
        <v>0.125</v>
      </c>
      <c r="B4" s="90">
        <v>0.22058823529411764</v>
      </c>
      <c r="C4" s="90">
        <v>0.75</v>
      </c>
    </row>
    <row r="5" spans="1:10" x14ac:dyDescent="0.35">
      <c r="A5" s="90">
        <v>0.13461538461538461</v>
      </c>
      <c r="B5" s="90">
        <v>0.26923076923076922</v>
      </c>
      <c r="C5" s="90">
        <v>0.7</v>
      </c>
    </row>
    <row r="6" spans="1:10" x14ac:dyDescent="0.35">
      <c r="A6" s="90">
        <v>0.13333333333333333</v>
      </c>
      <c r="B6" s="90">
        <v>0.2857142857142857</v>
      </c>
      <c r="C6" s="90">
        <v>0.8</v>
      </c>
    </row>
    <row r="7" spans="1:10" x14ac:dyDescent="0.35">
      <c r="A7" s="90">
        <v>0.125</v>
      </c>
      <c r="B7" s="90">
        <v>0.23214285714285715</v>
      </c>
      <c r="C7" s="90">
        <v>0.54166666666666663</v>
      </c>
    </row>
    <row r="8" spans="1:10" x14ac:dyDescent="0.35">
      <c r="A8" s="90">
        <v>0.125</v>
      </c>
      <c r="B8" s="90">
        <v>0.25</v>
      </c>
      <c r="C8" s="90">
        <v>0.5</v>
      </c>
    </row>
    <row r="9" spans="1:10" x14ac:dyDescent="0.35">
      <c r="A9" s="90">
        <v>0.12195121951219512</v>
      </c>
      <c r="B9" s="90">
        <v>0.1736111111111111</v>
      </c>
      <c r="C9" s="90">
        <v>1.0416666666666667</v>
      </c>
    </row>
    <row r="10" spans="1:10" x14ac:dyDescent="0.35">
      <c r="A10" s="90">
        <v>0.12244897959183673</v>
      </c>
      <c r="B10" s="90">
        <v>0.23076923076923078</v>
      </c>
      <c r="C10" s="90">
        <v>1</v>
      </c>
    </row>
    <row r="11" spans="1:10" x14ac:dyDescent="0.35">
      <c r="A11" s="90">
        <v>0.12295081967213115</v>
      </c>
      <c r="B11" s="90">
        <v>0.18518518518518517</v>
      </c>
      <c r="C11" s="90">
        <v>0.88235294117647056</v>
      </c>
    </row>
    <row r="12" spans="1:10" x14ac:dyDescent="0.35">
      <c r="A12" s="90">
        <v>0.16666666666666666</v>
      </c>
      <c r="B12" s="90">
        <v>0.25</v>
      </c>
      <c r="C12" s="90">
        <v>1</v>
      </c>
    </row>
    <row r="13" spans="1:10" x14ac:dyDescent="0.35">
      <c r="A13" s="90">
        <v>0.125</v>
      </c>
      <c r="B13" s="90">
        <v>0.25</v>
      </c>
      <c r="C13" s="90">
        <v>1</v>
      </c>
    </row>
    <row r="14" spans="1:10" x14ac:dyDescent="0.35">
      <c r="A14" s="90">
        <v>0.12571428571428572</v>
      </c>
      <c r="B14" s="90">
        <v>0.19130434782608696</v>
      </c>
      <c r="C14" s="90">
        <v>0.81481481481481477</v>
      </c>
    </row>
    <row r="15" spans="1:10" x14ac:dyDescent="0.35">
      <c r="A15" s="90">
        <v>0.12568306010928962</v>
      </c>
      <c r="B15" s="90">
        <v>0.21698113207547171</v>
      </c>
      <c r="C15" s="90">
        <v>0.63888888888888884</v>
      </c>
    </row>
    <row r="16" spans="1:10" x14ac:dyDescent="0.35">
      <c r="A16" s="90">
        <v>0.125</v>
      </c>
      <c r="B16" s="90">
        <v>0.2</v>
      </c>
      <c r="C16" s="90">
        <v>1.5</v>
      </c>
    </row>
    <row r="17" spans="1:17" x14ac:dyDescent="0.35">
      <c r="A17" s="90">
        <v>0.125</v>
      </c>
      <c r="B17" s="90">
        <v>0.20754716981132076</v>
      </c>
      <c r="C17" s="90">
        <v>0.73333333333333328</v>
      </c>
    </row>
    <row r="18" spans="1:17" x14ac:dyDescent="0.35">
      <c r="A18" s="90">
        <v>0.125</v>
      </c>
      <c r="B18" s="90">
        <v>0.31578947368421051</v>
      </c>
      <c r="C18" s="90">
        <v>0.8571428571428571</v>
      </c>
    </row>
    <row r="19" spans="1:17" x14ac:dyDescent="0.35">
      <c r="A19" s="90">
        <v>0.16666666666666666</v>
      </c>
      <c r="B19" s="90">
        <v>0.2857142857142857</v>
      </c>
      <c r="C19" s="90">
        <v>2</v>
      </c>
    </row>
    <row r="20" spans="1:17" x14ac:dyDescent="0.35">
      <c r="A20" s="90">
        <v>0.1388888888888889</v>
      </c>
      <c r="B20" s="90">
        <v>0.38461538461538464</v>
      </c>
      <c r="C20" s="90">
        <v>0.625</v>
      </c>
    </row>
    <row r="21" spans="1:17" x14ac:dyDescent="0.35">
      <c r="A21" s="90">
        <v>0.12096774193548387</v>
      </c>
      <c r="B21" s="90">
        <v>0.17647058823529413</v>
      </c>
      <c r="C21" s="90">
        <v>1.1538461538461537</v>
      </c>
    </row>
    <row r="22" spans="1:17" x14ac:dyDescent="0.35">
      <c r="A22" s="90">
        <v>0.11934156378600823</v>
      </c>
      <c r="B22" s="90">
        <v>0.17901234567901234</v>
      </c>
      <c r="C22" s="90">
        <v>0.8529411764705882</v>
      </c>
    </row>
    <row r="23" spans="1:17" x14ac:dyDescent="0.35">
      <c r="A23" s="90">
        <v>0.11290322580645161</v>
      </c>
      <c r="B23" s="90">
        <v>0.17073170731707318</v>
      </c>
      <c r="C23" s="90">
        <v>0.7</v>
      </c>
    </row>
    <row r="24" spans="1:17" x14ac:dyDescent="0.35">
      <c r="A24" s="90">
        <v>0.12</v>
      </c>
      <c r="B24" s="90">
        <v>0.19565217391304349</v>
      </c>
      <c r="C24" s="90">
        <v>0.54545454545454541</v>
      </c>
    </row>
    <row r="25" spans="1:17" x14ac:dyDescent="0.35">
      <c r="A25">
        <f>STDEV(A2:A24)</f>
        <v>1.3154742365420104E-2</v>
      </c>
    </row>
    <row r="27" spans="1:17" x14ac:dyDescent="0.35">
      <c r="N27" s="42" t="s">
        <v>99</v>
      </c>
      <c r="O27" s="42" t="s">
        <v>100</v>
      </c>
      <c r="P27" s="42" t="s">
        <v>101</v>
      </c>
      <c r="Q27" s="42" t="s">
        <v>102</v>
      </c>
    </row>
    <row r="28" spans="1:17" x14ac:dyDescent="0.35">
      <c r="N28" s="43" t="s">
        <v>103</v>
      </c>
      <c r="O28" s="49">
        <v>0.12842999999999999</v>
      </c>
      <c r="P28" s="43">
        <v>0.23080000000000001</v>
      </c>
      <c r="Q28" s="43">
        <v>0.85799999999999998</v>
      </c>
    </row>
    <row r="29" spans="1:17" x14ac:dyDescent="0.35">
      <c r="D29" t="s">
        <v>97</v>
      </c>
      <c r="N29" s="43" t="s">
        <v>104</v>
      </c>
      <c r="O29" s="44">
        <f>(O30-O31)/6</f>
        <v>8.826666666666665E-3</v>
      </c>
      <c r="P29" s="44">
        <f t="shared" ref="P29:Q29" si="0">(P30-P31)/6</f>
        <v>3.9849999999999997E-2</v>
      </c>
      <c r="Q29" s="44">
        <f t="shared" si="0"/>
        <v>0.29383333333333334</v>
      </c>
    </row>
    <row r="30" spans="1:17" x14ac:dyDescent="0.35">
      <c r="D30" t="s">
        <v>37</v>
      </c>
      <c r="E30" t="s">
        <v>98</v>
      </c>
      <c r="F30" t="s">
        <v>142</v>
      </c>
      <c r="N30" s="43" t="s">
        <v>105</v>
      </c>
      <c r="O30" s="43">
        <v>0.15490999999999999</v>
      </c>
      <c r="P30" s="43">
        <v>0.35039999999999999</v>
      </c>
      <c r="Q30" s="43">
        <v>1.7390000000000001</v>
      </c>
    </row>
    <row r="31" spans="1:17" x14ac:dyDescent="0.35">
      <c r="N31" s="43" t="s">
        <v>106</v>
      </c>
      <c r="O31" s="43">
        <v>0.10195</v>
      </c>
      <c r="P31" s="43">
        <v>0.1113</v>
      </c>
      <c r="Q31" s="43">
        <v>-2.4E-2</v>
      </c>
    </row>
    <row r="41" spans="15:22" x14ac:dyDescent="0.35">
      <c r="O41" s="42" t="s">
        <v>99</v>
      </c>
      <c r="P41" s="42" t="s">
        <v>100</v>
      </c>
      <c r="Q41" s="42" t="s">
        <v>101</v>
      </c>
      <c r="R41" s="42" t="s">
        <v>102</v>
      </c>
    </row>
    <row r="42" spans="15:22" x14ac:dyDescent="0.35">
      <c r="O42" s="43" t="s">
        <v>103</v>
      </c>
      <c r="P42" s="49">
        <v>0.12842999999999999</v>
      </c>
      <c r="Q42" s="43">
        <v>0.23080000000000001</v>
      </c>
      <c r="R42" s="43">
        <v>0.85799999999999998</v>
      </c>
      <c r="V42">
        <f>1/P42</f>
        <v>7.786342754808067</v>
      </c>
    </row>
    <row r="43" spans="15:22" x14ac:dyDescent="0.35">
      <c r="O43" s="43" t="s">
        <v>104</v>
      </c>
      <c r="P43" s="44">
        <f>(P44-P45)/6</f>
        <v>8.826666666666665E-3</v>
      </c>
      <c r="Q43" s="44">
        <f t="shared" ref="Q43:R43" si="1">(Q44-Q45)/6</f>
        <v>3.9849999999999997E-2</v>
      </c>
      <c r="R43" s="44">
        <f t="shared" si="1"/>
        <v>0.29383333333333334</v>
      </c>
    </row>
    <row r="44" spans="15:22" x14ac:dyDescent="0.35">
      <c r="O44" s="43" t="s">
        <v>105</v>
      </c>
      <c r="P44" s="43">
        <v>0.15490999999999999</v>
      </c>
      <c r="Q44" s="43">
        <v>0.35039999999999999</v>
      </c>
      <c r="R44" s="43">
        <v>1.7390000000000001</v>
      </c>
    </row>
    <row r="45" spans="15:22" x14ac:dyDescent="0.35">
      <c r="O45" s="43" t="s">
        <v>106</v>
      </c>
      <c r="P45" s="43">
        <v>0.10195</v>
      </c>
      <c r="Q45" s="43">
        <v>0.1113</v>
      </c>
      <c r="R45" s="43">
        <v>-2.4E-2</v>
      </c>
    </row>
    <row r="46" spans="15:22" x14ac:dyDescent="0.35">
      <c r="O46" s="45"/>
      <c r="P46" s="45"/>
      <c r="Q46" s="45"/>
      <c r="R46" s="45"/>
    </row>
    <row r="47" spans="15:22" x14ac:dyDescent="0.35">
      <c r="O47" s="45"/>
      <c r="P47" s="45"/>
      <c r="Q47" s="45"/>
      <c r="R47" s="45"/>
    </row>
    <row r="48" spans="15:22" x14ac:dyDescent="0.35">
      <c r="O48" s="45"/>
      <c r="P48" s="45"/>
      <c r="Q48" s="45"/>
      <c r="R48" s="45"/>
    </row>
    <row r="49" spans="15:23" x14ac:dyDescent="0.35">
      <c r="O49" s="42" t="s">
        <v>107</v>
      </c>
      <c r="P49" s="42" t="s">
        <v>37</v>
      </c>
      <c r="Q49" s="45"/>
      <c r="R49" s="45"/>
    </row>
    <row r="50" spans="15:23" x14ac:dyDescent="0.35">
      <c r="O50" s="43" t="s">
        <v>103</v>
      </c>
      <c r="P50" s="48">
        <f>P42+R50</f>
        <v>0.14127299999999998</v>
      </c>
      <c r="Q50" s="45"/>
      <c r="R50" s="45">
        <f>P42*10%</f>
        <v>1.2843E-2</v>
      </c>
    </row>
    <row r="51" spans="15:23" x14ac:dyDescent="0.35">
      <c r="O51" s="43" t="s">
        <v>104</v>
      </c>
      <c r="P51" s="43">
        <v>0.05</v>
      </c>
      <c r="Q51" s="45"/>
      <c r="R51" s="45"/>
    </row>
    <row r="52" spans="15:23" x14ac:dyDescent="0.35">
      <c r="O52" s="45"/>
      <c r="P52" s="45"/>
      <c r="Q52" s="45"/>
      <c r="R52" s="45"/>
    </row>
    <row r="53" spans="15:23" x14ac:dyDescent="0.35">
      <c r="O53" s="45"/>
      <c r="P53" s="45"/>
      <c r="Q53" s="45"/>
      <c r="R53" s="45"/>
    </row>
    <row r="54" spans="15:23" x14ac:dyDescent="0.35">
      <c r="O54" s="42" t="s">
        <v>108</v>
      </c>
      <c r="P54" s="42" t="s">
        <v>100</v>
      </c>
      <c r="Q54" s="42" t="s">
        <v>101</v>
      </c>
      <c r="R54" s="42" t="s">
        <v>102</v>
      </c>
    </row>
    <row r="55" spans="15:23" x14ac:dyDescent="0.35">
      <c r="O55" s="43" t="s">
        <v>103</v>
      </c>
      <c r="P55" s="91">
        <f>0.0821 + (0.1296 *Q55) + (0.01913 *R55)</f>
        <v>0.14117160000000001</v>
      </c>
      <c r="Q55" s="48">
        <v>0.32</v>
      </c>
      <c r="R55" s="91">
        <v>0.92</v>
      </c>
      <c r="V55">
        <f>1/Q55</f>
        <v>3.125</v>
      </c>
      <c r="W55">
        <f>1/R55</f>
        <v>1.0869565217391304</v>
      </c>
    </row>
    <row r="56" spans="15:23" x14ac:dyDescent="0.35">
      <c r="O56" s="43" t="s">
        <v>104</v>
      </c>
      <c r="P56" s="43">
        <v>0.05</v>
      </c>
      <c r="Q56" s="43">
        <v>0.05</v>
      </c>
      <c r="R56" s="43">
        <v>0.05</v>
      </c>
    </row>
    <row r="57" spans="15:23" x14ac:dyDescent="0.35">
      <c r="O57" s="43" t="s">
        <v>109</v>
      </c>
      <c r="P57" s="43">
        <f>P55+3*(P56)</f>
        <v>0.29117160000000003</v>
      </c>
      <c r="Q57" s="43">
        <f t="shared" ref="Q57:R57" si="2">Q55+3*(Q56)</f>
        <v>0.47000000000000003</v>
      </c>
      <c r="R57" s="43">
        <f t="shared" si="2"/>
        <v>1.07</v>
      </c>
    </row>
    <row r="58" spans="15:23" x14ac:dyDescent="0.35">
      <c r="O58" s="43" t="s">
        <v>110</v>
      </c>
      <c r="P58" s="43">
        <f>P55-3*(P56)</f>
        <v>-8.828400000000014E-3</v>
      </c>
      <c r="Q58" s="43">
        <f t="shared" ref="Q58:R58" si="3">Q55-3*(Q56)</f>
        <v>0.16999999999999998</v>
      </c>
      <c r="R58" s="43">
        <f t="shared" si="3"/>
        <v>0.77</v>
      </c>
    </row>
    <row r="83" spans="24:26" x14ac:dyDescent="0.35">
      <c r="X83">
        <v>0.14069999999999999</v>
      </c>
      <c r="Y83">
        <f>1/7</f>
        <v>0.14285714285714285</v>
      </c>
    </row>
    <row r="84" spans="24:26" x14ac:dyDescent="0.35">
      <c r="Y84">
        <f>1/7.1</f>
        <v>0.14084507042253522</v>
      </c>
    </row>
    <row r="86" spans="24:26" x14ac:dyDescent="0.35">
      <c r="Y86">
        <f>1/7.1</f>
        <v>0.14084507042253522</v>
      </c>
    </row>
    <row r="88" spans="24:26" x14ac:dyDescent="0.35">
      <c r="Y88">
        <f>1/6.5</f>
        <v>0.15384615384615385</v>
      </c>
      <c r="Z88" t="s">
        <v>115</v>
      </c>
    </row>
    <row r="96" spans="24:26" x14ac:dyDescent="0.35">
      <c r="Y96">
        <f>1/5.8</f>
        <v>0.17241379310344829</v>
      </c>
    </row>
    <row r="97" spans="25:25" x14ac:dyDescent="0.35">
      <c r="Y97">
        <f>1/7.2</f>
        <v>0.1388888888888889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4"/>
  <sheetViews>
    <sheetView tabSelected="1" zoomScale="85" zoomScaleNormal="85" workbookViewId="0">
      <selection activeCell="E15" sqref="E15"/>
    </sheetView>
  </sheetViews>
  <sheetFormatPr defaultRowHeight="14.5" x14ac:dyDescent="0.35"/>
  <cols>
    <col min="1" max="1" width="8.7265625" style="64"/>
    <col min="10" max="10" width="13.36328125" customWidth="1"/>
    <col min="11" max="11" width="11.36328125" customWidth="1"/>
    <col min="12" max="12" width="11.54296875" customWidth="1"/>
    <col min="15" max="15" width="12.54296875" customWidth="1"/>
  </cols>
  <sheetData>
    <row r="1" spans="2:62" x14ac:dyDescent="0.35">
      <c r="B1" s="63" t="s">
        <v>47</v>
      </c>
      <c r="C1" s="63" t="s">
        <v>50</v>
      </c>
      <c r="D1" s="63" t="s">
        <v>51</v>
      </c>
    </row>
    <row r="2" spans="2:62" x14ac:dyDescent="0.35">
      <c r="B2" s="103">
        <v>2.2200000000000002</v>
      </c>
      <c r="C2" s="65">
        <v>0.77777777777777779</v>
      </c>
      <c r="D2" s="65">
        <v>0.44444444444444442</v>
      </c>
    </row>
    <row r="3" spans="2:62" x14ac:dyDescent="0.35">
      <c r="B3" s="65">
        <v>0.76315789473684215</v>
      </c>
      <c r="C3" s="65">
        <v>0.42105263157894735</v>
      </c>
      <c r="D3" s="65">
        <v>0.11842105263157894</v>
      </c>
    </row>
    <row r="4" spans="2:62" x14ac:dyDescent="0.35">
      <c r="B4" s="65">
        <v>1.1333333333333333</v>
      </c>
      <c r="C4" s="65">
        <v>0.66666666666666663</v>
      </c>
      <c r="D4" s="65">
        <v>0.2</v>
      </c>
    </row>
    <row r="5" spans="2:62" x14ac:dyDescent="0.35">
      <c r="B5" s="65">
        <v>2.1428571428571428</v>
      </c>
      <c r="C5" s="65">
        <v>1.1428571428571428</v>
      </c>
      <c r="D5" s="65">
        <v>0.2857142857142857</v>
      </c>
      <c r="AX5">
        <v>0.627</v>
      </c>
    </row>
    <row r="6" spans="2:62" x14ac:dyDescent="0.35">
      <c r="B6" s="65">
        <v>1.25</v>
      </c>
      <c r="C6" s="65">
        <v>0.5</v>
      </c>
      <c r="D6" s="65">
        <v>0.25</v>
      </c>
    </row>
    <row r="7" spans="2:62" x14ac:dyDescent="0.35">
      <c r="B7" s="65">
        <v>2.2307692307692308</v>
      </c>
      <c r="C7" s="65">
        <v>1.2307692307692308</v>
      </c>
      <c r="D7" s="65">
        <v>0.34615384615384615</v>
      </c>
      <c r="AX7">
        <v>1.4139999999999999</v>
      </c>
      <c r="BJ7">
        <v>0.2114</v>
      </c>
    </row>
    <row r="8" spans="2:62" x14ac:dyDescent="0.35">
      <c r="B8" s="65">
        <v>2</v>
      </c>
      <c r="C8" s="65">
        <v>0.5</v>
      </c>
      <c r="D8" s="65">
        <v>0.5</v>
      </c>
      <c r="AX8">
        <v>-0.16</v>
      </c>
      <c r="BJ8">
        <v>0.62109999999999999</v>
      </c>
    </row>
    <row r="9" spans="2:62" x14ac:dyDescent="0.35">
      <c r="B9" s="65">
        <v>0.72</v>
      </c>
      <c r="C9" s="65">
        <v>0.44</v>
      </c>
      <c r="D9" s="65">
        <v>0.08</v>
      </c>
      <c r="BJ9">
        <v>-0.1983</v>
      </c>
    </row>
    <row r="10" spans="2:62" x14ac:dyDescent="0.35">
      <c r="B10" s="65">
        <v>1.0833333333333333</v>
      </c>
      <c r="C10" s="65">
        <v>0.75</v>
      </c>
      <c r="D10" s="65">
        <v>0.16666666666666666</v>
      </c>
    </row>
    <row r="11" spans="2:62" x14ac:dyDescent="0.35">
      <c r="B11" s="65">
        <v>1.3333333333333333</v>
      </c>
      <c r="C11" s="65">
        <v>0.66666666666666663</v>
      </c>
      <c r="D11" s="65">
        <v>0.33333333333333331</v>
      </c>
    </row>
    <row r="12" spans="2:62" x14ac:dyDescent="0.35">
      <c r="B12" s="65">
        <v>1</v>
      </c>
      <c r="C12" s="65">
        <v>0.5</v>
      </c>
      <c r="D12" s="65">
        <v>0</v>
      </c>
    </row>
    <row r="13" spans="2:62" x14ac:dyDescent="0.35">
      <c r="B13" s="65">
        <v>1.1666666666666667</v>
      </c>
      <c r="C13" s="65">
        <v>0.66666666666666663</v>
      </c>
      <c r="D13" s="65">
        <v>0.16666666666666666</v>
      </c>
    </row>
    <row r="14" spans="2:62" x14ac:dyDescent="0.35">
      <c r="B14" s="65">
        <v>1.0454545454545454</v>
      </c>
      <c r="C14" s="65">
        <v>0.5</v>
      </c>
      <c r="D14" s="65">
        <v>0.20454545454545456</v>
      </c>
    </row>
    <row r="15" spans="2:62" x14ac:dyDescent="0.35">
      <c r="B15" s="65">
        <v>1.0434782608695652</v>
      </c>
      <c r="C15" s="65">
        <v>0.43478260869565216</v>
      </c>
      <c r="D15" s="65">
        <v>0.30434782608695654</v>
      </c>
    </row>
    <row r="16" spans="2:62" x14ac:dyDescent="0.35">
      <c r="B16" s="65">
        <v>2</v>
      </c>
      <c r="C16" s="65">
        <v>0.66666666666666663</v>
      </c>
      <c r="D16" s="65">
        <v>0.66666666666666663</v>
      </c>
    </row>
    <row r="17" spans="2:17" x14ac:dyDescent="0.35">
      <c r="B17" s="65">
        <v>1.1818181818181819</v>
      </c>
      <c r="C17" s="65">
        <v>0.54545454545454541</v>
      </c>
      <c r="D17" s="65">
        <v>0.18181818181818182</v>
      </c>
    </row>
    <row r="18" spans="2:17" x14ac:dyDescent="0.35">
      <c r="B18" s="65">
        <v>1</v>
      </c>
      <c r="C18" s="65">
        <v>0.5</v>
      </c>
      <c r="D18" s="65">
        <v>0</v>
      </c>
    </row>
    <row r="19" spans="2:17" x14ac:dyDescent="0.35">
      <c r="B19" s="65">
        <v>1</v>
      </c>
      <c r="C19" s="65">
        <v>0.5</v>
      </c>
      <c r="D19" s="65">
        <v>0</v>
      </c>
    </row>
    <row r="20" spans="2:17" x14ac:dyDescent="0.35">
      <c r="B20" s="65">
        <v>2</v>
      </c>
      <c r="C20" s="65">
        <v>1</v>
      </c>
      <c r="D20" s="65">
        <v>0.2</v>
      </c>
    </row>
    <row r="21" spans="2:17" x14ac:dyDescent="0.35">
      <c r="B21" s="65">
        <v>1.1000000000000001</v>
      </c>
      <c r="C21" s="65">
        <v>0.56666666666666665</v>
      </c>
      <c r="D21" s="65">
        <v>0.23333333333333334</v>
      </c>
    </row>
    <row r="22" spans="2:17" x14ac:dyDescent="0.35">
      <c r="B22" s="65">
        <v>1.1379310344827587</v>
      </c>
      <c r="C22" s="65">
        <v>0.62068965517241381</v>
      </c>
      <c r="D22" s="65">
        <v>0.20689655172413793</v>
      </c>
    </row>
    <row r="23" spans="2:17" x14ac:dyDescent="0.35">
      <c r="B23" s="65">
        <v>1</v>
      </c>
      <c r="C23" s="65">
        <v>0.5714285714285714</v>
      </c>
      <c r="D23" s="65">
        <v>0.21428571428571427</v>
      </c>
    </row>
    <row r="24" spans="2:17" x14ac:dyDescent="0.35">
      <c r="B24" s="65">
        <v>1.2777777777777777</v>
      </c>
      <c r="C24" s="65">
        <v>0.61111111111111116</v>
      </c>
      <c r="D24" s="65">
        <v>0.27777777777777779</v>
      </c>
      <c r="M24" t="s">
        <v>97</v>
      </c>
    </row>
    <row r="25" spans="2:17" x14ac:dyDescent="0.35">
      <c r="M25" t="s">
        <v>47</v>
      </c>
      <c r="N25" t="s">
        <v>98</v>
      </c>
      <c r="O25" t="s">
        <v>143</v>
      </c>
    </row>
    <row r="27" spans="2:17" x14ac:dyDescent="0.35">
      <c r="N27" s="42" t="s">
        <v>99</v>
      </c>
      <c r="O27" s="42" t="s">
        <v>111</v>
      </c>
      <c r="P27" s="46" t="s">
        <v>50</v>
      </c>
      <c r="Q27" s="46" t="s">
        <v>51</v>
      </c>
    </row>
    <row r="28" spans="2:17" x14ac:dyDescent="0.35">
      <c r="N28" s="43" t="s">
        <v>103</v>
      </c>
      <c r="O28" s="47">
        <v>1.3</v>
      </c>
      <c r="P28" s="4">
        <v>0.64300000000000002</v>
      </c>
      <c r="Q28" s="4">
        <v>0.23400000000000001</v>
      </c>
    </row>
    <row r="29" spans="2:17" x14ac:dyDescent="0.35">
      <c r="N29" s="43" t="s">
        <v>104</v>
      </c>
      <c r="O29" s="44">
        <f>(O30-O31)/6</f>
        <v>0.43516666666666665</v>
      </c>
      <c r="P29" s="44">
        <f t="shared" ref="P29:Q29" si="0">(P30-P31)/6</f>
        <v>0.22883333333333333</v>
      </c>
      <c r="Q29" s="44">
        <f t="shared" si="0"/>
        <v>0.13900000000000001</v>
      </c>
    </row>
    <row r="30" spans="2:17" x14ac:dyDescent="0.35">
      <c r="N30" s="43" t="s">
        <v>105</v>
      </c>
      <c r="O30" s="47">
        <v>2.6059999999999999</v>
      </c>
      <c r="P30" s="4">
        <v>1.329</v>
      </c>
      <c r="Q30" s="4">
        <v>0.65100000000000002</v>
      </c>
    </row>
    <row r="31" spans="2:17" x14ac:dyDescent="0.35">
      <c r="N31" s="43" t="s">
        <v>106</v>
      </c>
      <c r="O31" s="47">
        <v>-5.0000000000000001E-3</v>
      </c>
      <c r="P31" s="4">
        <v>-4.3999999999999997E-2</v>
      </c>
      <c r="Q31" s="4">
        <v>-0.183</v>
      </c>
    </row>
    <row r="32" spans="2:17" x14ac:dyDescent="0.35">
      <c r="N32" s="45"/>
      <c r="O32" s="45"/>
      <c r="P32" s="45"/>
      <c r="Q32" s="45"/>
    </row>
    <row r="33" spans="14:19" x14ac:dyDescent="0.35">
      <c r="N33" s="45"/>
      <c r="O33" s="45"/>
      <c r="P33" s="45"/>
      <c r="Q33" s="45"/>
    </row>
    <row r="34" spans="14:19" x14ac:dyDescent="0.35">
      <c r="N34" s="45"/>
      <c r="O34" s="45"/>
      <c r="P34" s="45"/>
      <c r="Q34" s="45"/>
    </row>
    <row r="35" spans="14:19" x14ac:dyDescent="0.35">
      <c r="N35" s="42" t="s">
        <v>107</v>
      </c>
      <c r="O35" s="42" t="s">
        <v>111</v>
      </c>
      <c r="P35" s="45"/>
      <c r="Q35" s="45"/>
    </row>
    <row r="36" spans="14:19" x14ac:dyDescent="0.35">
      <c r="N36" s="43" t="s">
        <v>103</v>
      </c>
      <c r="O36" s="48">
        <f>O28-Q36</f>
        <v>1.17</v>
      </c>
      <c r="P36" s="45"/>
      <c r="Q36" s="45">
        <f>O28*10%</f>
        <v>0.13</v>
      </c>
    </row>
    <row r="37" spans="14:19" x14ac:dyDescent="0.35">
      <c r="N37" s="43" t="s">
        <v>104</v>
      </c>
      <c r="O37" s="43">
        <v>0.25</v>
      </c>
      <c r="P37" s="45"/>
      <c r="Q37" s="45"/>
      <c r="S37">
        <f>O41/O28</f>
        <v>0.90065230769230775</v>
      </c>
    </row>
    <row r="38" spans="14:19" x14ac:dyDescent="0.35">
      <c r="N38" s="45"/>
      <c r="O38" s="45"/>
      <c r="P38" s="45"/>
      <c r="Q38" s="45"/>
    </row>
    <row r="39" spans="14:19" x14ac:dyDescent="0.35">
      <c r="N39" s="45"/>
      <c r="O39" s="45"/>
      <c r="P39" s="45"/>
      <c r="Q39" s="45"/>
    </row>
    <row r="40" spans="14:19" x14ac:dyDescent="0.35">
      <c r="N40" s="42" t="s">
        <v>108</v>
      </c>
      <c r="O40" s="42" t="s">
        <v>111</v>
      </c>
      <c r="P40" s="46" t="s">
        <v>50</v>
      </c>
      <c r="Q40" s="46" t="s">
        <v>51</v>
      </c>
    </row>
    <row r="41" spans="14:19" x14ac:dyDescent="0.35">
      <c r="N41" s="43" t="s">
        <v>103</v>
      </c>
      <c r="O41" s="88">
        <f>0.129 + 1.312 *P41 + 1.5 *Q41</f>
        <v>1.1708480000000001</v>
      </c>
      <c r="P41" s="88">
        <v>0.55400000000000005</v>
      </c>
      <c r="Q41" s="88">
        <v>0.21</v>
      </c>
    </row>
    <row r="42" spans="14:19" x14ac:dyDescent="0.35">
      <c r="N42" s="43" t="s">
        <v>104</v>
      </c>
      <c r="O42" s="43">
        <v>0.25</v>
      </c>
      <c r="P42" s="43">
        <v>0.1</v>
      </c>
      <c r="Q42" s="43">
        <v>0.5</v>
      </c>
    </row>
    <row r="43" spans="14:19" x14ac:dyDescent="0.35">
      <c r="N43" s="43" t="s">
        <v>109</v>
      </c>
      <c r="O43" s="43">
        <f>O41+(3*O42)</f>
        <v>1.9208480000000001</v>
      </c>
      <c r="P43" s="43">
        <f t="shared" ref="P43:Q43" si="1">P41+(3*P42)</f>
        <v>0.85400000000000009</v>
      </c>
      <c r="Q43" s="43">
        <f t="shared" si="1"/>
        <v>1.71</v>
      </c>
    </row>
    <row r="44" spans="14:19" x14ac:dyDescent="0.35">
      <c r="N44" s="43" t="s">
        <v>110</v>
      </c>
      <c r="O44" s="43">
        <f>O42-(3*O42)</f>
        <v>-0.5</v>
      </c>
      <c r="P44" s="43">
        <f t="shared" ref="P44:Q44" si="2">P42-(3*P42)</f>
        <v>-0.20000000000000004</v>
      </c>
      <c r="Q44" s="43">
        <f t="shared" si="2"/>
        <v>-1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
  <sheetViews>
    <sheetView topLeftCell="A21" zoomScale="80" zoomScaleNormal="80" workbookViewId="0">
      <selection activeCell="O30" sqref="O30"/>
    </sheetView>
  </sheetViews>
  <sheetFormatPr defaultRowHeight="14.5" x14ac:dyDescent="0.35"/>
  <cols>
    <col min="2" max="2" width="10.81640625" customWidth="1"/>
    <col min="3" max="3" width="10.90625" customWidth="1"/>
    <col min="18" max="18" width="20.1796875" customWidth="1"/>
    <col min="22" max="22" width="17" customWidth="1"/>
  </cols>
  <sheetData>
    <row r="1" spans="1:3" ht="46.5" x14ac:dyDescent="0.35">
      <c r="A1" s="53" t="s">
        <v>38</v>
      </c>
      <c r="B1" s="41" t="s">
        <v>144</v>
      </c>
    </row>
    <row r="2" spans="1:3" x14ac:dyDescent="0.35">
      <c r="A2" s="100">
        <v>0.75</v>
      </c>
      <c r="B2" s="101">
        <v>0.1111111111111111</v>
      </c>
      <c r="C2" s="102"/>
    </row>
    <row r="3" spans="1:3" x14ac:dyDescent="0.35">
      <c r="A3" s="100">
        <v>0.7</v>
      </c>
      <c r="B3" s="101">
        <v>3.9473684210526314E-2</v>
      </c>
      <c r="C3" s="102"/>
    </row>
    <row r="4" spans="1:3" x14ac:dyDescent="0.35">
      <c r="A4" s="100">
        <v>0.8</v>
      </c>
      <c r="B4" s="101">
        <v>0.13333333333333333</v>
      </c>
      <c r="C4" s="102"/>
    </row>
    <row r="5" spans="1:3" x14ac:dyDescent="0.35">
      <c r="A5" s="100">
        <v>1</v>
      </c>
      <c r="B5" s="101">
        <v>0.14285714285714285</v>
      </c>
      <c r="C5" s="102"/>
    </row>
    <row r="6" spans="1:3" x14ac:dyDescent="0.35">
      <c r="A6" s="100">
        <v>1</v>
      </c>
      <c r="B6" s="101">
        <v>0.25</v>
      </c>
      <c r="C6" s="102"/>
    </row>
    <row r="7" spans="1:3" x14ac:dyDescent="0.35">
      <c r="A7" s="100">
        <v>0.71428571428571419</v>
      </c>
      <c r="B7" s="101">
        <v>0.11538461538461539</v>
      </c>
      <c r="C7" s="102"/>
    </row>
    <row r="8" spans="1:3" x14ac:dyDescent="0.35">
      <c r="A8" s="100">
        <v>0.5</v>
      </c>
      <c r="B8" s="101">
        <v>0</v>
      </c>
      <c r="C8" s="102"/>
    </row>
    <row r="9" spans="1:3" x14ac:dyDescent="0.35">
      <c r="A9" s="100">
        <v>0.5</v>
      </c>
      <c r="B9" s="101">
        <v>0.08</v>
      </c>
      <c r="C9" s="102"/>
    </row>
    <row r="10" spans="1:3" x14ac:dyDescent="0.35">
      <c r="A10" s="100">
        <v>0.8</v>
      </c>
      <c r="B10" s="101">
        <v>0.16666666666666666</v>
      </c>
      <c r="C10" s="102"/>
    </row>
    <row r="11" spans="1:3" x14ac:dyDescent="0.35">
      <c r="A11" s="100">
        <v>0.6</v>
      </c>
      <c r="B11" s="101">
        <v>0.13333333333333333</v>
      </c>
      <c r="C11" s="102"/>
    </row>
    <row r="12" spans="1:3" x14ac:dyDescent="0.35">
      <c r="A12" s="100">
        <v>1</v>
      </c>
      <c r="B12" s="101">
        <v>0.5</v>
      </c>
      <c r="C12" s="102"/>
    </row>
    <row r="13" spans="1:3" x14ac:dyDescent="0.35">
      <c r="A13" s="100">
        <v>1</v>
      </c>
      <c r="B13" s="101">
        <v>0.16666666666666666</v>
      </c>
      <c r="C13" s="102"/>
    </row>
    <row r="14" spans="1:3" x14ac:dyDescent="0.35">
      <c r="A14" s="100">
        <v>0.57142857142857151</v>
      </c>
      <c r="B14" s="101">
        <v>4.5454545454545456E-2</v>
      </c>
      <c r="C14" s="102"/>
    </row>
    <row r="15" spans="1:3" x14ac:dyDescent="0.35">
      <c r="A15" s="100">
        <v>0.83333333333333337</v>
      </c>
      <c r="B15" s="101">
        <v>0.13043478260869565</v>
      </c>
      <c r="C15" s="102"/>
    </row>
    <row r="16" spans="1:3" x14ac:dyDescent="0.35">
      <c r="A16" s="100">
        <v>1</v>
      </c>
      <c r="B16" s="101">
        <v>0.66666666666666663</v>
      </c>
      <c r="C16" s="102"/>
    </row>
    <row r="17" spans="1:17" x14ac:dyDescent="0.35">
      <c r="A17" s="100">
        <v>0.79999999999999993</v>
      </c>
      <c r="B17" s="101">
        <v>0.18181818181818182</v>
      </c>
      <c r="C17" s="102"/>
    </row>
    <row r="18" spans="1:17" x14ac:dyDescent="0.35">
      <c r="A18" s="100">
        <v>0.5</v>
      </c>
      <c r="B18" s="101">
        <v>0</v>
      </c>
      <c r="C18" s="102"/>
    </row>
    <row r="19" spans="1:17" x14ac:dyDescent="0.35">
      <c r="A19" s="100">
        <v>1</v>
      </c>
      <c r="B19" s="101">
        <v>0.5</v>
      </c>
      <c r="C19" s="102"/>
    </row>
    <row r="20" spans="1:17" x14ac:dyDescent="0.35">
      <c r="A20" s="100">
        <v>0.66666666666666663</v>
      </c>
      <c r="B20" s="101">
        <v>0.2</v>
      </c>
      <c r="C20" s="102"/>
    </row>
    <row r="21" spans="1:17" x14ac:dyDescent="0.35">
      <c r="A21" s="100">
        <v>0.6</v>
      </c>
      <c r="B21" s="101">
        <v>6.6666666666666666E-2</v>
      </c>
      <c r="C21" s="102"/>
    </row>
    <row r="22" spans="1:17" x14ac:dyDescent="0.35">
      <c r="A22" s="100">
        <v>0.5</v>
      </c>
      <c r="B22" s="101">
        <v>6.8965517241379309E-2</v>
      </c>
      <c r="C22" s="102"/>
    </row>
    <row r="23" spans="1:17" x14ac:dyDescent="0.35">
      <c r="A23" s="100">
        <v>0.8</v>
      </c>
      <c r="B23" s="101">
        <v>0.14285714285714285</v>
      </c>
      <c r="C23" s="102"/>
      <c r="D23" s="73"/>
      <c r="E23" s="73"/>
      <c r="F23" s="73"/>
    </row>
    <row r="24" spans="1:17" x14ac:dyDescent="0.35">
      <c r="A24" s="100">
        <v>0.75</v>
      </c>
      <c r="B24" s="101">
        <v>5.5555555555555552E-2</v>
      </c>
      <c r="C24" s="102"/>
      <c r="D24" s="73"/>
      <c r="E24" s="73"/>
      <c r="F24" s="73"/>
    </row>
    <row r="28" spans="1:17" x14ac:dyDescent="0.35">
      <c r="O28" t="s">
        <v>97</v>
      </c>
    </row>
    <row r="29" spans="1:17" x14ac:dyDescent="0.35">
      <c r="O29" t="s">
        <v>38</v>
      </c>
      <c r="P29" t="s">
        <v>98</v>
      </c>
      <c r="Q29" t="s">
        <v>145</v>
      </c>
    </row>
    <row r="36" spans="16:19" x14ac:dyDescent="0.35">
      <c r="P36" s="66" t="s">
        <v>99</v>
      </c>
      <c r="Q36" s="67" t="s">
        <v>38</v>
      </c>
      <c r="R36" s="67" t="s">
        <v>146</v>
      </c>
    </row>
    <row r="37" spans="16:19" x14ac:dyDescent="0.35">
      <c r="P37" s="68" t="s">
        <v>103</v>
      </c>
      <c r="Q37" s="20">
        <v>0.75600000000000001</v>
      </c>
      <c r="R37" s="20">
        <v>0.16900000000000001</v>
      </c>
    </row>
    <row r="38" spans="16:19" x14ac:dyDescent="0.35">
      <c r="P38" s="68" t="s">
        <v>104</v>
      </c>
      <c r="Q38" s="69">
        <f>(Q39-Q40)/6</f>
        <v>0.17966666666666664</v>
      </c>
      <c r="R38" s="69">
        <f>(R39-R40)/6</f>
        <v>0.15883333333333335</v>
      </c>
    </row>
    <row r="39" spans="16:19" x14ac:dyDescent="0.35">
      <c r="P39" s="68" t="s">
        <v>105</v>
      </c>
      <c r="Q39" s="20">
        <v>1.2949999999999999</v>
      </c>
      <c r="R39" s="20">
        <v>0.64600000000000002</v>
      </c>
    </row>
    <row r="40" spans="16:19" x14ac:dyDescent="0.35">
      <c r="P40" s="68" t="s">
        <v>106</v>
      </c>
      <c r="Q40" s="20">
        <v>0.217</v>
      </c>
      <c r="R40" s="20">
        <v>-0.307</v>
      </c>
    </row>
    <row r="42" spans="16:19" x14ac:dyDescent="0.35">
      <c r="P42" s="66" t="s">
        <v>107</v>
      </c>
      <c r="Q42" s="66" t="s">
        <v>38</v>
      </c>
      <c r="R42" s="70"/>
      <c r="S42" s="70"/>
    </row>
    <row r="43" spans="16:19" x14ac:dyDescent="0.35">
      <c r="P43" s="68" t="s">
        <v>103</v>
      </c>
      <c r="Q43" s="87">
        <f>Q37+S43</f>
        <v>0.79380000000000006</v>
      </c>
      <c r="R43" s="71"/>
      <c r="S43" s="70">
        <f>Q37*5%</f>
        <v>3.78E-2</v>
      </c>
    </row>
    <row r="44" spans="16:19" x14ac:dyDescent="0.35">
      <c r="P44" s="68" t="s">
        <v>104</v>
      </c>
      <c r="Q44" s="72">
        <v>0.1</v>
      </c>
      <c r="R44" s="70"/>
      <c r="S44" s="70"/>
    </row>
    <row r="46" spans="16:19" x14ac:dyDescent="0.35">
      <c r="P46" s="66" t="s">
        <v>108</v>
      </c>
      <c r="Q46" s="67" t="s">
        <v>38</v>
      </c>
      <c r="R46" s="67" t="s">
        <v>146</v>
      </c>
    </row>
    <row r="47" spans="16:19" x14ac:dyDescent="0.35">
      <c r="P47" s="68" t="s">
        <v>103</v>
      </c>
      <c r="Q47" s="85">
        <f>0.6247+0.775*R47</f>
        <v>0.79520000000000002</v>
      </c>
      <c r="R47" s="86">
        <v>0.22</v>
      </c>
    </row>
    <row r="48" spans="16:19" x14ac:dyDescent="0.35">
      <c r="P48" s="68" t="s">
        <v>104</v>
      </c>
      <c r="Q48" s="43">
        <v>0.1</v>
      </c>
      <c r="R48" s="43">
        <v>0.05</v>
      </c>
    </row>
    <row r="49" spans="16:18" x14ac:dyDescent="0.35">
      <c r="P49" s="68" t="s">
        <v>109</v>
      </c>
      <c r="Q49" s="68">
        <f>Q47+(3*Q48)</f>
        <v>1.0952000000000002</v>
      </c>
      <c r="R49" s="68">
        <f>R47+(3*R48)</f>
        <v>0.37</v>
      </c>
    </row>
    <row r="50" spans="16:18" x14ac:dyDescent="0.35">
      <c r="P50" s="68" t="s">
        <v>110</v>
      </c>
      <c r="Q50" s="68">
        <f>Q47-(3*Q48)</f>
        <v>0.49519999999999997</v>
      </c>
      <c r="R50" s="68">
        <f>R47-(3*R48)</f>
        <v>6.9999999999999979E-2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Jan to June</vt:lpstr>
      <vt:lpstr>PPM Productivity cycle 1</vt:lpstr>
      <vt:lpstr>PPM Cycle Time Cycle 1</vt:lpstr>
      <vt:lpstr>PPM - DRE Cycle 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2025-10-16T05:39:03Z</dcterms:created>
  <dcterms:modified xsi:type="dcterms:W3CDTF">2026-02-05T08:48:07Z</dcterms:modified>
  <cp:category/>
  <cp:contentStatus/>
</cp:coreProperties>
</file>