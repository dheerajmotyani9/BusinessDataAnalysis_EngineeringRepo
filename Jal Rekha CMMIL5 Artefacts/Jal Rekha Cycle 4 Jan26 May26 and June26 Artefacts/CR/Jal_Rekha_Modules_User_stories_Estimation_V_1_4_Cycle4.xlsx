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Guidelines" sheetId="1" state="visible" r:id="rId3"/>
    <sheet name="Version History" sheetId="2" state="visible" r:id="rId4"/>
    <sheet name="Master" sheetId="3" state="visible" r:id="rId5"/>
    <sheet name="Baseline Productivity " sheetId="4" state="visible" r:id="rId6"/>
    <sheet name="Anusharavan Estimation" sheetId="5" state="visible" r:id="rId7"/>
    <sheet name="Asset Mapping Estimation" sheetId="6" state="visible" r:id="rId8"/>
    <sheet name="Bharosa CR Estimation" sheetId="7" state="visible" r:id="rId9"/>
    <sheet name="Cube Testing Estimation" sheetId="8" state="visible" r:id="rId10"/>
    <sheet name="Dhara Estimation" sheetId="9" state="visible" r:id="rId11"/>
    <sheet name="FHTC Estimation" sheetId="10" state="visible" r:id="rId12"/>
    <sheet name="Master Estimation" sheetId="11" state="visible" r:id="rId13"/>
    <sheet name="Material Testing Estimation" sheetId="12" state="visible" r:id="rId14"/>
    <sheet name="Nirmal Estimation" sheetId="13" state="visible" r:id="rId15"/>
    <sheet name="O&amp;M Estimation" sheetId="14" state="visible" r:id="rId16"/>
    <sheet name="Sahbhagita Estimation" sheetId="15" state="visible" r:id="rId17"/>
    <sheet name="CMMI Doc Estimation" sheetId="16" state="visible" r:id="rId18"/>
    <sheet name="SVS Estimation" sheetId="17" state="visible" r:id="rId19"/>
    <sheet name="AI Module Estimation" sheetId="18" state="visible" r:id="rId20"/>
  </sheets>
  <definedNames>
    <definedName function="false" hidden="false" name="ACE" vbProcedure="false">master!#ref!</definedName>
    <definedName function="false" hidden="false" name="AGILE_1" vbProcedure="false">master!#ref!</definedName>
    <definedName function="false" hidden="false" name="AGILE_2" vbProcedure="false">master!#ref!</definedName>
    <definedName function="false" hidden="false" name="AUT" vbProcedure="false">master!#ref!</definedName>
    <definedName function="false" hidden="false" name="Automation" vbProcedure="false">master!#ref!</definedName>
    <definedName function="false" hidden="false" name="Code_element" vbProcedure="false">Master!$A$4:$B$4</definedName>
    <definedName function="false" hidden="false" name="DACL" vbProcedure="false">master!#ref!</definedName>
    <definedName function="false" hidden="false" name="Data" vbProcedure="false">master!#ref!</definedName>
    <definedName function="false" hidden="false" name="Data_Modeling" vbProcedure="false">master!#ref!</definedName>
    <definedName function="false" hidden="false" name="Development" vbProcedure="false">Master!$A$3:$A$28</definedName>
    <definedName function="false" hidden="false" name="Enhancement_and_customization" vbProcedure="false">Master!$B$3:$B$21</definedName>
    <definedName function="false" hidden="false" name="GEN_AI" vbProcedure="false">master!#ref!</definedName>
    <definedName function="false" hidden="false" name="GLBS" vbProcedure="false">master!#ref!</definedName>
    <definedName function="false" hidden="false" name="Infra_Setup" vbProcedure="false">Master!$A$7:$B$7</definedName>
    <definedName function="false" hidden="false" name="Ingestion" vbProcedure="false">Master!$A$6:$B$6</definedName>
    <definedName function="false" hidden="false" name="IOT" vbProcedure="false">master!#ref!</definedName>
    <definedName function="false" hidden="false" name="Marktek" vbProcedure="false">master!#ref!</definedName>
    <definedName function="false" hidden="false" name="MSDA" vbProcedure="false">master!#ref!</definedName>
    <definedName function="false" hidden="false" name="MSI" vbProcedure="false">Master!$A$3:$A$11</definedName>
    <definedName function="false" hidden="false" name="New_Development" vbProcedure="false">Master!$A$3:$A$21</definedName>
    <definedName function="false" hidden="false" name="Reports" vbProcedure="false">Master!$A$5:$B$5</definedName>
    <definedName function="false" hidden="false" name="Scalable_development" vbProcedure="false">master!#ref!</definedName>
    <definedName function="false" hidden="false" name="Screen" vbProcedure="false">Master!$A$3:$B$3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<sst xmlns="http://schemas.openxmlformats.org/spreadsheetml/2006/main" count="694" uniqueCount="259">
  <si>
    <t xml:space="preserve">Complexity</t>
  </si>
  <si>
    <t xml:space="preserve">Work Type</t>
  </si>
  <si>
    <t xml:space="preserve">Component </t>
  </si>
  <si>
    <t xml:space="preserve">Low</t>
  </si>
  <si>
    <t xml:space="preserve">Medium</t>
  </si>
  <si>
    <t xml:space="preserve">High </t>
  </si>
  <si>
    <t xml:space="preserve">Development </t>
  </si>
  <si>
    <t xml:space="preserve">Web Page / Screen with no of input fields </t>
  </si>
  <si>
    <t xml:space="preserve">10-15</t>
  </si>
  <si>
    <t xml:space="preserve">&gt; 15</t>
  </si>
  <si>
    <t xml:space="preserve">Elements
Label
Graph
Tile
Grid
Pop-up
Drop Down
Data Entery Field
Button
Custom Built element</t>
  </si>
  <si>
    <t xml:space="preserve">
</t>
  </si>
  <si>
    <t xml:space="preserve">Type of exit scenario</t>
  </si>
  <si>
    <t xml:space="preserve">1 to 2</t>
  </si>
  <si>
    <t xml:space="preserve">&gt;3</t>
  </si>
  <si>
    <t xml:space="preserve">label</t>
  </si>
  <si>
    <t xml:space="preserve">text box</t>
  </si>
  <si>
    <t xml:space="preserve">No of Validation on the fields</t>
  </si>
  <si>
    <t xml:space="preserve">1 to 5 </t>
  </si>
  <si>
    <t xml:space="preserve">5 To 10 </t>
  </si>
  <si>
    <t xml:space="preserve">&gt;10</t>
  </si>
  <si>
    <t xml:space="preserve">button</t>
  </si>
  <si>
    <t xml:space="preserve">No of Prefilled fields</t>
  </si>
  <si>
    <t xml:space="preserve">10 to 30</t>
  </si>
  <si>
    <t xml:space="preserve">30 to 50</t>
  </si>
  <si>
    <t xml:space="preserve">&gt;50</t>
  </si>
  <si>
    <t xml:space="preserve">drop down</t>
  </si>
  <si>
    <t xml:space="preserve">No of API Integrations </t>
  </si>
  <si>
    <t xml:space="preserve">2 to 5</t>
  </si>
  <si>
    <t xml:space="preserve">&gt; 5 </t>
  </si>
  <si>
    <t xml:space="preserve">checkbox</t>
  </si>
  <si>
    <t xml:space="preserve">No API integrations for saving the data</t>
  </si>
  <si>
    <t xml:space="preserve">3 to 5</t>
  </si>
  <si>
    <t xml:space="preserve">&gt;5</t>
  </si>
  <si>
    <t xml:space="preserve">aadhar</t>
  </si>
  <si>
    <t xml:space="preserve">Queries or Business rules for the application</t>
  </si>
  <si>
    <t xml:space="preserve">No validation or business rules. One data store</t>
  </si>
  <si>
    <t xml:space="preserve">No validation or business rules. Up to 3 data stores</t>
  </si>
  <si>
    <t xml:space="preserve">Validation or business rules involved. Multiple data stores</t>
  </si>
  <si>
    <t xml:space="preserve">samagra integration</t>
  </si>
  <si>
    <t xml:space="preserve">No of Integration</t>
  </si>
  <si>
    <t xml:space="preserve">report</t>
  </si>
  <si>
    <t xml:space="preserve">mobile App-UI</t>
  </si>
  <si>
    <t xml:space="preserve">Static screen</t>
  </si>
  <si>
    <t xml:space="preserve">Screen with 2-4 internal components
</t>
  </si>
  <si>
    <t xml:space="preserve">Screen with external components
</t>
  </si>
  <si>
    <t xml:space="preserve">MObile app</t>
  </si>
  <si>
    <t xml:space="preserve">Data Migration</t>
  </si>
  <si>
    <t xml:space="preserve">Master Table </t>
  </si>
  <si>
    <t xml:space="preserve">Table with data errors and involves Data validation and cleansing</t>
  </si>
  <si>
    <t xml:space="preserve">Table with relationship with data errors and requires data validation and cleansing</t>
  </si>
  <si>
    <t xml:space="preserve">submit </t>
  </si>
  <si>
    <t xml:space="preserve">Reports</t>
  </si>
  <si>
    <t xml:space="preserve">tabular report. &lt;10 columns.
1 data source
Elements( Table, PIE chart, 
Report count: 1-2</t>
  </si>
  <si>
    <t xml:space="preserve">2-3 data source. Simple (Pie/Bar) chart
Elements( Stack,Line etc.)
Report type: 3-5</t>
  </si>
  <si>
    <t xml:space="preserve">&gt;3 data source. Multiple complex graphs
Elements( Doughnut, Trend analysis etc.)
Report type: More than 5</t>
  </si>
  <si>
    <t xml:space="preserve">clear</t>
  </si>
  <si>
    <t xml:space="preserve">reset</t>
  </si>
  <si>
    <t xml:space="preserve">Code element
Data Tranformation
Data Pre-processing
Custom Build element
API creation for UI\UX
API Integration</t>
  </si>
  <si>
    <t xml:space="preserve">Date</t>
  </si>
  <si>
    <t xml:space="preserve">Version</t>
  </si>
  <si>
    <t xml:space="preserve">Description </t>
  </si>
  <si>
    <t xml:space="preserve">Prepared by</t>
  </si>
  <si>
    <t xml:space="preserve">Reviewed &amp; approved by</t>
  </si>
  <si>
    <t xml:space="preserve">Size base Estimation Model First baseline</t>
  </si>
  <si>
    <t xml:space="preserve">SEPG Team </t>
  </si>
  <si>
    <t xml:space="preserve">SEPG Head </t>
  </si>
  <si>
    <t xml:space="preserve">1.4</t>
  </si>
  <si>
    <t xml:space="preserve">Cycle 4 (Jan-May 2026) Size based Estimation - All modules updated</t>
  </si>
  <si>
    <t xml:space="preserve">SEPG Team</t>
  </si>
  <si>
    <t xml:space="preserve">SEPG Head</t>
  </si>
  <si>
    <t xml:space="preserve">Estimation Elements</t>
  </si>
  <si>
    <t xml:space="preserve">New Development</t>
  </si>
  <si>
    <t xml:space="preserve">Enhancement and customization</t>
  </si>
  <si>
    <t xml:space="preserve">Type of work</t>
  </si>
  <si>
    <t xml:space="preserve">VAF Rating</t>
  </si>
  <si>
    <t xml:space="preserve">5 - Very Strong Influence </t>
  </si>
  <si>
    <t xml:space="preserve">4 - Strong Influence </t>
  </si>
  <si>
    <t xml:space="preserve">High</t>
  </si>
  <si>
    <t xml:space="preserve">3 - Average Influence</t>
  </si>
  <si>
    <t xml:space="preserve">Complex</t>
  </si>
  <si>
    <t xml:space="preserve">2 - Moderate Influence</t>
  </si>
  <si>
    <t xml:space="preserve">1- Slight Influence</t>
  </si>
  <si>
    <t xml:space="preserve">0 - No Influence </t>
  </si>
  <si>
    <t xml:space="preserve">Effort Distribution Guidelines</t>
  </si>
  <si>
    <t xml:space="preserve">Effort Distribution</t>
  </si>
  <si>
    <t xml:space="preserve">Cost</t>
  </si>
  <si>
    <t xml:space="preserve">Min</t>
  </si>
  <si>
    <t xml:space="preserve">Max</t>
  </si>
  <si>
    <t xml:space="preserve">Business Analyst </t>
  </si>
  <si>
    <t xml:space="preserve">Solution Architecht</t>
  </si>
  <si>
    <t xml:space="preserve">Developer / Data Scientist</t>
  </si>
  <si>
    <t xml:space="preserve">Tester</t>
  </si>
  <si>
    <t xml:space="preserve">Project Manager</t>
  </si>
  <si>
    <t xml:space="preserve">Infrastructure Setup</t>
  </si>
  <si>
    <t xml:space="preserve">Calculated Productivity </t>
  </si>
  <si>
    <t xml:space="preserve">Targated Productivity</t>
  </si>
  <si>
    <t xml:space="preserve">Unit</t>
  </si>
  <si>
    <t xml:space="preserve">Development &amp; Enhancement </t>
  </si>
  <si>
    <t xml:space="preserve">Point / per hour</t>
  </si>
  <si>
    <t xml:space="preserve">1  Point</t>
  </si>
  <si>
    <t xml:space="preserve">6.25 Hours </t>
  </si>
  <si>
    <t xml:space="preserve">Type Of work</t>
  </si>
  <si>
    <t xml:space="preserve">Development</t>
  </si>
  <si>
    <t xml:space="preserve">Project Name</t>
  </si>
  <si>
    <t xml:space="preserve">Jal Rekha</t>
  </si>
  <si>
    <t xml:space="preserve">Remark</t>
  </si>
  <si>
    <t xml:space="preserve">Anusharavan Module - Cycle 4</t>
  </si>
  <si>
    <t xml:space="preserve">Volume/Count of elements</t>
  </si>
  <si>
    <t xml:space="preserve">Guidelines</t>
  </si>
  <si>
    <t xml:space="preserve">Module + sub Module</t>
  </si>
  <si>
    <t xml:space="preserve">Functionality ( Sub Module)</t>
  </si>
  <si>
    <t xml:space="preserve">Elements (Refer Guidelines and Put here for reference)</t>
  </si>
  <si>
    <t xml:space="preserve">Low Complexity</t>
  </si>
  <si>
    <t xml:space="preserve">Medium compexity</t>
  </si>
  <si>
    <t xml:space="preserve">High Complexity</t>
  </si>
  <si>
    <t xml:space="preserve"> Size</t>
  </si>
  <si>
    <t xml:space="preserve">Anusharavan - RFI Module</t>
  </si>
  <si>
    <t xml:space="preserve">RFI New Stages &amp; Inspection Details</t>
  </si>
  <si>
    <t xml:space="preserve">New stage addition in RFI workflow; FE inspection details form (PIU); Customize report fields; Stage dropdown update; History screen search enhancement;
No of input fields: 10-15; Exit scenario: 2; No of Validations: 5-10; API Integrations: 3-5; Business rules: Stage transition validation across 2-3 data stores; Reports: Customized inspection report</t>
  </si>
  <si>
    <t xml:space="preserve">Anusharavan - CR Reports</t>
  </si>
  <si>
    <t xml:space="preserve">CR - RFI Stage Updations and Reports Modifications</t>
  </si>
  <si>
    <t xml:space="preserve">History screen search for Contractor &amp; FE login; Post-fix verification pipeline details; FE inspection date in PIU pending page; Customized report update;
No of input fields: 5-10; Exit scenario: 2; No of Validations: 3-5; API Integrations: 2-3; Reports: Tabular with 1-2 data sources</t>
  </si>
  <si>
    <t xml:space="preserve">Anusharavan - UI Enhancement</t>
  </si>
  <si>
    <t xml:space="preserve">UI Enhancement for Contractor &amp; Field Engineer Login</t>
  </si>
  <si>
    <t xml:space="preserve">Inner page layout redesign; Navigation menu update; Responsive design; Page performance optimization; Mobile App-UI: Responsive web design;
No of input fields: 8-10 (display only); Exit scenario: 1; No of Validations: 3-5; mobile App-UI: Static/responsive screen</t>
  </si>
  <si>
    <t xml:space="preserve">View Details, Log View &amp; Inspection Request Form Enhancement</t>
  </si>
  <si>
    <t xml:space="preserve">View details modal for RFI requests; Log view implementation; Inspection request form field enhancements; Form field rearrangement;
No of input fields: 10-15; Exit scenario: 2-3; No of Validations: 5-10; API Integrations: 2-3; Business rules: RFI log tracking; Prefilled fields: 10-30</t>
  </si>
  <si>
    <t xml:space="preserve">RFI Request Inspection Point Dialog and Pipeline Details on History Page</t>
  </si>
  <si>
    <t xml:space="preserve">Inspection point dialog popup; Pipeline details rendering on history page; Geolocation integration; Route visualization;
No of input fields: 5-10; Exit scenario: 2; No of Validations: 3-5; API Integrations: 2-3; mobile App-UI: Screen with 2-4 internal components</t>
  </si>
  <si>
    <t xml:space="preserve">TOTAL ANUSHARAVAN ESTIMATION (CYCLE 4)</t>
  </si>
  <si>
    <t xml:space="preserve">Total Count</t>
  </si>
  <si>
    <t xml:space="preserve">Productivity</t>
  </si>
  <si>
    <t xml:space="preserve">Size</t>
  </si>
  <si>
    <t xml:space="preserve">Point</t>
  </si>
  <si>
    <t xml:space="preserve">Effort</t>
  </si>
  <si>
    <t xml:space="preserve">Man hours</t>
  </si>
  <si>
    <t xml:space="preserve">VAF</t>
  </si>
  <si>
    <t xml:space="preserve">Risk contingency</t>
  </si>
  <si>
    <t xml:space="preserve">Project Management</t>
  </si>
  <si>
    <t xml:space="preserve">Total Planned effort</t>
  </si>
  <si>
    <t xml:space="preserve">Permissible Range(Man hours)</t>
  </si>
  <si>
    <t xml:space="preserve">Asset Mapping Module - Cycle 4</t>
  </si>
  <si>
    <t xml:space="preserve">Asset Mapping - Search &amp; UI</t>
  </si>
  <si>
    <t xml:space="preserve">Search Box for OHT on Map &amp; UI Redesign</t>
  </si>
  <si>
    <t xml:space="preserve">OHT search box on map; Geolocation-based filtering; Map redesign and deployment; Page live server deployment;
No of input fields: 3-5; Exit scenario: 1-2; No of Validations: 2-3; API Integrations: 2-3; mobile App-UI: Screen with external map component</t>
  </si>
  <si>
    <t xml:space="preserve">Asset Mapping - Bug Fixes &amp; Reports</t>
  </si>
  <si>
    <t xml:space="preserve">Accuracy Field, Data Get Method &amp; SQC/OHT/Contractor Reports</t>
  </si>
  <si>
    <t xml:space="preserve">Accuracy field changes; GET method update; SQC and OHT village testing bug fixing; Report creation for SQC/TPIA/contractor login;
No of input fields: 5-10; Exit scenario: 2; No of Validations: 3-5; API Integrations: 2-3; Reports: Tabular report with 1 data source</t>
  </si>
  <si>
    <t xml:space="preserve">TOTAL ASSET MAPPING ESTIMATION (CYCLE 4)</t>
  </si>
  <si>
    <t xml:space="preserve">Bharosa CR Module - Cycle 4</t>
  </si>
  <si>
    <t xml:space="preserve">Bharosa - Factory Testing Web</t>
  </si>
  <si>
    <t xml:space="preserve">Upload Multiple Documents on Web &amp; UI Updation</t>
  </si>
  <si>
    <t xml:space="preserve">Multiple document upload on web; UI update in existing pages; Bug fixes; QAP document upload functionality;
No of input fields: 5-10; Exit scenario: 2-3; No of Validations: 3-5; API Integrations: 3-5; Business rules: Document validation logic</t>
  </si>
  <si>
    <t xml:space="preserve">Save as Draft, Image, Video Upload &amp; Wireframing</t>
  </si>
  <si>
    <t xml:space="preserve">Save as draft functionality; Image and video upload option; Wireframe design; Unit field addition and display;
No of input fields: 10-15; Exit scenario: 2-3; No of Validations: 5-10; Prefilled fields: 10-30; API Integrations: 3-5; mobile App-UI: Screen with 2-4 internal components</t>
  </si>
  <si>
    <t xml:space="preserve">Bharosa - Factory Testing Mobile</t>
  </si>
  <si>
    <t xml:space="preserve">CR Factory Testing Mobile - Multiple Document &amp; QAP Download</t>
  </si>
  <si>
    <t xml:space="preserve">Document upload in web during component assignment; Display on web; QAP documents download functionality; Save as draft for mobile;
No of input fields: 5-10; Exit scenario: 2; No of Validations: 3-5; API Integrations: 3-5; mobile App-UI: Screen with 2-4 internal components</t>
  </si>
  <si>
    <t xml:space="preserve">TOTAL BHAROSA CR ESTIMATION (CYCLE 4)</t>
  </si>
  <si>
    <t xml:space="preserve">Cube Testing Module - Cycle 4</t>
  </si>
  <si>
    <t xml:space="preserve">Cube Testing - Contractor Login</t>
  </si>
  <si>
    <t xml:space="preserve">Creation of Cube Inspection by Contractor &amp; Requirement Gathering</t>
  </si>
  <si>
    <t xml:space="preserve">Cube inspection creation form; Contractor RFI survey form API integration; Survey form UI; Contractor history list with pagination; Wireframing &amp; workflow;
No of input fields: 10-15; Exit scenario: 2-3; No of Validations: 5-10; API Integrations: 2-3; Business rules: Inspection workflow across 2-3 data stores</t>
  </si>
  <si>
    <t xml:space="preserve">Cube Testing - FE Login</t>
  </si>
  <si>
    <t xml:space="preserve">FE Sync API, Survey, Cube Inspection &amp; Mobile Development</t>
  </si>
  <si>
    <t xml:space="preserve">FE sync API integration; FE survey form; FE inspection (7/28 days check); Mobile FE login; Offline data; Inspection Request form Local DB &amp; API; History &amp; Detail screen;
No of input fields: 10-15; Exit scenario: 2-3; No of Validations: 5-10; API Integrations: 5+; mobile App-UI: Screen with 2-4 internal components; Business rules: 7-day/28-day rule check</t>
  </si>
  <si>
    <t xml:space="preserve">Cube Testing - GM / SQC / TPIA</t>
  </si>
  <si>
    <t xml:space="preserve">GM Action Page, Summary Report &amp; Function for RFI Status</t>
  </si>
  <si>
    <t xml:space="preserve">GM action page; Customized report; Summary reports (7/28 days scenarios); Function for RFI request status update; Pending for action page; Bug fixing;
No of input fields: 10-15; Exit scenario: 2; No of Validations: 5-10; API Integrations: 3-5; Reports: Dashboard summary type with 2-3 data sources</t>
  </si>
  <si>
    <t xml:space="preserve">Cube Testing - CR</t>
  </si>
  <si>
    <t xml:space="preserve">SQC/TPIA Web Pages &amp; API, CR Changes &amp; Security Test Cases</t>
  </si>
  <si>
    <t xml:space="preserve">SQC Login web pages &amp; API; TPIA Login web pages &amp; API; Bug fixing; Test scenarios; Security test cases; CR change impact analysis; FE inspection date addition;
No of input fields: 10-15; Exit scenario: 2; No of Validations: 5-10; API Integrations: 3-5; Business rules: TPIA/SQC workflow across data stores</t>
  </si>
  <si>
    <t xml:space="preserve">Cube Testing - Requirement &amp; Design</t>
  </si>
  <si>
    <t xml:space="preserve">Requirement Gathering, Wireframing, Workflow &amp; User Stories</t>
  </si>
  <si>
    <t xml:space="preserve">Complete requirement gathering; Wireframe design for all logins (FE, Contractor, GM, SQC, TPIA); Workflow documentation; User stories creation; DB schema, Master &amp; Design Tables;
No of input fields: Not applicable; Exit scenario: Not applicable; No of Validations: Not applicable; Business rules: Requirement traceability</t>
  </si>
  <si>
    <t xml:space="preserve">Cube Testing - CR Module</t>
  </si>
  <si>
    <t xml:space="preserve">CR - Component Entry, FE Inspection Date, Manual Entry &amp; Security</t>
  </si>
  <si>
    <t xml:space="preserve">FE inspection date addition on GM/SQC/TPIA web pages; Remove inspection date, calculate days from Casting Date; Remove District/Block/GP/Village compulsion for certain components; Mandatory multiple image upload functionality;
No of input fields: 5-10; Exit scenario: 2; No of Validations: 3-5; API Integrations: 2-3</t>
  </si>
  <si>
    <t xml:space="preserve">TOTAL CUBE TESTING ESTIMATION (CYCLE 4)</t>
  </si>
  <si>
    <t xml:space="preserve">Dhara Module - Cycle 4</t>
  </si>
  <si>
    <t xml:space="preserve">Dhara - CR Reports (MWSR, DWSR, UFW)</t>
  </si>
  <si>
    <t xml:space="preserve">UI Update, New Pages, MWSR/DWSR/UFW Report Development</t>
  </si>
  <si>
    <t xml:space="preserve">UI update and bug fixes inner pages; New report pages (Approved Village MWSR, Bulk Consumer MWSR, DWSR, UFW); HSC Summary Report; DWSR Detailed &amp; DateWise reports; OHT Meter Survey Report;
No of input fields: 10-15 (filters); Exit scenario: 2 (View, Export); No of Validations: 5-10; API Integrations: 3-5; Reports: &gt;3 data sources, multiple complex reports, DWSR/MWSR/UFW types</t>
  </si>
  <si>
    <t xml:space="preserve">CR - All Reports Public, Bulk Consumer Mapping, Security Audit</t>
  </si>
  <si>
    <t xml:space="preserve">All components/reports changes (BULK, OHT, Scheme, DWSR based on Aaklan); Public page data visibility; DWSR public report enhancements; Add Bulk Consumer mapping; Meter reading survey (Intake, WTP, OHT, Bulk); Site security audit;
No of input fields: 10-15; Exit scenario: 2; No of Validations: 10+; API Integrations: 5+; Business rules: Complex across multiple data stores; Reports: &gt;3 data sources</t>
  </si>
  <si>
    <t xml:space="preserve">Dhara - GM PIU User Change Request</t>
  </si>
  <si>
    <t xml:space="preserve">Dhara WTP Meter Reading Issue &amp; Bulk Consumer Meter Reading CR</t>
  </si>
  <si>
    <t xml:space="preserve">Requirement gathering for WTP meter reading issue (certain schemes); Intake meter reading survey form requirement change; Bulk consumer meter reading survey; Approved status flow (FE→GM→Contractor); Test case/scenarios creation;
No of input fields: 5-10; Exit scenario: 2; No of Validations: 5-10; API Integrations: 2-3; Business rules: Meter reading validation across 2-3 data stores</t>
  </si>
  <si>
    <t xml:space="preserve">Dhara - Contractor Objection Module</t>
  </si>
  <si>
    <t xml:space="preserve">Contractor Objection Module for Intake, WTP, ESR-OHT Meter Survey</t>
  </si>
  <si>
    <t xml:space="preserve">New contractor objection pages (Intake, WTP, ESR/OHT meter survey); Objection popup with PDF upload; Service creation for contractor objection; Contractor objection API &amp; database integration;
No of input fields: 10-15; Exit scenario: 2-3; No of Validations: 5-10; API Integrations: 3-5; Business rules: Objection workflow with approval; Data Migration: New tables and services</t>
  </si>
  <si>
    <t xml:space="preserve">TOTAL DHARA ESTIMATION (CYCLE 4)</t>
  </si>
  <si>
    <t xml:space="preserve">FHTC Module - Cycle 4</t>
  </si>
  <si>
    <t xml:space="preserve">FHTC - Change Request GM/Contractor/Reports</t>
  </si>
  <si>
    <t xml:space="preserve">Re-Inspection (Loop) Functionality Web &amp; Mobile, GM/Contractor Reports</t>
  </si>
  <si>
    <t xml:space="preserve">Re-inspection loop for contractor, FE, SQC/TPIA; Re-inspection form UI &amp; API; History screen, Accepted/Rejected list; Search functionality for FE &amp; Contractor; View logs; Report filter column-level fixes;
No of input fields: 10-15; Exit scenario: 2-3; No of Validations: 5-10; API Integrations: 3-5; Business rules: Re-inspection workflow across multiple logins; mobile App-UI: Screen with 2-4 internal components</t>
  </si>
  <si>
    <t xml:space="preserve">FHTC - FE Reports</t>
  </si>
  <si>
    <t xml:space="preserve">FHTC FE Reports, Mobile Sync Changes &amp; History Screen</t>
  </si>
  <si>
    <t xml:space="preserve">FE login history screen changes; Sync changes; API integration for FE module; FHTC Internal Testing &amp; Bug Re-testing; Modified Excel export (dynamic file name, sheet name, header);
No of input fields: 5-10; Exit scenario: 2; No of Validations: 3-5; API Integrations: 2-3; Reports: Parinam Report fix; mobile App-UI: Screen with 2-4 internal components</t>
  </si>
  <si>
    <t xml:space="preserve">TOTAL FHTC ESTIMATION (CYCLE 4)</t>
  </si>
  <si>
    <t xml:space="preserve">Master Module - Cycle 4</t>
  </si>
  <si>
    <t xml:space="preserve">Master - Change Request</t>
  </si>
  <si>
    <t xml:space="preserve">Bulk Consumer Mapping, Scheme Village OHT, Bulk Meter Update &amp; Reports</t>
  </si>
  <si>
    <t xml:space="preserve">Dhara reports validate (Scheme, OHT, Bulk Consumer); Bulk Consumer Supply Mapping (meter_id added for WTP); OHT Village Mapping - Habitation Code Duplicate error fix; Scheme Village Mapping Census Population integration; Bulk Consumer delete/disable functionality; Bulk Meter Mapping (Insert-Edit-Update); Abstract Report development;
No of input fields: 10-15; Exit scenario: 2-3; No of Validations: 10+; API Integrations: 3-5; Business rules: Validation rules across multiple data stores; Data Migration: Schema updates</t>
  </si>
  <si>
    <t xml:space="preserve">TOTAL MASTER ESTIMATION (CYCLE 4)</t>
  </si>
  <si>
    <t xml:space="preserve">Material Testing - Cycle 4</t>
  </si>
  <si>
    <t xml:space="preserve">Material Testing - FE Login</t>
  </si>
  <si>
    <t xml:space="preserve">Material Testing Mobile App - Merge, Test &amp; Upload (FE)</t>
  </si>
  <si>
    <t xml:space="preserve">Material Testing merge code; Test on mobile; Upload on Play Store; Regression and production testing; Build deployment;
No of input fields: 5-10; Exit scenario: 2; No of Validations: 3-5; API Integrations: 2-3; mobile App-UI: Screen with 2-4 internal components</t>
  </si>
  <si>
    <t xml:space="preserve">Material Testing - GM/Contractor Login</t>
  </si>
  <si>
    <t xml:space="preserve">GM Login Web Pages, APIs, Functions, Mobile API &amp; SQC/TPIA Login</t>
  </si>
  <si>
    <t xml:space="preserve">GM login pending with PIU page; SQC/TPIA login web pages; Material testing Get Data API; Insert API with OHT ID parameter; Functions (fn_get_esr_details, etc.); Mobile API for FE login; Contractor inspection request form; Offline data list; Bug fixing; FE inspection date addition;
No of input fields: 10-15; Exit scenario: 2-3; No of Validations: 10+; API Integrations: 5+; Business rules: Complex inspection workflow across multiple stores; mobile App-UI: Screen with 2-4 internal components</t>
  </si>
  <si>
    <t xml:space="preserve">TOTAL MATERIAL TESTING ESTIMATION (CYCLE 4)</t>
  </si>
  <si>
    <t xml:space="preserve">Nirmal Module - Cycle 4</t>
  </si>
  <si>
    <t xml:space="preserve">Nirmal - Change Request - Reports</t>
  </si>
  <si>
    <t xml:space="preserve">Nirmal Beneficiary, OHT, WTP, RawWater Reports with CR &amp; UI Changes</t>
  </si>
  <si>
    <t xml:space="preserve">4 report types updated; Beneficiary report with parameter-level details (pH, TDS, Chlorine); Action Remarks chat box UI; Popup tables on action button; Drill-down levels (Beneficiary, OHT, WTP); Link button click UI; Search options on all reports; All changes moved to production;
No of input fields: 8-10 (filters); Exit scenario: 2-3; No of Validations: 5-10; API Integrations: 3-5; Reports: &gt;3 data sources with multiple complex charts and drill-down; mobile App-UI: Responsive UI with chat component</t>
  </si>
  <si>
    <t xml:space="preserve">Nirmal - FE Mobile</t>
  </si>
  <si>
    <t xml:space="preserve">Nirmal FE Mobile Reports &amp; Sync Bug Fixing</t>
  </si>
  <si>
    <t xml:space="preserve">Debugging Nirmal sync issue; Nirmal reports (Beneficiary, OHT, WTP, RawWater) test report failed records highlighted; Code merge in UAT and Production;
No of input fields: 5-10; Exit scenario: 2; No of Validations: 3-5; API Integrations: 2-3; mobile App-UI: Screen with 2-4 internal components; Reports: 2-3 data sources</t>
  </si>
  <si>
    <t xml:space="preserve">TOTAL NIRMAL ESTIMATION (CYCLE 4)</t>
  </si>
  <si>
    <t xml:space="preserve">O&amp;M Billing Module - Cycle 4</t>
  </si>
  <si>
    <t xml:space="preserve">O&amp;M Billing - GM</t>
  </si>
  <si>
    <t xml:space="preserve">CR GM: Census Flow, Bulk Mapping, Summary Page Changes, Scheme Reports</t>
  </si>
  <si>
    <t xml:space="preserve">UI updates inner pages; Summary page changes (as discussed with client); Census Flow - auto-fetch from Scheme Village Master (remove manual add/delete); Bulk Consumer mapping enhancements; MWSR null fix; Bill number auto-generate; Abstract report generation PDF; Residual Pressure PDF; O&amp;M Billing Wireframing update;
No of input fields: 15-20; Exit scenario: 2-3; No of Validations: 10+; Prefilled fields: 30-50; API Integrations: 3-5; Business rules: Complex billing logic across multiple stores; Reports: Summary, Abstract, Residual Pressure reports</t>
  </si>
  <si>
    <t xml:space="preserve">O&amp;M Billing - Contractor</t>
  </si>
  <si>
    <t xml:space="preserve">CR Contractor: Dhara/Nirmal Reports, Village MWSR, DWSR, Summary Page &amp; Approval</t>
  </si>
  <si>
    <t xml:space="preserve">Approved Dhara/Nirmal reports integration in Contractor Bill; Village/Bulk/Supply Point MWSR reports; DWSR report in O&amp;M Billing; Residual Pressure modification; Summary page (Gross O&amp;M Bill, editable fields, CPI-IW, Yearly Factor, CPWI); Final Bill Submission; Net Payable Bill; Document Upload Tab (Save &amp; Submit); Contractor Bill Approval Module; Draft &amp; Final state management;
No of input fields: 15-20; Exit scenario: 2-3; No of Validations: 10+; Prefilled fields: 30-50; API Integrations: 5+; Business rules: Complex billing calculation logic with CPI/CPWI across multiple data stores; Reports: &gt;3 data sources, multiple complex reports</t>
  </si>
  <si>
    <t xml:space="preserve">O&amp;M Billing - Workflow</t>
  </si>
  <si>
    <t xml:space="preserve">O&amp;M Billing Workflow between GM &amp; Higher Officials</t>
  </si>
  <si>
    <t xml:space="preserve">Workflow requirement understanding and analysis; Analysis of O&amp;M billing workflow; New changes understanding;
No of input fields: 5-10; Exit scenario: 1; No of Validations: 1-5; API Integrations: 2; Business rules: Single data store workflow</t>
  </si>
  <si>
    <t xml:space="preserve">TOTAL O&amp;M ESTIMATION (CYCLE 4)</t>
  </si>
  <si>
    <t xml:space="preserve">Sahbhagita Module - Cycle 4</t>
  </si>
  <si>
    <t xml:space="preserve">Sahbhagita - Change Request GM/PM/Reports</t>
  </si>
  <si>
    <t xml:space="preserve">Sahbhagita Report Modifications, Approval Module, Save as Draft</t>
  </si>
  <si>
    <t xml:space="preserve">Survey Approval page: NGO count segregation fix; Role-based PIU dropdown &amp; search validation; CP Manager RA Bill Approval; Modification on Sahbhagita report; Save as Draft functionality;
No of input fields: 8-10 (filters); Exit scenario: 2-3; No of Validations: 3-5; API Integrations: 2-3; Reports: Enhanced tabular with 2-3 data sources</t>
  </si>
  <si>
    <t xml:space="preserve">TOTAL SAHBHAGITA ESTIMATION (CYCLE 4)</t>
  </si>
  <si>
    <t xml:space="preserve">CMMI Documentation - Cycle 4</t>
  </si>
  <si>
    <t xml:space="preserve">CMMI Doc - Phase 1 &amp; 2</t>
  </si>
  <si>
    <t xml:space="preserve">CMMI Phase 1 &amp; 2 Documentation: Statistical Analysis, Size Estimation</t>
  </si>
  <si>
    <t xml:space="preserve">Streamlining Phase 1 and Phase 2 documents; Statistical analysis; Data Collection Cleaning and Model Preparation; Size-based Estimation documents; Other CMMI L5 documents; Training and Sessions; Internal &amp; External Meetings with MQAS agency;
No of input fields: 15-20; Exit scenario: 2 (Save, Approve); No of Validations: 10+; Business rules: CMMI L5 standards compliance across multiple data sources; Reports: Phase 1 &amp; 2 comprehensive reports</t>
  </si>
  <si>
    <t xml:space="preserve">CMMI Doc - Phase 3</t>
  </si>
  <si>
    <t xml:space="preserve">CMMI Phase 3 Documentation: Audit Preparation &amp; Review</t>
  </si>
  <si>
    <t xml:space="preserve">Streamlining Phase 3 documents for CMMI L5 Audit; Review meetings for CMMI L5 Benchmark Appraisal calls and interviews; Organizing documents over SVN Repository; Showcasing Minitab, Promot and SVN tools; Preparing for CMMI L5 Audit interviews;
No of input fields: 10-15; Exit scenario: 2; No of Validations: 5-10; Business rules: CMMI L5 compliance; Reports: Phase 3 audit readiness report</t>
  </si>
  <si>
    <t xml:space="preserve">CMMI Doc - Phase 4</t>
  </si>
  <si>
    <t xml:space="preserve">CMMI Phase 4 Documentation: January to May 2026 Alignment</t>
  </si>
  <si>
    <t xml:space="preserve">Working and aligning CMMI L5 Documentation for Phase 4; Enhancements and updating Promot with internal team efforts; Documentation according to CMMI L5 structure;
No of input fields: 10-15; Exit scenario: 2; No of Validations: 5-10; Business rules: CMMI L5 standards; Reports: Phase 4 documentation summary</t>
  </si>
  <si>
    <t xml:space="preserve">TOTAL CMMI DOC ESTIMATION (CYCLE 4)</t>
  </si>
  <si>
    <t xml:space="preserve">SVS Water Supply Monitoring - Cycle 4</t>
  </si>
  <si>
    <t xml:space="preserve">SVS - Water Supply Monitoring</t>
  </si>
  <si>
    <t xml:space="preserve">Daily Water Supply Monitoring Module - Requirement, Design, DB &amp; Reports</t>
  </si>
  <si>
    <t xml:space="preserve">Daily water supply module flow &amp; wireframe; Department meeting &amp; Project PIN document; API consuming from NIC Panchayat Darpan; Village master incorporation; Table &amp; Function for Har Ghar Jal Yojana; DB function for reports; Site Fortify Security Audit; SVS Water Supply Monitoring Report;
No of input fields: 10-15; Exit scenario: 2; No of Validations: 5-10; API Integrations: 3-5; Business rules: Water supply tracking across village data stores; Reports: Monitoring report with 2-3 data sources</t>
  </si>
  <si>
    <t xml:space="preserve">TOTAL SVS ESTIMATION (CYCLE 4)</t>
  </si>
  <si>
    <t xml:space="preserve">AI Module FHTC - Cycle 4</t>
  </si>
  <si>
    <t xml:space="preserve">AI Module - FHTC Tap Connection</t>
  </si>
  <si>
    <t xml:space="preserve">ML Model Implementation: Tap Connection Monitoring &amp; Image Processing</t>
  </si>
  <si>
    <t xml:space="preserve">ML model implementation for tap connection monitoring buffer region; FHTC Tap Connection AI validation; Machine Learning Predictive Model; Dataset preprocessing and annotation on Roboflow and local; Image processing in tap connection; Model retraining on RF-DETR; Bulk image testing;
No of input fields: Not applicable; Exit scenario: Not applicable; No of Validations: Model accuracy validation; API Integrations: 2-3 (AI model, image processing); Business rules: Complex ML logic with multiple data processing stores; mobile App-UI: External AI component integration</t>
  </si>
  <si>
    <t xml:space="preserve">TOTAL AI MODULE ESTIMATION (CYCLE 4)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</si>
</sst>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m\-yy"/>
    <numFmt numFmtId="166" formatCode="m/d/yyyy"/>
    <numFmt numFmtId="167" formatCode="0.0;[RED]0.0"/>
    <numFmt numFmtId="168" formatCode="dd\-mmm\-yyyy"/>
    <numFmt numFmtId="169" formatCode="0%"/>
    <numFmt numFmtId="170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Play"/>
      <family val="0"/>
      <charset val="1"/>
    </font>
    <font>
      <sz val="12"/>
      <color theme="1"/>
      <name val="Play"/>
      <family val="0"/>
      <charset val="1"/>
    </font>
    <font>
      <b val="true"/>
      <sz val="12"/>
      <color theme="1"/>
      <name val="Play"/>
      <family val="0"/>
      <charset val="1"/>
    </font>
    <font>
      <b val="true"/>
      <sz val="10"/>
      <color theme="1"/>
      <name val="Play"/>
      <family val="0"/>
      <charset val="1"/>
    </font>
    <font>
      <sz val="10"/>
      <color theme="1"/>
      <name val="Play"/>
      <family val="0"/>
      <charset val="1"/>
    </font>
    <font>
      <sz val="10"/>
      <color theme="1"/>
      <name val="Aptos Display"/>
      <family val="2"/>
      <charset val="1"/>
    </font>
    <font>
      <sz val="10"/>
      <color theme="1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theme="1"/>
      <name val="Play"/>
      <family val="0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rgb="FFD9D9D9"/>
        <bgColor rgb="FFC0C0C0"/>
      </patternFill>
    </fill>
    <fill>
      <patternFill patternType="solid">
        <fgColor rgb="FFA5A5A5"/>
        <bgColor rgb="FFC0C0C0"/>
      </patternFill>
    </fill>
    <fill>
      <patternFill patternType="solid">
        <fgColor rgb="FF4F81BD"/>
        <bgColor rgb="FF808080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1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1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123840</xdr:colOff>
      <xdr:row>0</xdr:row>
      <xdr:rowOff>0</xdr:rowOff>
    </xdr:from>
    <xdr:to>
      <xdr:col>1</xdr:col>
      <xdr:colOff>50400</xdr:colOff>
      <xdr:row>3</xdr:row>
      <xdr:rowOff>151920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23840" y="0"/>
          <a:ext cx="971280" cy="694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2" colorId="64" zoomScale="80" zoomScaleNormal="80" zoomScalePageLayoutView="100" workbookViewId="0">
      <selection pane="topLeft" activeCell="D14" activeCellId="0" sqref="D14"/>
    </sheetView>
  </sheetViews>
  <sheetFormatPr defaultColWidth="14.36328125" defaultRowHeight="15" zeroHeight="false" outlineLevelRow="0" outlineLevelCol="0"/>
  <cols>
    <col collapsed="false" customWidth="true" hidden="false" outlineLevel="0" max="1" min="1" style="1" width="26.09"/>
    <col collapsed="false" customWidth="true" hidden="false" outlineLevel="0" max="2" min="2" style="1" width="33.27"/>
    <col collapsed="false" customWidth="true" hidden="false" outlineLevel="0" max="3" min="3" style="1" width="22"/>
    <col collapsed="false" customWidth="true" hidden="false" outlineLevel="0" max="4" min="4" style="1" width="25.27"/>
    <col collapsed="false" customWidth="true" hidden="false" outlineLevel="0" max="5" min="5" style="1" width="30.63"/>
    <col collapsed="false" customWidth="true" hidden="true" outlineLevel="0" max="6" min="6" style="1" width="31.27"/>
    <col collapsed="false" customWidth="true" hidden="false" outlineLevel="0" max="26" min="7" style="1" width="8.73"/>
    <col collapsed="false" customWidth="false" hidden="false" outlineLevel="0" max="16384" min="27" style="1" width="14.36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9.5" hidden="false" customHeight="true" outlineLevel="0" collapsed="false">
      <c r="A2" s="3"/>
      <c r="B2" s="4" t="s">
        <v>0</v>
      </c>
      <c r="C2" s="5" t="n">
        <v>1</v>
      </c>
      <c r="D2" s="5" t="n">
        <v>3</v>
      </c>
      <c r="E2" s="5" t="n">
        <v>5</v>
      </c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9.5" hidden="false" customHeight="true" outlineLevel="0" collapsed="false">
      <c r="A3" s="5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28.5" hidden="false" customHeight="true" outlineLevel="0" collapsed="false">
      <c r="A4" s="7" t="s">
        <v>6</v>
      </c>
      <c r="B4" s="8" t="s">
        <v>7</v>
      </c>
      <c r="C4" s="9" t="n">
        <v>10</v>
      </c>
      <c r="D4" s="10" t="s">
        <v>8</v>
      </c>
      <c r="E4" s="9" t="s">
        <v>9</v>
      </c>
      <c r="F4" s="11" t="s">
        <v>10</v>
      </c>
      <c r="G4" s="2"/>
      <c r="H4" s="12" t="s">
        <v>11</v>
      </c>
      <c r="I4" s="12"/>
      <c r="J4" s="2"/>
      <c r="K4" s="13" t="n">
        <v>1</v>
      </c>
      <c r="L4" s="13"/>
      <c r="M4" s="13"/>
      <c r="N4" s="1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9.5" hidden="false" customHeight="true" outlineLevel="0" collapsed="false">
      <c r="A5" s="7"/>
      <c r="B5" s="14" t="s">
        <v>12</v>
      </c>
      <c r="C5" s="9" t="n">
        <v>1</v>
      </c>
      <c r="D5" s="9" t="s">
        <v>13</v>
      </c>
      <c r="E5" s="9" t="s">
        <v>14</v>
      </c>
      <c r="F5" s="6"/>
      <c r="G5" s="2"/>
      <c r="H5" s="2" t="s">
        <v>15</v>
      </c>
      <c r="I5" s="2" t="s">
        <v>16</v>
      </c>
      <c r="J5" s="2"/>
      <c r="K5" s="13"/>
      <c r="L5" s="13"/>
      <c r="M5" s="13"/>
      <c r="N5" s="1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9.5" hidden="false" customHeight="true" outlineLevel="0" collapsed="false">
      <c r="A6" s="7"/>
      <c r="B6" s="14" t="s">
        <v>17</v>
      </c>
      <c r="C6" s="9" t="s">
        <v>18</v>
      </c>
      <c r="D6" s="9" t="s">
        <v>19</v>
      </c>
      <c r="E6" s="9" t="s">
        <v>20</v>
      </c>
      <c r="F6" s="6"/>
      <c r="G6" s="2"/>
      <c r="H6" s="2" t="s">
        <v>21</v>
      </c>
      <c r="I6" s="2"/>
      <c r="J6" s="2"/>
      <c r="K6" s="13"/>
      <c r="L6" s="13"/>
      <c r="M6" s="13"/>
      <c r="N6" s="1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9.5" hidden="false" customHeight="true" outlineLevel="0" collapsed="false">
      <c r="A7" s="7"/>
      <c r="B7" s="14" t="s">
        <v>22</v>
      </c>
      <c r="C7" s="9" t="s">
        <v>23</v>
      </c>
      <c r="D7" s="9" t="s">
        <v>24</v>
      </c>
      <c r="E7" s="9" t="s">
        <v>25</v>
      </c>
      <c r="F7" s="6"/>
      <c r="G7" s="2"/>
      <c r="H7" s="2" t="s">
        <v>26</v>
      </c>
      <c r="I7" s="2"/>
      <c r="J7" s="2"/>
      <c r="K7" s="13"/>
      <c r="L7" s="13"/>
      <c r="M7" s="13"/>
      <c r="N7" s="1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9.5" hidden="false" customHeight="true" outlineLevel="0" collapsed="false">
      <c r="A8" s="7"/>
      <c r="B8" s="14" t="s">
        <v>27</v>
      </c>
      <c r="C8" s="9" t="n">
        <v>2</v>
      </c>
      <c r="D8" s="9" t="s">
        <v>28</v>
      </c>
      <c r="E8" s="9" t="s">
        <v>29</v>
      </c>
      <c r="F8" s="6"/>
      <c r="G8" s="2"/>
      <c r="H8" s="2" t="s">
        <v>30</v>
      </c>
      <c r="I8" s="2"/>
      <c r="J8" s="2"/>
      <c r="K8" s="13"/>
      <c r="L8" s="13"/>
      <c r="M8" s="13"/>
      <c r="N8" s="1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9.5" hidden="false" customHeight="true" outlineLevel="0" collapsed="false">
      <c r="A9" s="7"/>
      <c r="B9" s="14" t="s">
        <v>31</v>
      </c>
      <c r="C9" s="9" t="n">
        <v>3</v>
      </c>
      <c r="D9" s="9" t="s">
        <v>32</v>
      </c>
      <c r="E9" s="9" t="s">
        <v>33</v>
      </c>
      <c r="F9" s="6"/>
      <c r="G9" s="2"/>
      <c r="H9" s="2" t="s">
        <v>34</v>
      </c>
      <c r="I9" s="2"/>
      <c r="J9" s="2"/>
      <c r="K9" s="13"/>
      <c r="L9" s="13"/>
      <c r="M9" s="13"/>
      <c r="N9" s="1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42" hidden="false" customHeight="true" outlineLevel="0" collapsed="false">
      <c r="A10" s="7"/>
      <c r="B10" s="8" t="s">
        <v>35</v>
      </c>
      <c r="C10" s="15" t="s">
        <v>36</v>
      </c>
      <c r="D10" s="11" t="s">
        <v>37</v>
      </c>
      <c r="E10" s="11" t="s">
        <v>38</v>
      </c>
      <c r="F10" s="6"/>
      <c r="G10" s="2"/>
      <c r="H10" s="2" t="s">
        <v>39</v>
      </c>
      <c r="I10" s="2"/>
      <c r="J10" s="2"/>
      <c r="K10" s="13"/>
      <c r="L10" s="13"/>
      <c r="M10" s="13"/>
      <c r="N10" s="1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9.5" hidden="false" customHeight="true" outlineLevel="0" collapsed="false">
      <c r="A11" s="7"/>
      <c r="B11" s="14" t="s">
        <v>40</v>
      </c>
      <c r="C11" s="9" t="n">
        <v>2</v>
      </c>
      <c r="D11" s="9" t="s">
        <v>28</v>
      </c>
      <c r="E11" s="9" t="s">
        <v>33</v>
      </c>
      <c r="F11" s="6"/>
      <c r="G11" s="2"/>
      <c r="H11" s="2" t="s">
        <v>41</v>
      </c>
      <c r="I11" s="2"/>
      <c r="J11" s="2"/>
      <c r="K11" s="13"/>
      <c r="L11" s="13"/>
      <c r="M11" s="13"/>
      <c r="N11" s="1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30.75" hidden="false" customHeight="true" outlineLevel="0" collapsed="false">
      <c r="A12" s="7"/>
      <c r="B12" s="11" t="s">
        <v>42</v>
      </c>
      <c r="C12" s="11" t="s">
        <v>43</v>
      </c>
      <c r="D12" s="11" t="s">
        <v>44</v>
      </c>
      <c r="E12" s="11" t="s">
        <v>45</v>
      </c>
      <c r="F12" s="6"/>
      <c r="G12" s="2"/>
      <c r="H12" s="2" t="s">
        <v>46</v>
      </c>
      <c r="I12" s="2"/>
      <c r="J12" s="2"/>
      <c r="K12" s="13"/>
      <c r="L12" s="13"/>
      <c r="M12" s="13"/>
      <c r="N12" s="1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46.5" hidden="false" customHeight="true" outlineLevel="0" collapsed="false">
      <c r="A13" s="7"/>
      <c r="B13" s="11" t="s">
        <v>47</v>
      </c>
      <c r="C13" s="11" t="s">
        <v>48</v>
      </c>
      <c r="D13" s="11" t="s">
        <v>49</v>
      </c>
      <c r="E13" s="11" t="s">
        <v>50</v>
      </c>
      <c r="F13" s="6"/>
      <c r="G13" s="2"/>
      <c r="H13" s="2" t="s">
        <v>51</v>
      </c>
      <c r="I13" s="2"/>
      <c r="J13" s="2"/>
      <c r="K13" s="13"/>
      <c r="L13" s="13"/>
      <c r="M13" s="13"/>
      <c r="N13" s="1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81" hidden="false" customHeight="true" outlineLevel="0" collapsed="false">
      <c r="A14" s="7"/>
      <c r="B14" s="16" t="s">
        <v>52</v>
      </c>
      <c r="C14" s="16" t="s">
        <v>53</v>
      </c>
      <c r="D14" s="16" t="s">
        <v>54</v>
      </c>
      <c r="E14" s="16" t="s">
        <v>55</v>
      </c>
      <c r="F14" s="6"/>
      <c r="G14" s="2"/>
      <c r="H14" s="2" t="s">
        <v>56</v>
      </c>
      <c r="I14" s="2"/>
      <c r="J14" s="2"/>
      <c r="K14" s="13"/>
      <c r="L14" s="13"/>
      <c r="M14" s="13"/>
      <c r="N14" s="1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9.5" hidden="false" customHeight="true" outlineLevel="0" collapsed="false">
      <c r="A15" s="7"/>
      <c r="B15" s="17"/>
      <c r="C15" s="18"/>
      <c r="D15" s="18"/>
      <c r="E15" s="18"/>
      <c r="F15" s="6"/>
      <c r="G15" s="2"/>
      <c r="H15" s="2" t="s">
        <v>57</v>
      </c>
      <c r="I15" s="2"/>
      <c r="J15" s="2"/>
      <c r="K15" s="13"/>
      <c r="L15" s="13"/>
      <c r="M15" s="13"/>
      <c r="N15" s="1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9.5" hidden="false" customHeight="true" outlineLevel="0" collapsed="false">
      <c r="A16" s="7"/>
      <c r="B16" s="17"/>
      <c r="C16" s="18"/>
      <c r="D16" s="18"/>
      <c r="E16" s="18"/>
      <c r="F16" s="6"/>
      <c r="G16" s="2"/>
      <c r="H16" s="2"/>
      <c r="I16" s="2"/>
      <c r="J16" s="2"/>
      <c r="K16" s="13"/>
      <c r="L16" s="13"/>
      <c r="M16" s="13"/>
      <c r="N16" s="1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9.5" hidden="false" customHeight="true" outlineLevel="0" collapsed="false">
      <c r="A17" s="7"/>
      <c r="B17" s="17"/>
      <c r="C17" s="18"/>
      <c r="D17" s="18"/>
      <c r="E17" s="18"/>
      <c r="F17" s="6"/>
      <c r="G17" s="2"/>
      <c r="H17" s="2"/>
      <c r="I17" s="2"/>
      <c r="J17" s="2"/>
      <c r="K17" s="13"/>
      <c r="L17" s="13"/>
      <c r="M17" s="13"/>
      <c r="N17" s="1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9.5" hidden="false" customHeight="true" outlineLevel="0" collapsed="false">
      <c r="A18" s="7"/>
      <c r="B18" s="17"/>
      <c r="C18" s="18"/>
      <c r="D18" s="18"/>
      <c r="E18" s="18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9.5" hidden="false" customHeight="true" outlineLevel="0" collapsed="false">
      <c r="A19" s="7"/>
      <c r="B19" s="11"/>
      <c r="C19" s="11"/>
      <c r="D19" s="11"/>
      <c r="E19" s="11"/>
      <c r="F19" s="11" t="s">
        <v>58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4.2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4.2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4.2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4.2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4.2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4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4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4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4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4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4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4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4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4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4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4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4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4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4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4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4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4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4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4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4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4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4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4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4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4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4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4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4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4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4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4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4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4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4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4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4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4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4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4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4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4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4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4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4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4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4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4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4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4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4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4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4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4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4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4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4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4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4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4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4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4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4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4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4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4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4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4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4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4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4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4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4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4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4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4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4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4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4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4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4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4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4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4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4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4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4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4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4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4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4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4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4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4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4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4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4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4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4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4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4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4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4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4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4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4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4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4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4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4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4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4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4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4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4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4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4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4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4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4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4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4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4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4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4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4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4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4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4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4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4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4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4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4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4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4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4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4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4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4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4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4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4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4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4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4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4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4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4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4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4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4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4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4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4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4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4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4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4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4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4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4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4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4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4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4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4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4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4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4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4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4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4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4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4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4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4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4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4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4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4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4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4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4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4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4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4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4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4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4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4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4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4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4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4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4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4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4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4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4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4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4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4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4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4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4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4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4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4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4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4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4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4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4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4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4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4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4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4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4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4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4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4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4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4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4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4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4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4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4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4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4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4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4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4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4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4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4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4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4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4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4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4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4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4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4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4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4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4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4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4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4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4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4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4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4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4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4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4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4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4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4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4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4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4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4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4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4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4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4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4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4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4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4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4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4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4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4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4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4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4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4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4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4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4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4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4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4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4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4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4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4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4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4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4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4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4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4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4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4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4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4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4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4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4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4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4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4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4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4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4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4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4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4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4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4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4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4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4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4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4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4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4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4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4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4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4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4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4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4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4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4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4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4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4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4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4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4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4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4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4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4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4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4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4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4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4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4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4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4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4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4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4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4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4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4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4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4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4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4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4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4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4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4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4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4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4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4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4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4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4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4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4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4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4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4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4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4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4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4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4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4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4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4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4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4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4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4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4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4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4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4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4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4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4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4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4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4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4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4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4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4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4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4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4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4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4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4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4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4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4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4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4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4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4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4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4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4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4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4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4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4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4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4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4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4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4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4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4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4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4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4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4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4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4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4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4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4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4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4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4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4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4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4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4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4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4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4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4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4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4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4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4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4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4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4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4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4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4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4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4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4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4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4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4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4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4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4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4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4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4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4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4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4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4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4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4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4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4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4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4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4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4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4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4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4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4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4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4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4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4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4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4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4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4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4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4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4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4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4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4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4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4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4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4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4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4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4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4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4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4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4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4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4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4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4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4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4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4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4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4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4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4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4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4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4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4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4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4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4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4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4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4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4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4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4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4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4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4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4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4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4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4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4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4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4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4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4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4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4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4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4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4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4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4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4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4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4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4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4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4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4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4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4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4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4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4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4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4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4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4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4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4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4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4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4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4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4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4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4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4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4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4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4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4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4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4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4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4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4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4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4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4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4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4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4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4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4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4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4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4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4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4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4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4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4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4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4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4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4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4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4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4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4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4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4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4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4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4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4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4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4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4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4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4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4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4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4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4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4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4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4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4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4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4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4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4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4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4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4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4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4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4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4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4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4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4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4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4.2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4.2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4.2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4.2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4:A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4.36328125" defaultRowHeight="15" zeroHeight="false" outlineLevelRow="0" outlineLevelCol="0"/>
  <cols>
    <col collapsed="false" customWidth="true" hidden="false" outlineLevel="0" max="1" min="1" style="1" width="14.82"/>
    <col collapsed="false" customWidth="true" hidden="false" outlineLevel="0" max="2" min="2" style="1" width="7.82"/>
    <col collapsed="false" customWidth="true" hidden="false" outlineLevel="0" max="3" min="3" style="1" width="18.36"/>
    <col collapsed="false" customWidth="true" hidden="false" outlineLevel="0" max="4" min="4" style="1" width="17.09"/>
    <col collapsed="false" customWidth="true" hidden="false" outlineLevel="0" max="5" min="5" style="1" width="26.27"/>
    <col collapsed="false" customWidth="true" hidden="false" outlineLevel="0" max="26" min="6" style="1" width="8.73"/>
    <col collapsed="false" customWidth="false" hidden="false" outlineLevel="0" max="16384" min="27" style="1" width="14.36"/>
  </cols>
  <sheetData>
    <row r="1" customFormat="false" ht="14.25" hidden="false" customHeight="true" outlineLevel="0" collapsed="false"/>
    <row r="2" customFormat="false" ht="14.25" hidden="false" customHeight="true" outlineLevel="0" collapsed="false"/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>
      <c r="A5" s="19" t="s">
        <v>59</v>
      </c>
      <c r="B5" s="20" t="s">
        <v>60</v>
      </c>
      <c r="C5" s="19" t="s">
        <v>61</v>
      </c>
      <c r="D5" s="19" t="s">
        <v>62</v>
      </c>
      <c r="E5" s="20" t="s">
        <v>63</v>
      </c>
    </row>
    <row r="6" customFormat="false" ht="14.25" hidden="false" customHeight="true" outlineLevel="0" collapsed="false">
      <c r="A6" s="21" t="n">
        <v>45660</v>
      </c>
      <c r="B6" s="22" t="n">
        <v>1</v>
      </c>
      <c r="C6" s="23" t="s">
        <v>64</v>
      </c>
      <c r="D6" s="24" t="s">
        <v>65</v>
      </c>
      <c r="E6" s="24" t="s">
        <v>66</v>
      </c>
    </row>
    <row r="7" customFormat="false" ht="14.25" hidden="false" customHeight="true" outlineLevel="0" collapsed="false">
      <c r="A7" s="25" t="n">
        <v>46189</v>
      </c>
      <c r="B7" s="1" t="s">
        <v>67</v>
      </c>
      <c r="C7" s="1" t="s">
        <v>68</v>
      </c>
      <c r="D7" s="1" t="s">
        <v>69</v>
      </c>
      <c r="E7" s="1" t="s">
        <v>70</v>
      </c>
    </row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6328125" defaultRowHeight="15" zeroHeight="false" outlineLevelRow="0" outlineLevelCol="0"/>
  <cols>
    <col collapsed="false" customWidth="true" hidden="false" outlineLevel="0" max="1" min="1" style="1" width="35.09"/>
    <col collapsed="false" customWidth="true" hidden="false" outlineLevel="0" max="2" min="2" style="1" width="33.09"/>
    <col collapsed="false" customWidth="true" hidden="false" outlineLevel="0" max="3" min="3" style="1" width="22.27"/>
    <col collapsed="false" customWidth="true" hidden="false" outlineLevel="0" max="4" min="4" style="1" width="26.36"/>
    <col collapsed="false" customWidth="true" hidden="false" outlineLevel="0" max="26" min="5" style="1" width="8.73"/>
    <col collapsed="false" customWidth="false" hidden="false" outlineLevel="0" max="16384" min="27" style="1" width="14.36"/>
  </cols>
  <sheetData>
    <row r="1" customFormat="false" ht="14.25" hidden="false" customHeight="true" outlineLevel="0" collapsed="false">
      <c r="A1" s="26" t="s">
        <v>71</v>
      </c>
      <c r="B1" s="2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14.25" hidden="false" customHeight="true" outlineLevel="0" collapsed="false">
      <c r="A2" s="29" t="s">
        <v>72</v>
      </c>
      <c r="B2" s="29" t="s">
        <v>73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customFormat="false" ht="14.25" hidden="false" customHeight="true" outlineLevel="0" collapsed="false">
      <c r="A3" s="8" t="s">
        <v>7</v>
      </c>
      <c r="B3" s="8" t="s">
        <v>7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customFormat="false" ht="14.25" hidden="false" customHeight="true" outlineLevel="0" collapsed="false">
      <c r="A4" s="14" t="s">
        <v>12</v>
      </c>
      <c r="B4" s="14" t="s">
        <v>12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customFormat="false" ht="14.25" hidden="false" customHeight="true" outlineLevel="0" collapsed="false">
      <c r="A5" s="14" t="s">
        <v>17</v>
      </c>
      <c r="B5" s="14" t="s">
        <v>17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customFormat="false" ht="14.25" hidden="false" customHeight="true" outlineLevel="0" collapsed="false">
      <c r="A6" s="14" t="s">
        <v>22</v>
      </c>
      <c r="B6" s="14" t="s">
        <v>22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customFormat="false" ht="14.25" hidden="false" customHeight="true" outlineLevel="0" collapsed="false">
      <c r="A7" s="14" t="s">
        <v>27</v>
      </c>
      <c r="B7" s="14" t="s">
        <v>27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customFormat="false" ht="14.25" hidden="false" customHeight="true" outlineLevel="0" collapsed="false">
      <c r="A8" s="14" t="s">
        <v>31</v>
      </c>
      <c r="B8" s="14" t="s">
        <v>31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customFormat="false" ht="14.25" hidden="false" customHeight="true" outlineLevel="0" collapsed="false">
      <c r="A9" s="8" t="s">
        <v>35</v>
      </c>
      <c r="B9" s="8" t="s">
        <v>35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customFormat="false" ht="14.25" hidden="false" customHeight="true" outlineLevel="0" collapsed="false">
      <c r="A10" s="14" t="s">
        <v>40</v>
      </c>
      <c r="B10" s="14" t="s">
        <v>40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customFormat="false" ht="14.25" hidden="false" customHeight="true" outlineLevel="0" collapsed="false">
      <c r="A11" s="11" t="s">
        <v>42</v>
      </c>
      <c r="B11" s="11" t="s">
        <v>42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customFormat="false" ht="14.25" hidden="false" customHeight="true" outlineLevel="0" collapsed="false">
      <c r="A12" s="11" t="s">
        <v>47</v>
      </c>
      <c r="B12" s="11" t="s">
        <v>47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customFormat="false" ht="14.25" hidden="false" customHeight="true" outlineLevel="0" collapsed="false">
      <c r="A13" s="30" t="s">
        <v>52</v>
      </c>
      <c r="B13" s="30" t="s">
        <v>52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customFormat="false" ht="14.25" hidden="false" customHeight="true" outlineLevel="0" collapsed="false">
      <c r="A14" s="30"/>
      <c r="B14" s="30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customFormat="false" ht="14.25" hidden="false" customHeight="true" outlineLevel="0" collapsed="false">
      <c r="A15" s="30"/>
      <c r="B15" s="30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customFormat="false" ht="14.25" hidden="false" customHeight="true" outlineLevel="0" collapsed="false">
      <c r="A16" s="31"/>
      <c r="B16" s="31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customFormat="false" ht="14.25" hidden="false" customHeight="true" outlineLevel="0" collapsed="false">
      <c r="A17" s="30"/>
      <c r="B17" s="30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customFormat="false" ht="14.25" hidden="false" customHeight="true" outlineLevel="0" collapsed="false">
      <c r="A18" s="30"/>
      <c r="B18" s="30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customFormat="false" ht="14.25" hidden="false" customHeight="true" outlineLevel="0" collapsed="false">
      <c r="A19" s="30"/>
      <c r="B19" s="30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customFormat="false" ht="14.25" hidden="false" customHeight="true" outlineLevel="0" collapsed="false">
      <c r="A20" s="30"/>
      <c r="B20" s="30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customFormat="false" ht="14.25" hidden="false" customHeight="true" outlineLevel="0" collapsed="false">
      <c r="A21" s="30"/>
      <c r="B21" s="30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customFormat="false" ht="14.25" hidden="false" customHeight="true" outlineLevel="0" collapsed="false">
      <c r="A22" s="32"/>
      <c r="B22" s="32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customFormat="false" ht="14.25" hidden="false" customHeight="true" outlineLevel="0" collapsed="false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customFormat="false" ht="14.25" hidden="false" customHeight="true" outlineLevel="0" collapsed="false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customFormat="false" ht="14.25" hidden="false" customHeight="true" outlineLevel="0" collapsed="false">
      <c r="A25" s="33" t="s">
        <v>0</v>
      </c>
      <c r="B25" s="33" t="s">
        <v>74</v>
      </c>
      <c r="C25" s="33" t="s">
        <v>75</v>
      </c>
      <c r="D25" s="34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customFormat="false" ht="14.25" hidden="false" customHeight="true" outlineLevel="0" collapsed="false">
      <c r="A26" s="35" t="s">
        <v>3</v>
      </c>
      <c r="B26" s="36" t="s">
        <v>72</v>
      </c>
      <c r="C26" s="37" t="n">
        <v>5</v>
      </c>
      <c r="D26" s="35" t="s">
        <v>76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customFormat="false" ht="14.25" hidden="false" customHeight="true" outlineLevel="0" collapsed="false">
      <c r="A27" s="35" t="s">
        <v>4</v>
      </c>
      <c r="B27" s="36" t="s">
        <v>73</v>
      </c>
      <c r="C27" s="37" t="n">
        <v>4</v>
      </c>
      <c r="D27" s="35" t="s">
        <v>77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4.25" hidden="false" customHeight="true" outlineLevel="0" collapsed="false">
      <c r="A28" s="35" t="s">
        <v>78</v>
      </c>
      <c r="B28" s="36"/>
      <c r="C28" s="37" t="n">
        <v>3</v>
      </c>
      <c r="D28" s="35" t="s">
        <v>79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customFormat="false" ht="14.25" hidden="false" customHeight="true" outlineLevel="0" collapsed="false">
      <c r="A29" s="35" t="s">
        <v>80</v>
      </c>
      <c r="B29" s="36"/>
      <c r="C29" s="37" t="n">
        <v>2</v>
      </c>
      <c r="D29" s="35" t="s">
        <v>81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customFormat="false" ht="14.25" hidden="false" customHeight="true" outlineLevel="0" collapsed="false">
      <c r="A30" s="35"/>
      <c r="B30" s="36"/>
      <c r="C30" s="37" t="n">
        <v>1</v>
      </c>
      <c r="D30" s="35" t="s">
        <v>82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customFormat="false" ht="14.25" hidden="false" customHeight="true" outlineLevel="0" collapsed="false">
      <c r="A31" s="38"/>
      <c r="B31" s="38"/>
      <c r="C31" s="37" t="n">
        <v>0</v>
      </c>
      <c r="D31" s="35" t="s">
        <v>83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4.25" hidden="false" customHeight="true" outlineLevel="0" collapsed="false">
      <c r="D32" s="34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customFormat="false" ht="14.25" hidden="false" customHeight="true" outlineLevel="0" collapsed="false">
      <c r="D33" s="34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customFormat="false" ht="14.25" hidden="false" customHeight="true" outlineLevel="0" collapsed="false">
      <c r="D34" s="34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customFormat="false" ht="14.25" hidden="false" customHeight="true" outlineLevel="0" collapsed="false">
      <c r="D35" s="34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customFormat="false" ht="14.25" hidden="false" customHeight="true" outlineLevel="0" collapsed="false">
      <c r="A36" s="34"/>
      <c r="C36" s="34"/>
      <c r="D36" s="34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customFormat="false" ht="14.25" hidden="false" customHeight="true" outlineLevel="0" collapsed="false">
      <c r="A37" s="39" t="s">
        <v>84</v>
      </c>
      <c r="B37" s="40"/>
      <c r="C37" s="40"/>
      <c r="D37" s="41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customFormat="false" ht="14.25" hidden="false" customHeight="true" outlineLevel="0" collapsed="false">
      <c r="A38" s="42"/>
      <c r="B38" s="43" t="s">
        <v>85</v>
      </c>
      <c r="C38" s="44" t="s">
        <v>86</v>
      </c>
      <c r="D38" s="44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customFormat="false" ht="14.25" hidden="false" customHeight="true" outlineLevel="0" collapsed="false">
      <c r="A39" s="42"/>
      <c r="B39" s="44"/>
      <c r="C39" s="44" t="s">
        <v>87</v>
      </c>
      <c r="D39" s="44" t="s">
        <v>88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customFormat="false" ht="14.25" hidden="false" customHeight="true" outlineLevel="0" collapsed="false">
      <c r="A40" s="42" t="s">
        <v>89</v>
      </c>
      <c r="B40" s="45" t="n">
        <v>0.15</v>
      </c>
      <c r="C40" s="44" t="n">
        <v>4000</v>
      </c>
      <c r="D40" s="44" t="n">
        <v>6000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customFormat="false" ht="14.25" hidden="false" customHeight="true" outlineLevel="0" collapsed="false">
      <c r="A41" s="42" t="s">
        <v>90</v>
      </c>
      <c r="B41" s="45" t="n">
        <v>0.1</v>
      </c>
      <c r="C41" s="44" t="n">
        <v>6000</v>
      </c>
      <c r="D41" s="44" t="n">
        <v>8000</v>
      </c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customFormat="false" ht="14.25" hidden="false" customHeight="true" outlineLevel="0" collapsed="false">
      <c r="A42" s="42" t="s">
        <v>91</v>
      </c>
      <c r="B42" s="45" t="n">
        <v>0.4</v>
      </c>
      <c r="C42" s="44" t="n">
        <v>3000</v>
      </c>
      <c r="D42" s="44" t="n">
        <v>5000</v>
      </c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customFormat="false" ht="14.25" hidden="false" customHeight="true" outlineLevel="0" collapsed="false">
      <c r="A43" s="42" t="s">
        <v>92</v>
      </c>
      <c r="B43" s="45" t="n">
        <v>0.2</v>
      </c>
      <c r="C43" s="44" t="n">
        <v>2500</v>
      </c>
      <c r="D43" s="44" t="n">
        <v>5000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customFormat="false" ht="14.25" hidden="false" customHeight="true" outlineLevel="0" collapsed="false">
      <c r="A44" s="42" t="s">
        <v>93</v>
      </c>
      <c r="B44" s="45" t="n">
        <v>0.1</v>
      </c>
      <c r="C44" s="44" t="n">
        <v>8000</v>
      </c>
      <c r="D44" s="44" t="n">
        <v>10000</v>
      </c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customFormat="false" ht="14.25" hidden="false" customHeight="true" outlineLevel="0" collapsed="false">
      <c r="A45" s="42" t="s">
        <v>94</v>
      </c>
      <c r="B45" s="45" t="n">
        <v>0.05</v>
      </c>
      <c r="C45" s="44" t="n">
        <v>3000</v>
      </c>
      <c r="D45" s="44" t="n">
        <v>5000</v>
      </c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customFormat="false" ht="14.25" hidden="false" customHeight="true" outlineLevel="0" collapsed="false">
      <c r="A46" s="46" t="s">
        <v>89</v>
      </c>
      <c r="B46" s="47" t="n">
        <v>0.15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customFormat="false" ht="14.25" hidden="false" customHeight="true" outlineLevel="0" collapsed="false">
      <c r="A47" s="46" t="s">
        <v>90</v>
      </c>
      <c r="B47" s="47" t="n">
        <v>0.1</v>
      </c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customFormat="false" ht="14.25" hidden="false" customHeight="true" outlineLevel="0" collapsed="false">
      <c r="A48" s="46" t="s">
        <v>91</v>
      </c>
      <c r="B48" s="47" t="n">
        <v>0.4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customFormat="false" ht="14.25" hidden="false" customHeight="true" outlineLevel="0" collapsed="false">
      <c r="A49" s="46" t="s">
        <v>92</v>
      </c>
      <c r="B49" s="47" t="n">
        <v>0.2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customFormat="false" ht="14.25" hidden="false" customHeight="true" outlineLevel="0" collapsed="false">
      <c r="A50" s="46" t="s">
        <v>93</v>
      </c>
      <c r="B50" s="47" t="n">
        <v>0.1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customFormat="false" ht="14.25" hidden="false" customHeight="true" outlineLevel="0" collapsed="false">
      <c r="A51" s="46" t="s">
        <v>94</v>
      </c>
      <c r="B51" s="47" t="n">
        <v>0.05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customFormat="false" ht="14.25" hidden="false" customHeight="true" outlineLevel="0" collapsed="false">
      <c r="A52" s="46"/>
      <c r="B52" s="4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customFormat="false" ht="14.25" hidden="false" customHeight="true" outlineLevel="0" collapsed="false">
      <c r="A53" s="27"/>
      <c r="B53" s="27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customFormat="false" ht="14.25" hidden="false" customHeight="true" outlineLevel="0" collapsed="false">
      <c r="A54" s="27"/>
      <c r="B54" s="27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customFormat="false" ht="14.25" hidden="false" customHeight="true" outlineLevel="0" collapsed="false">
      <c r="A55" s="27"/>
      <c r="B55" s="27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customFormat="false" ht="14.25" hidden="false" customHeight="true" outlineLevel="0" collapsed="false">
      <c r="A56" s="27"/>
      <c r="B56" s="27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customFormat="false" ht="14.25" hidden="false" customHeight="true" outlineLevel="0" collapsed="false">
      <c r="A57" s="27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customFormat="false" ht="14.25" hidden="false" customHeight="true" outlineLevel="0" collapsed="false">
      <c r="A58" s="27"/>
      <c r="B58" s="27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customFormat="false" ht="14.25" hidden="false" customHeight="true" outlineLevel="0" collapsed="false">
      <c r="A59" s="27"/>
      <c r="B59" s="27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customFormat="false" ht="14.25" hidden="false" customHeight="true" outlineLevel="0" collapsed="false">
      <c r="A60" s="27"/>
      <c r="B60" s="27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customFormat="false" ht="14.25" hidden="false" customHeight="true" outlineLevel="0" collapsed="false">
      <c r="A61" s="27"/>
      <c r="B61" s="27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customFormat="false" ht="14.25" hidden="false" customHeight="true" outlineLevel="0" collapsed="false">
      <c r="A62" s="27"/>
      <c r="B62" s="27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customFormat="false" ht="14.25" hidden="false" customHeight="true" outlineLevel="0" collapsed="false">
      <c r="A63" s="27"/>
      <c r="B63" s="27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customFormat="false" ht="14.25" hidden="false" customHeight="true" outlineLevel="0" collapsed="false">
      <c r="A64" s="27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customFormat="false" ht="14.25" hidden="false" customHeight="true" outlineLevel="0" collapsed="false">
      <c r="A65" s="27"/>
      <c r="B65" s="27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customFormat="false" ht="14.25" hidden="false" customHeight="true" outlineLevel="0" collapsed="false">
      <c r="A66" s="27"/>
      <c r="B66" s="27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customFormat="false" ht="14.25" hidden="false" customHeight="true" outlineLevel="0" collapsed="false">
      <c r="A67" s="27"/>
      <c r="B67" s="27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customFormat="false" ht="14.25" hidden="false" customHeight="true" outlineLevel="0" collapsed="false">
      <c r="A68" s="27"/>
      <c r="B68" s="27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customFormat="false" ht="14.25" hidden="false" customHeight="true" outlineLevel="0" collapsed="false">
      <c r="A69" s="27"/>
      <c r="B69" s="27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customFormat="false" ht="14.25" hidden="false" customHeight="true" outlineLevel="0" collapsed="false">
      <c r="A70" s="27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customFormat="false" ht="14.25" hidden="false" customHeight="true" outlineLevel="0" collapsed="false">
      <c r="A71" s="27"/>
      <c r="B71" s="27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customFormat="false" ht="14.25" hidden="false" customHeight="true" outlineLevel="0" collapsed="false">
      <c r="A72" s="27"/>
      <c r="B72" s="27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customFormat="false" ht="14.25" hidden="false" customHeight="true" outlineLevel="0" collapsed="false">
      <c r="A73" s="27"/>
      <c r="B73" s="27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customFormat="false" ht="14.25" hidden="false" customHeight="true" outlineLevel="0" collapsed="false">
      <c r="A74" s="27"/>
      <c r="B74" s="27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customFormat="false" ht="14.25" hidden="false" customHeight="true" outlineLevel="0" collapsed="false">
      <c r="A75" s="27"/>
      <c r="B75" s="27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customFormat="false" ht="14.25" hidden="false" customHeight="true" outlineLevel="0" collapsed="false">
      <c r="A76" s="27"/>
      <c r="B76" s="27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customFormat="false" ht="14.25" hidden="false" customHeight="true" outlineLevel="0" collapsed="false">
      <c r="A77" s="27"/>
      <c r="B77" s="27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customFormat="false" ht="14.25" hidden="false" customHeight="true" outlineLevel="0" collapsed="false">
      <c r="A78" s="27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customFormat="false" ht="14.25" hidden="false" customHeight="true" outlineLevel="0" collapsed="false">
      <c r="A79" s="27"/>
      <c r="B79" s="27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customFormat="false" ht="14.25" hidden="false" customHeight="true" outlineLevel="0" collapsed="false">
      <c r="A80" s="27"/>
      <c r="B80" s="27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customFormat="false" ht="14.25" hidden="false" customHeight="true" outlineLevel="0" collapsed="false">
      <c r="A81" s="27"/>
      <c r="B81" s="27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customFormat="false" ht="14.25" hidden="false" customHeight="true" outlineLevel="0" collapsed="false">
      <c r="A82" s="27"/>
      <c r="B82" s="27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customFormat="false" ht="14.25" hidden="false" customHeight="true" outlineLevel="0" collapsed="false">
      <c r="A83" s="27"/>
      <c r="B83" s="27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customFormat="false" ht="14.25" hidden="false" customHeight="true" outlineLevel="0" collapsed="false">
      <c r="A84" s="27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customFormat="false" ht="14.25" hidden="false" customHeight="true" outlineLevel="0" collapsed="false">
      <c r="A85" s="27"/>
      <c r="B85" s="27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customFormat="false" ht="14.25" hidden="false" customHeight="true" outlineLevel="0" collapsed="false">
      <c r="A86" s="27"/>
      <c r="B86" s="27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customFormat="false" ht="14.25" hidden="false" customHeight="true" outlineLevel="0" collapsed="false">
      <c r="A87" s="27"/>
      <c r="B87" s="27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customFormat="false" ht="14.25" hidden="false" customHeight="true" outlineLevel="0" collapsed="false">
      <c r="A88" s="27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customFormat="false" ht="14.25" hidden="false" customHeight="true" outlineLevel="0" collapsed="false">
      <c r="A89" s="27"/>
      <c r="B89" s="27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customFormat="false" ht="14.25" hidden="false" customHeight="true" outlineLevel="0" collapsed="false">
      <c r="A90" s="27"/>
      <c r="B90" s="27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customFormat="false" ht="14.25" hidden="false" customHeight="true" outlineLevel="0" collapsed="false">
      <c r="A91" s="27"/>
      <c r="B91" s="27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customFormat="false" ht="14.25" hidden="false" customHeight="true" outlineLevel="0" collapsed="false">
      <c r="A92" s="27"/>
      <c r="B92" s="27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customFormat="false" ht="14.25" hidden="false" customHeight="true" outlineLevel="0" collapsed="false">
      <c r="A93" s="27"/>
      <c r="B93" s="27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customFormat="false" ht="14.25" hidden="false" customHeight="true" outlineLevel="0" collapsed="false">
      <c r="A94" s="27"/>
      <c r="B94" s="27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customFormat="false" ht="14.25" hidden="false" customHeight="true" outlineLevel="0" collapsed="false">
      <c r="A95" s="27"/>
      <c r="B95" s="27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customFormat="false" ht="14.25" hidden="false" customHeight="true" outlineLevel="0" collapsed="false">
      <c r="A96" s="27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customFormat="false" ht="14.25" hidden="false" customHeight="true" outlineLevel="0" collapsed="false">
      <c r="A97" s="27"/>
      <c r="B97" s="27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customFormat="false" ht="14.25" hidden="false" customHeight="true" outlineLevel="0" collapsed="false">
      <c r="A98" s="27"/>
      <c r="B98" s="27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customFormat="false" ht="14.25" hidden="false" customHeight="true" outlineLevel="0" collapsed="false">
      <c r="A99" s="27"/>
      <c r="B99" s="27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customFormat="false" ht="14.25" hidden="false" customHeight="true" outlineLevel="0" collapsed="false">
      <c r="A100" s="27"/>
      <c r="B100" s="27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customFormat="false" ht="14.25" hidden="false" customHeight="true" outlineLevel="0" collapsed="false">
      <c r="A101" s="27"/>
      <c r="B101" s="27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customFormat="false" ht="14.25" hidden="false" customHeight="true" outlineLevel="0" collapsed="false">
      <c r="A102" s="27"/>
      <c r="B102" s="27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customFormat="false" ht="14.25" hidden="false" customHeight="true" outlineLevel="0" collapsed="false">
      <c r="A103" s="27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customFormat="false" ht="14.25" hidden="false" customHeight="true" outlineLevel="0" collapsed="false">
      <c r="A104" s="27"/>
      <c r="B104" s="27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customFormat="false" ht="14.25" hidden="false" customHeight="true" outlineLevel="0" collapsed="false">
      <c r="A105" s="27"/>
      <c r="B105" s="27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customFormat="false" ht="14.25" hidden="false" customHeight="true" outlineLevel="0" collapsed="false">
      <c r="A106" s="27"/>
      <c r="B106" s="27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customFormat="false" ht="14.25" hidden="false" customHeight="true" outlineLevel="0" collapsed="false">
      <c r="A107" s="27"/>
      <c r="B107" s="27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customFormat="false" ht="14.25" hidden="false" customHeight="true" outlineLevel="0" collapsed="false">
      <c r="A108" s="27"/>
      <c r="B108" s="27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customFormat="false" ht="14.25" hidden="false" customHeight="true" outlineLevel="0" collapsed="false">
      <c r="A109" s="27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customFormat="false" ht="14.25" hidden="false" customHeight="true" outlineLevel="0" collapsed="false">
      <c r="A110" s="27"/>
      <c r="B110" s="27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customFormat="false" ht="14.25" hidden="false" customHeight="true" outlineLevel="0" collapsed="false">
      <c r="A111" s="27"/>
      <c r="B111" s="27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customFormat="false" ht="14.25" hidden="false" customHeight="true" outlineLevel="0" collapsed="false">
      <c r="A112" s="27"/>
      <c r="B112" s="27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customFormat="false" ht="14.25" hidden="false" customHeight="true" outlineLevel="0" collapsed="false">
      <c r="A113" s="27"/>
      <c r="B113" s="27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customFormat="false" ht="14.25" hidden="false" customHeight="true" outlineLevel="0" collapsed="false">
      <c r="A114" s="27"/>
      <c r="B114" s="27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customFormat="false" ht="14.25" hidden="false" customHeight="true" outlineLevel="0" collapsed="false">
      <c r="A115" s="27"/>
      <c r="B115" s="27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customFormat="false" ht="14.25" hidden="false" customHeight="true" outlineLevel="0" collapsed="false">
      <c r="A116" s="27"/>
      <c r="B116" s="27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customFormat="false" ht="14.25" hidden="false" customHeight="true" outlineLevel="0" collapsed="false">
      <c r="A117" s="27"/>
      <c r="B117" s="27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customFormat="false" ht="14.25" hidden="false" customHeight="true" outlineLevel="0" collapsed="false">
      <c r="A118" s="27"/>
      <c r="B118" s="27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customFormat="false" ht="14.25" hidden="false" customHeight="true" outlineLevel="0" collapsed="false">
      <c r="A119" s="27"/>
      <c r="B119" s="27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customFormat="false" ht="14.25" hidden="false" customHeight="true" outlineLevel="0" collapsed="false">
      <c r="A120" s="27"/>
      <c r="B120" s="27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customFormat="false" ht="14.25" hidden="false" customHeight="true" outlineLevel="0" collapsed="false">
      <c r="A121" s="27"/>
      <c r="B121" s="27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customFormat="false" ht="14.25" hidden="false" customHeight="true" outlineLevel="0" collapsed="false">
      <c r="A122" s="27"/>
      <c r="B122" s="27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customFormat="false" ht="14.25" hidden="false" customHeight="true" outlineLevel="0" collapsed="false">
      <c r="A123" s="27"/>
      <c r="B123" s="27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customFormat="false" ht="14.25" hidden="false" customHeight="true" outlineLevel="0" collapsed="false">
      <c r="A124" s="27"/>
      <c r="B124" s="27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customFormat="false" ht="14.25" hidden="false" customHeight="true" outlineLevel="0" collapsed="false">
      <c r="A125" s="27"/>
      <c r="B125" s="27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customFormat="false" ht="14.25" hidden="false" customHeight="true" outlineLevel="0" collapsed="false">
      <c r="A126" s="27"/>
      <c r="B126" s="27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customFormat="false" ht="14.25" hidden="false" customHeight="true" outlineLevel="0" collapsed="false">
      <c r="A127" s="27"/>
      <c r="B127" s="27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customFormat="false" ht="14.25" hidden="false" customHeight="true" outlineLevel="0" collapsed="false">
      <c r="A128" s="27"/>
      <c r="B128" s="27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customFormat="false" ht="14.25" hidden="false" customHeight="true" outlineLevel="0" collapsed="false">
      <c r="A129" s="27"/>
      <c r="B129" s="27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customFormat="false" ht="14.25" hidden="false" customHeight="true" outlineLevel="0" collapsed="false">
      <c r="A130" s="27"/>
      <c r="B130" s="27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customFormat="false" ht="14.25" hidden="false" customHeight="true" outlineLevel="0" collapsed="false">
      <c r="A131" s="27"/>
      <c r="B131" s="27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customFormat="false" ht="14.25" hidden="false" customHeight="true" outlineLevel="0" collapsed="false">
      <c r="A132" s="27"/>
      <c r="B132" s="27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customFormat="false" ht="14.25" hidden="false" customHeight="true" outlineLevel="0" collapsed="false">
      <c r="A133" s="27"/>
      <c r="B133" s="27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customFormat="false" ht="14.25" hidden="false" customHeight="true" outlineLevel="0" collapsed="false">
      <c r="A134" s="27"/>
      <c r="B134" s="27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customFormat="false" ht="14.25" hidden="false" customHeight="true" outlineLevel="0" collapsed="false">
      <c r="A135" s="27"/>
      <c r="B135" s="27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customFormat="false" ht="14.25" hidden="false" customHeight="true" outlineLevel="0" collapsed="false">
      <c r="A136" s="27"/>
      <c r="B136" s="27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customFormat="false" ht="14.25" hidden="false" customHeight="true" outlineLevel="0" collapsed="false">
      <c r="A137" s="27"/>
      <c r="B137" s="27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customFormat="false" ht="14.25" hidden="false" customHeight="true" outlineLevel="0" collapsed="false">
      <c r="A138" s="27"/>
      <c r="B138" s="27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customFormat="false" ht="14.25" hidden="false" customHeight="true" outlineLevel="0" collapsed="false">
      <c r="A139" s="27"/>
      <c r="B139" s="27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customFormat="false" ht="14.25" hidden="false" customHeight="true" outlineLevel="0" collapsed="false">
      <c r="A140" s="27"/>
      <c r="B140" s="27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customFormat="false" ht="14.25" hidden="false" customHeight="true" outlineLevel="0" collapsed="false">
      <c r="A141" s="27"/>
      <c r="B141" s="27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customFormat="false" ht="14.25" hidden="false" customHeight="true" outlineLevel="0" collapsed="false">
      <c r="A142" s="27"/>
      <c r="B142" s="27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customFormat="false" ht="14.25" hidden="false" customHeight="true" outlineLevel="0" collapsed="false">
      <c r="A143" s="27"/>
      <c r="B143" s="27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customFormat="false" ht="14.25" hidden="false" customHeight="true" outlineLevel="0" collapsed="false">
      <c r="A144" s="27"/>
      <c r="B144" s="27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customFormat="false" ht="14.25" hidden="false" customHeight="true" outlineLevel="0" collapsed="false">
      <c r="A145" s="27"/>
      <c r="B145" s="27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customFormat="false" ht="14.25" hidden="false" customHeight="true" outlineLevel="0" collapsed="false">
      <c r="A146" s="27"/>
      <c r="B146" s="27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customFormat="false" ht="14.25" hidden="false" customHeight="true" outlineLevel="0" collapsed="false">
      <c r="A147" s="27"/>
      <c r="B147" s="27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customFormat="false" ht="14.25" hidden="false" customHeight="true" outlineLevel="0" collapsed="false">
      <c r="A148" s="27"/>
      <c r="B148" s="27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customFormat="false" ht="14.25" hidden="false" customHeight="true" outlineLevel="0" collapsed="false">
      <c r="A149" s="27"/>
      <c r="B149" s="27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customFormat="false" ht="14.25" hidden="false" customHeight="true" outlineLevel="0" collapsed="false">
      <c r="A150" s="27"/>
      <c r="B150" s="27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customFormat="false" ht="14.25" hidden="false" customHeight="true" outlineLevel="0" collapsed="false">
      <c r="A151" s="27"/>
      <c r="B151" s="27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customFormat="false" ht="14.25" hidden="false" customHeight="true" outlineLevel="0" collapsed="false">
      <c r="A152" s="27"/>
      <c r="B152" s="27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customFormat="false" ht="14.25" hidden="false" customHeight="true" outlineLevel="0" collapsed="false">
      <c r="A153" s="27"/>
      <c r="B153" s="27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customFormat="false" ht="14.25" hidden="false" customHeight="true" outlineLevel="0" collapsed="false">
      <c r="A154" s="27"/>
      <c r="B154" s="27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customFormat="false" ht="14.25" hidden="false" customHeight="true" outlineLevel="0" collapsed="false">
      <c r="A155" s="27"/>
      <c r="B155" s="27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customFormat="false" ht="14.25" hidden="false" customHeight="true" outlineLevel="0" collapsed="false">
      <c r="A156" s="27"/>
      <c r="B156" s="27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customFormat="false" ht="14.25" hidden="false" customHeight="true" outlineLevel="0" collapsed="false">
      <c r="A157" s="27"/>
      <c r="B157" s="27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customFormat="false" ht="14.25" hidden="false" customHeight="true" outlineLevel="0" collapsed="false">
      <c r="A158" s="27"/>
      <c r="B158" s="27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customFormat="false" ht="14.25" hidden="false" customHeight="true" outlineLevel="0" collapsed="false">
      <c r="A159" s="27"/>
      <c r="B159" s="27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customFormat="false" ht="14.25" hidden="false" customHeight="true" outlineLevel="0" collapsed="false">
      <c r="A160" s="27"/>
      <c r="B160" s="27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customFormat="false" ht="14.25" hidden="false" customHeight="true" outlineLevel="0" collapsed="false">
      <c r="A161" s="27"/>
      <c r="B161" s="27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customFormat="false" ht="14.25" hidden="false" customHeight="true" outlineLevel="0" collapsed="false">
      <c r="A162" s="27"/>
      <c r="B162" s="27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customFormat="false" ht="14.25" hidden="false" customHeight="true" outlineLevel="0" collapsed="false">
      <c r="A163" s="27"/>
      <c r="B163" s="27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customFormat="false" ht="14.25" hidden="false" customHeight="true" outlineLevel="0" collapsed="false">
      <c r="A164" s="27"/>
      <c r="B164" s="27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customFormat="false" ht="14.25" hidden="false" customHeight="true" outlineLevel="0" collapsed="false">
      <c r="A165" s="27"/>
      <c r="B165" s="27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customFormat="false" ht="14.25" hidden="false" customHeight="true" outlineLevel="0" collapsed="false">
      <c r="A166" s="27"/>
      <c r="B166" s="27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customFormat="false" ht="14.25" hidden="false" customHeight="true" outlineLevel="0" collapsed="false">
      <c r="A167" s="27"/>
      <c r="B167" s="27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customFormat="false" ht="14.25" hidden="false" customHeight="true" outlineLevel="0" collapsed="false">
      <c r="A168" s="27"/>
      <c r="B168" s="27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customFormat="false" ht="14.25" hidden="false" customHeight="true" outlineLevel="0" collapsed="false">
      <c r="A169" s="27"/>
      <c r="B169" s="27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customFormat="false" ht="14.25" hidden="false" customHeight="true" outlineLevel="0" collapsed="false">
      <c r="A170" s="27"/>
      <c r="B170" s="27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customFormat="false" ht="14.25" hidden="false" customHeight="true" outlineLevel="0" collapsed="false">
      <c r="A171" s="27"/>
      <c r="B171" s="27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customFormat="false" ht="14.25" hidden="false" customHeight="true" outlineLevel="0" collapsed="false">
      <c r="A172" s="27"/>
      <c r="B172" s="27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customFormat="false" ht="14.25" hidden="false" customHeight="true" outlineLevel="0" collapsed="false">
      <c r="A173" s="27"/>
      <c r="B173" s="27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customFormat="false" ht="14.25" hidden="false" customHeight="true" outlineLevel="0" collapsed="false">
      <c r="A174" s="27"/>
      <c r="B174" s="27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customFormat="false" ht="14.25" hidden="false" customHeight="true" outlineLevel="0" collapsed="false">
      <c r="A175" s="27"/>
      <c r="B175" s="27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customFormat="false" ht="14.25" hidden="false" customHeight="true" outlineLevel="0" collapsed="false">
      <c r="A176" s="27"/>
      <c r="B176" s="27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customFormat="false" ht="14.25" hidden="false" customHeight="true" outlineLevel="0" collapsed="false">
      <c r="A177" s="27"/>
      <c r="B177" s="27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customFormat="false" ht="14.25" hidden="false" customHeight="true" outlineLevel="0" collapsed="false">
      <c r="A178" s="27"/>
      <c r="B178" s="27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customFormat="false" ht="14.25" hidden="false" customHeight="true" outlineLevel="0" collapsed="false">
      <c r="A179" s="27"/>
      <c r="B179" s="27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customFormat="false" ht="14.25" hidden="false" customHeight="true" outlineLevel="0" collapsed="false">
      <c r="A180" s="27"/>
      <c r="B180" s="27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customFormat="false" ht="14.25" hidden="false" customHeight="true" outlineLevel="0" collapsed="false">
      <c r="A181" s="27"/>
      <c r="B181" s="27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customFormat="false" ht="14.25" hidden="false" customHeight="true" outlineLevel="0" collapsed="false">
      <c r="A182" s="27"/>
      <c r="B182" s="27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customFormat="false" ht="14.25" hidden="false" customHeight="true" outlineLevel="0" collapsed="false">
      <c r="A183" s="27"/>
      <c r="B183" s="27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customFormat="false" ht="14.25" hidden="false" customHeight="true" outlineLevel="0" collapsed="false">
      <c r="A184" s="27"/>
      <c r="B184" s="27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customFormat="false" ht="14.25" hidden="false" customHeight="true" outlineLevel="0" collapsed="false">
      <c r="A185" s="27"/>
      <c r="B185" s="27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customFormat="false" ht="14.25" hidden="false" customHeight="true" outlineLevel="0" collapsed="false">
      <c r="A186" s="27"/>
      <c r="B186" s="27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customFormat="false" ht="14.25" hidden="false" customHeight="true" outlineLevel="0" collapsed="false">
      <c r="A187" s="27"/>
      <c r="B187" s="27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customFormat="false" ht="14.25" hidden="false" customHeight="true" outlineLevel="0" collapsed="false">
      <c r="A188" s="27"/>
      <c r="B188" s="27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customFormat="false" ht="14.25" hidden="false" customHeight="true" outlineLevel="0" collapsed="false">
      <c r="A189" s="27"/>
      <c r="B189" s="27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customFormat="false" ht="14.25" hidden="false" customHeight="true" outlineLevel="0" collapsed="false">
      <c r="A190" s="27"/>
      <c r="B190" s="27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customFormat="false" ht="14.25" hidden="false" customHeight="true" outlineLevel="0" collapsed="false">
      <c r="A191" s="27"/>
      <c r="B191" s="27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customFormat="false" ht="14.25" hidden="false" customHeight="true" outlineLevel="0" collapsed="false">
      <c r="A192" s="27"/>
      <c r="B192" s="27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customFormat="false" ht="14.25" hidden="false" customHeight="true" outlineLevel="0" collapsed="false">
      <c r="A193" s="27"/>
      <c r="B193" s="27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customFormat="false" ht="14.25" hidden="false" customHeight="true" outlineLevel="0" collapsed="false">
      <c r="A194" s="27"/>
      <c r="B194" s="27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customFormat="false" ht="14.25" hidden="false" customHeight="true" outlineLevel="0" collapsed="false">
      <c r="A195" s="27"/>
      <c r="B195" s="27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customFormat="false" ht="14.25" hidden="false" customHeight="true" outlineLevel="0" collapsed="false">
      <c r="A196" s="27"/>
      <c r="B196" s="27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customFormat="false" ht="14.25" hidden="false" customHeight="true" outlineLevel="0" collapsed="false">
      <c r="A197" s="27"/>
      <c r="B197" s="27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customFormat="false" ht="14.25" hidden="false" customHeight="true" outlineLevel="0" collapsed="false">
      <c r="A198" s="27"/>
      <c r="B198" s="27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customFormat="false" ht="14.25" hidden="false" customHeight="true" outlineLevel="0" collapsed="false">
      <c r="A199" s="27"/>
      <c r="B199" s="27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customFormat="false" ht="14.25" hidden="false" customHeight="true" outlineLevel="0" collapsed="false">
      <c r="A200" s="27"/>
      <c r="B200" s="27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customFormat="false" ht="14.25" hidden="false" customHeight="true" outlineLevel="0" collapsed="false">
      <c r="A201" s="27"/>
      <c r="B201" s="27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customFormat="false" ht="14.25" hidden="false" customHeight="true" outlineLevel="0" collapsed="false">
      <c r="A202" s="27"/>
      <c r="B202" s="27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customFormat="false" ht="14.25" hidden="false" customHeight="true" outlineLevel="0" collapsed="false">
      <c r="A203" s="27"/>
      <c r="B203" s="27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customFormat="false" ht="14.25" hidden="false" customHeight="true" outlineLevel="0" collapsed="false">
      <c r="A204" s="27"/>
      <c r="B204" s="27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customFormat="false" ht="14.25" hidden="false" customHeight="true" outlineLevel="0" collapsed="false">
      <c r="A205" s="27"/>
      <c r="B205" s="27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customFormat="false" ht="14.25" hidden="false" customHeight="true" outlineLevel="0" collapsed="false">
      <c r="A206" s="27"/>
      <c r="B206" s="27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customFormat="false" ht="14.25" hidden="false" customHeight="true" outlineLevel="0" collapsed="false">
      <c r="A207" s="27"/>
      <c r="B207" s="27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customFormat="false" ht="14.25" hidden="false" customHeight="true" outlineLevel="0" collapsed="false">
      <c r="A208" s="27"/>
      <c r="B208" s="27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customFormat="false" ht="14.25" hidden="false" customHeight="true" outlineLevel="0" collapsed="false">
      <c r="A209" s="27"/>
      <c r="B209" s="27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customFormat="false" ht="14.25" hidden="false" customHeight="true" outlineLevel="0" collapsed="false">
      <c r="A210" s="27"/>
      <c r="B210" s="27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customFormat="false" ht="14.25" hidden="false" customHeight="true" outlineLevel="0" collapsed="false">
      <c r="A211" s="27"/>
      <c r="B211" s="27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customFormat="false" ht="14.25" hidden="false" customHeight="true" outlineLevel="0" collapsed="false">
      <c r="A212" s="27"/>
      <c r="B212" s="27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customFormat="false" ht="14.25" hidden="false" customHeight="true" outlineLevel="0" collapsed="false">
      <c r="A213" s="27"/>
      <c r="B213" s="27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customFormat="false" ht="14.25" hidden="false" customHeight="true" outlineLevel="0" collapsed="false">
      <c r="A214" s="27"/>
      <c r="B214" s="27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customFormat="false" ht="14.25" hidden="false" customHeight="true" outlineLevel="0" collapsed="false">
      <c r="A215" s="27"/>
      <c r="B215" s="27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customFormat="false" ht="14.25" hidden="false" customHeight="true" outlineLevel="0" collapsed="false">
      <c r="A216" s="27"/>
      <c r="B216" s="27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customFormat="false" ht="14.25" hidden="false" customHeight="true" outlineLevel="0" collapsed="false">
      <c r="A217" s="27"/>
      <c r="B217" s="27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customFormat="false" ht="14.25" hidden="false" customHeight="true" outlineLevel="0" collapsed="false">
      <c r="A218" s="27"/>
      <c r="B218" s="27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customFormat="false" ht="14.25" hidden="false" customHeight="true" outlineLevel="0" collapsed="false">
      <c r="A219" s="27"/>
      <c r="B219" s="27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customFormat="false" ht="14.25" hidden="false" customHeight="true" outlineLevel="0" collapsed="false">
      <c r="A220" s="27"/>
      <c r="B220" s="27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customFormat="false" ht="14.25" hidden="false" customHeight="true" outlineLevel="0" collapsed="false">
      <c r="A221" s="27"/>
      <c r="B221" s="27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customFormat="false" ht="14.25" hidden="false" customHeight="true" outlineLevel="0" collapsed="false">
      <c r="A222" s="27"/>
      <c r="B222" s="27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customFormat="false" ht="14.25" hidden="false" customHeight="true" outlineLevel="0" collapsed="false">
      <c r="A223" s="27"/>
      <c r="B223" s="27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customFormat="false" ht="14.25" hidden="false" customHeight="true" outlineLevel="0" collapsed="false">
      <c r="A224" s="27"/>
      <c r="B224" s="27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customFormat="false" ht="14.25" hidden="false" customHeight="true" outlineLevel="0" collapsed="false">
      <c r="A225" s="27"/>
      <c r="B225" s="27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customFormat="false" ht="14.25" hidden="false" customHeight="true" outlineLevel="0" collapsed="false">
      <c r="A226" s="27"/>
      <c r="B226" s="27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customFormat="false" ht="14.25" hidden="false" customHeight="true" outlineLevel="0" collapsed="false">
      <c r="A227" s="27"/>
      <c r="B227" s="27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customFormat="false" ht="14.25" hidden="false" customHeight="true" outlineLevel="0" collapsed="false">
      <c r="A228" s="27"/>
      <c r="B228" s="27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customFormat="false" ht="14.25" hidden="false" customHeight="true" outlineLevel="0" collapsed="false">
      <c r="A229" s="27"/>
      <c r="B229" s="27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customFormat="false" ht="14.25" hidden="false" customHeight="true" outlineLevel="0" collapsed="false">
      <c r="A230" s="27"/>
      <c r="B230" s="27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customFormat="false" ht="14.25" hidden="false" customHeight="true" outlineLevel="0" collapsed="false">
      <c r="A231" s="27"/>
      <c r="B231" s="27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customFormat="false" ht="14.25" hidden="false" customHeight="true" outlineLevel="0" collapsed="false">
      <c r="A232" s="27"/>
      <c r="B232" s="27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customFormat="false" ht="14.25" hidden="false" customHeight="true" outlineLevel="0" collapsed="false">
      <c r="A233" s="27"/>
      <c r="B233" s="27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customFormat="false" ht="14.25" hidden="false" customHeight="true" outlineLevel="0" collapsed="false">
      <c r="A234" s="27"/>
      <c r="B234" s="27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customFormat="false" ht="14.25" hidden="false" customHeight="true" outlineLevel="0" collapsed="false">
      <c r="A235" s="27"/>
      <c r="B235" s="27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customFormat="false" ht="14.25" hidden="false" customHeight="true" outlineLevel="0" collapsed="false">
      <c r="A236" s="27"/>
      <c r="B236" s="27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customFormat="false" ht="14.25" hidden="false" customHeight="true" outlineLevel="0" collapsed="false">
      <c r="A237" s="27"/>
      <c r="B237" s="27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customFormat="false" ht="14.25" hidden="false" customHeight="true" outlineLevel="0" collapsed="false">
      <c r="A238" s="27"/>
      <c r="B238" s="27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customFormat="false" ht="14.25" hidden="false" customHeight="true" outlineLevel="0" collapsed="false">
      <c r="A239" s="27"/>
      <c r="B239" s="27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customFormat="false" ht="14.25" hidden="false" customHeight="true" outlineLevel="0" collapsed="false">
      <c r="A240" s="27"/>
      <c r="B240" s="27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customFormat="false" ht="14.25" hidden="false" customHeight="true" outlineLevel="0" collapsed="false">
      <c r="A241" s="27"/>
      <c r="B241" s="27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customFormat="false" ht="14.25" hidden="false" customHeight="true" outlineLevel="0" collapsed="false">
      <c r="A242" s="27"/>
      <c r="B242" s="27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customFormat="false" ht="14.25" hidden="false" customHeight="true" outlineLevel="0" collapsed="false">
      <c r="A243" s="27"/>
      <c r="B243" s="27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customFormat="false" ht="14.25" hidden="false" customHeight="true" outlineLevel="0" collapsed="false">
      <c r="A244" s="27"/>
      <c r="B244" s="27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customFormat="false" ht="14.25" hidden="false" customHeight="true" outlineLevel="0" collapsed="false">
      <c r="A245" s="27"/>
      <c r="B245" s="27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customFormat="false" ht="14.25" hidden="false" customHeight="true" outlineLevel="0" collapsed="false">
      <c r="A246" s="27"/>
      <c r="B246" s="27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customFormat="false" ht="14.25" hidden="false" customHeight="true" outlineLevel="0" collapsed="false">
      <c r="A247" s="27"/>
      <c r="B247" s="27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customFormat="false" ht="14.25" hidden="false" customHeight="true" outlineLevel="0" collapsed="false">
      <c r="A248" s="27"/>
      <c r="B248" s="27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customFormat="false" ht="14.25" hidden="false" customHeight="true" outlineLevel="0" collapsed="false">
      <c r="A249" s="27"/>
      <c r="B249" s="27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customFormat="false" ht="14.25" hidden="false" customHeight="true" outlineLevel="0" collapsed="false">
      <c r="A250" s="27"/>
      <c r="B250" s="27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customFormat="false" ht="14.25" hidden="false" customHeight="true" outlineLevel="0" collapsed="false">
      <c r="A251" s="27"/>
      <c r="B251" s="27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customFormat="false" ht="14.25" hidden="false" customHeight="true" outlineLevel="0" collapsed="false">
      <c r="A252" s="27"/>
      <c r="B252" s="27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customFormat="false" ht="14.25" hidden="false" customHeight="true" outlineLevel="0" collapsed="false">
      <c r="A253" s="27"/>
      <c r="B253" s="27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customFormat="false" ht="14.25" hidden="false" customHeight="true" outlineLevel="0" collapsed="false">
      <c r="A254" s="27"/>
      <c r="B254" s="27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customFormat="false" ht="14.25" hidden="false" customHeight="true" outlineLevel="0" collapsed="false">
      <c r="A255" s="27"/>
      <c r="B255" s="27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customFormat="false" ht="14.25" hidden="false" customHeight="true" outlineLevel="0" collapsed="false">
      <c r="A256" s="27"/>
      <c r="B256" s="27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customFormat="false" ht="14.25" hidden="false" customHeight="true" outlineLevel="0" collapsed="false">
      <c r="A257" s="27"/>
      <c r="B257" s="27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customFormat="false" ht="14.25" hidden="false" customHeight="true" outlineLevel="0" collapsed="false">
      <c r="A258" s="27"/>
      <c r="B258" s="27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customFormat="false" ht="14.25" hidden="false" customHeight="true" outlineLevel="0" collapsed="false">
      <c r="A259" s="27"/>
      <c r="B259" s="27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customFormat="false" ht="14.25" hidden="false" customHeight="true" outlineLevel="0" collapsed="false">
      <c r="A260" s="27"/>
      <c r="B260" s="27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customFormat="false" ht="14.25" hidden="false" customHeight="true" outlineLevel="0" collapsed="false">
      <c r="A261" s="27"/>
      <c r="B261" s="27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customFormat="false" ht="14.25" hidden="false" customHeight="true" outlineLevel="0" collapsed="false">
      <c r="A262" s="27"/>
      <c r="B262" s="27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customFormat="false" ht="14.25" hidden="false" customHeight="true" outlineLevel="0" collapsed="false">
      <c r="A263" s="27"/>
      <c r="B263" s="27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customFormat="false" ht="14.25" hidden="false" customHeight="true" outlineLevel="0" collapsed="false">
      <c r="A264" s="27"/>
      <c r="B264" s="27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customFormat="false" ht="14.25" hidden="false" customHeight="true" outlineLevel="0" collapsed="false">
      <c r="A265" s="27"/>
      <c r="B265" s="27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customFormat="false" ht="14.25" hidden="false" customHeight="true" outlineLevel="0" collapsed="false">
      <c r="A266" s="27"/>
      <c r="B266" s="27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customFormat="false" ht="14.25" hidden="false" customHeight="true" outlineLevel="0" collapsed="false">
      <c r="A267" s="27"/>
      <c r="B267" s="27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customFormat="false" ht="14.25" hidden="false" customHeight="true" outlineLevel="0" collapsed="false">
      <c r="A268" s="27"/>
      <c r="B268" s="27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customFormat="false" ht="14.25" hidden="false" customHeight="true" outlineLevel="0" collapsed="false">
      <c r="A269" s="27"/>
      <c r="B269" s="27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customFormat="false" ht="14.25" hidden="false" customHeight="true" outlineLevel="0" collapsed="false">
      <c r="A270" s="27"/>
      <c r="B270" s="27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customFormat="false" ht="14.25" hidden="false" customHeight="true" outlineLevel="0" collapsed="false">
      <c r="A271" s="27"/>
      <c r="B271" s="27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customFormat="false" ht="14.25" hidden="false" customHeight="true" outlineLevel="0" collapsed="false">
      <c r="A272" s="27"/>
      <c r="B272" s="27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customFormat="false" ht="14.25" hidden="false" customHeight="true" outlineLevel="0" collapsed="false">
      <c r="A273" s="27"/>
      <c r="B273" s="27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customFormat="false" ht="14.25" hidden="false" customHeight="true" outlineLevel="0" collapsed="false">
      <c r="A274" s="27"/>
      <c r="B274" s="27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customFormat="false" ht="14.25" hidden="false" customHeight="true" outlineLevel="0" collapsed="false">
      <c r="A275" s="27"/>
      <c r="B275" s="27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customFormat="false" ht="14.25" hidden="false" customHeight="true" outlineLevel="0" collapsed="false">
      <c r="A276" s="27"/>
      <c r="B276" s="27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customFormat="false" ht="14.25" hidden="false" customHeight="true" outlineLevel="0" collapsed="false">
      <c r="A277" s="27"/>
      <c r="B277" s="27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customFormat="false" ht="14.25" hidden="false" customHeight="true" outlineLevel="0" collapsed="false">
      <c r="A278" s="27"/>
      <c r="B278" s="27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customFormat="false" ht="14.25" hidden="false" customHeight="true" outlineLevel="0" collapsed="false">
      <c r="A279" s="27"/>
      <c r="B279" s="27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customFormat="false" ht="14.25" hidden="false" customHeight="true" outlineLevel="0" collapsed="false">
      <c r="A280" s="27"/>
      <c r="B280" s="27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customFormat="false" ht="14.25" hidden="false" customHeight="true" outlineLevel="0" collapsed="false">
      <c r="A281" s="27"/>
      <c r="B281" s="27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customFormat="false" ht="14.25" hidden="false" customHeight="true" outlineLevel="0" collapsed="false">
      <c r="A282" s="27"/>
      <c r="B282" s="27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customFormat="false" ht="14.25" hidden="false" customHeight="true" outlineLevel="0" collapsed="false">
      <c r="A283" s="27"/>
      <c r="B283" s="27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customFormat="false" ht="14.25" hidden="false" customHeight="true" outlineLevel="0" collapsed="false">
      <c r="A284" s="27"/>
      <c r="B284" s="27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customFormat="false" ht="14.25" hidden="false" customHeight="true" outlineLevel="0" collapsed="false">
      <c r="A285" s="27"/>
      <c r="B285" s="27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customFormat="false" ht="14.25" hidden="false" customHeight="true" outlineLevel="0" collapsed="false">
      <c r="A286" s="27"/>
      <c r="B286" s="27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customFormat="false" ht="14.25" hidden="false" customHeight="true" outlineLevel="0" collapsed="false">
      <c r="A287" s="27"/>
      <c r="B287" s="27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customFormat="false" ht="14.25" hidden="false" customHeight="true" outlineLevel="0" collapsed="false">
      <c r="A288" s="27"/>
      <c r="B288" s="27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customFormat="false" ht="14.25" hidden="false" customHeight="true" outlineLevel="0" collapsed="false">
      <c r="A289" s="27"/>
      <c r="B289" s="27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customFormat="false" ht="14.25" hidden="false" customHeight="true" outlineLevel="0" collapsed="false">
      <c r="A290" s="27"/>
      <c r="B290" s="27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customFormat="false" ht="14.25" hidden="false" customHeight="true" outlineLevel="0" collapsed="false">
      <c r="A291" s="27"/>
      <c r="B291" s="27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customFormat="false" ht="14.25" hidden="false" customHeight="true" outlineLevel="0" collapsed="false">
      <c r="A292" s="27"/>
      <c r="B292" s="27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customFormat="false" ht="14.25" hidden="false" customHeight="true" outlineLevel="0" collapsed="false">
      <c r="A293" s="27"/>
      <c r="B293" s="27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customFormat="false" ht="14.25" hidden="false" customHeight="true" outlineLevel="0" collapsed="false">
      <c r="A294" s="27"/>
      <c r="B294" s="27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customFormat="false" ht="14.25" hidden="false" customHeight="true" outlineLevel="0" collapsed="false">
      <c r="A295" s="27"/>
      <c r="B295" s="27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customFormat="false" ht="14.25" hidden="false" customHeight="true" outlineLevel="0" collapsed="false">
      <c r="A296" s="27"/>
      <c r="B296" s="27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customFormat="false" ht="14.25" hidden="false" customHeight="true" outlineLevel="0" collapsed="false">
      <c r="A297" s="27"/>
      <c r="B297" s="27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customFormat="false" ht="14.25" hidden="false" customHeight="true" outlineLevel="0" collapsed="false">
      <c r="A298" s="27"/>
      <c r="B298" s="27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customFormat="false" ht="14.25" hidden="false" customHeight="true" outlineLevel="0" collapsed="false">
      <c r="A299" s="27"/>
      <c r="B299" s="27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customFormat="false" ht="14.25" hidden="false" customHeight="true" outlineLevel="0" collapsed="false">
      <c r="A300" s="27"/>
      <c r="B300" s="27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customFormat="false" ht="14.25" hidden="false" customHeight="true" outlineLevel="0" collapsed="false">
      <c r="A301" s="27"/>
      <c r="B301" s="27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customFormat="false" ht="14.25" hidden="false" customHeight="true" outlineLevel="0" collapsed="false">
      <c r="A302" s="27"/>
      <c r="B302" s="27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customFormat="false" ht="14.25" hidden="false" customHeight="true" outlineLevel="0" collapsed="false">
      <c r="A303" s="27"/>
      <c r="B303" s="27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customFormat="false" ht="14.25" hidden="false" customHeight="true" outlineLevel="0" collapsed="false">
      <c r="A304" s="27"/>
      <c r="B304" s="27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customFormat="false" ht="14.25" hidden="false" customHeight="true" outlineLevel="0" collapsed="false">
      <c r="A305" s="27"/>
      <c r="B305" s="27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customFormat="false" ht="14.25" hidden="false" customHeight="true" outlineLevel="0" collapsed="false">
      <c r="A306" s="27"/>
      <c r="B306" s="27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customFormat="false" ht="14.25" hidden="false" customHeight="true" outlineLevel="0" collapsed="false">
      <c r="A307" s="27"/>
      <c r="B307" s="27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customFormat="false" ht="14.25" hidden="false" customHeight="true" outlineLevel="0" collapsed="false">
      <c r="A308" s="27"/>
      <c r="B308" s="27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customFormat="false" ht="14.25" hidden="false" customHeight="true" outlineLevel="0" collapsed="false">
      <c r="A309" s="27"/>
      <c r="B309" s="27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customFormat="false" ht="14.25" hidden="false" customHeight="true" outlineLevel="0" collapsed="false">
      <c r="A310" s="27"/>
      <c r="B310" s="27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customFormat="false" ht="14.25" hidden="false" customHeight="true" outlineLevel="0" collapsed="false">
      <c r="A311" s="27"/>
      <c r="B311" s="27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customFormat="false" ht="14.25" hidden="false" customHeight="true" outlineLevel="0" collapsed="false">
      <c r="A312" s="27"/>
      <c r="B312" s="27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customFormat="false" ht="14.25" hidden="false" customHeight="true" outlineLevel="0" collapsed="false">
      <c r="A313" s="27"/>
      <c r="B313" s="27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customFormat="false" ht="14.25" hidden="false" customHeight="true" outlineLevel="0" collapsed="false">
      <c r="A314" s="27"/>
      <c r="B314" s="27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customFormat="false" ht="14.25" hidden="false" customHeight="true" outlineLevel="0" collapsed="false">
      <c r="A315" s="27"/>
      <c r="B315" s="27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customFormat="false" ht="14.25" hidden="false" customHeight="true" outlineLevel="0" collapsed="false">
      <c r="A316" s="27"/>
      <c r="B316" s="27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customFormat="false" ht="14.25" hidden="false" customHeight="true" outlineLevel="0" collapsed="false">
      <c r="A317" s="27"/>
      <c r="B317" s="27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customFormat="false" ht="14.25" hidden="false" customHeight="true" outlineLevel="0" collapsed="false">
      <c r="A318" s="27"/>
      <c r="B318" s="27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customFormat="false" ht="14.25" hidden="false" customHeight="true" outlineLevel="0" collapsed="false">
      <c r="A319" s="27"/>
      <c r="B319" s="27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customFormat="false" ht="14.25" hidden="false" customHeight="true" outlineLevel="0" collapsed="false">
      <c r="A320" s="27"/>
      <c r="B320" s="27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customFormat="false" ht="14.25" hidden="false" customHeight="true" outlineLevel="0" collapsed="false">
      <c r="A321" s="27"/>
      <c r="B321" s="27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customFormat="false" ht="14.25" hidden="false" customHeight="true" outlineLevel="0" collapsed="false">
      <c r="A322" s="27"/>
      <c r="B322" s="27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customFormat="false" ht="14.25" hidden="false" customHeight="true" outlineLevel="0" collapsed="false">
      <c r="A323" s="27"/>
      <c r="B323" s="27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customFormat="false" ht="14.25" hidden="false" customHeight="true" outlineLevel="0" collapsed="false">
      <c r="A324" s="27"/>
      <c r="B324" s="27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customFormat="false" ht="14.25" hidden="false" customHeight="true" outlineLevel="0" collapsed="false">
      <c r="A325" s="27"/>
      <c r="B325" s="27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customFormat="false" ht="14.25" hidden="false" customHeight="true" outlineLevel="0" collapsed="false">
      <c r="A326" s="27"/>
      <c r="B326" s="27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customFormat="false" ht="14.25" hidden="false" customHeight="true" outlineLevel="0" collapsed="false">
      <c r="A327" s="27"/>
      <c r="B327" s="27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customFormat="false" ht="14.25" hidden="false" customHeight="true" outlineLevel="0" collapsed="false">
      <c r="A328" s="27"/>
      <c r="B328" s="27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customFormat="false" ht="14.25" hidden="false" customHeight="true" outlineLevel="0" collapsed="false">
      <c r="A329" s="27"/>
      <c r="B329" s="27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customFormat="false" ht="14.25" hidden="false" customHeight="true" outlineLevel="0" collapsed="false">
      <c r="A330" s="27"/>
      <c r="B330" s="27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customFormat="false" ht="14.25" hidden="false" customHeight="true" outlineLevel="0" collapsed="false">
      <c r="A331" s="27"/>
      <c r="B331" s="27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customFormat="false" ht="14.25" hidden="false" customHeight="true" outlineLevel="0" collapsed="false">
      <c r="A332" s="27"/>
      <c r="B332" s="27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customFormat="false" ht="14.25" hidden="false" customHeight="true" outlineLevel="0" collapsed="false">
      <c r="A333" s="27"/>
      <c r="B333" s="27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customFormat="false" ht="14.25" hidden="false" customHeight="true" outlineLevel="0" collapsed="false">
      <c r="A334" s="27"/>
      <c r="B334" s="27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customFormat="false" ht="14.25" hidden="false" customHeight="true" outlineLevel="0" collapsed="false">
      <c r="A335" s="27"/>
      <c r="B335" s="27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customFormat="false" ht="14.25" hidden="false" customHeight="true" outlineLevel="0" collapsed="false">
      <c r="A336" s="27"/>
      <c r="B336" s="27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customFormat="false" ht="14.25" hidden="false" customHeight="true" outlineLevel="0" collapsed="false">
      <c r="A337" s="27"/>
      <c r="B337" s="27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customFormat="false" ht="14.25" hidden="false" customHeight="true" outlineLevel="0" collapsed="false">
      <c r="A338" s="27"/>
      <c r="B338" s="27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customFormat="false" ht="14.25" hidden="false" customHeight="true" outlineLevel="0" collapsed="false">
      <c r="A339" s="27"/>
      <c r="B339" s="27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customFormat="false" ht="14.25" hidden="false" customHeight="true" outlineLevel="0" collapsed="false">
      <c r="A340" s="27"/>
      <c r="B340" s="27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customFormat="false" ht="14.25" hidden="false" customHeight="true" outlineLevel="0" collapsed="false">
      <c r="A341" s="27"/>
      <c r="B341" s="27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customFormat="false" ht="14.25" hidden="false" customHeight="true" outlineLevel="0" collapsed="false">
      <c r="A342" s="27"/>
      <c r="B342" s="27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customFormat="false" ht="14.25" hidden="false" customHeight="true" outlineLevel="0" collapsed="false">
      <c r="A343" s="27"/>
      <c r="B343" s="27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customFormat="false" ht="14.25" hidden="false" customHeight="true" outlineLevel="0" collapsed="false">
      <c r="A344" s="27"/>
      <c r="B344" s="27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customFormat="false" ht="14.25" hidden="false" customHeight="true" outlineLevel="0" collapsed="false">
      <c r="A345" s="27"/>
      <c r="B345" s="27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customFormat="false" ht="14.25" hidden="false" customHeight="true" outlineLevel="0" collapsed="false">
      <c r="A346" s="27"/>
      <c r="B346" s="27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customFormat="false" ht="14.25" hidden="false" customHeight="true" outlineLevel="0" collapsed="false">
      <c r="A347" s="27"/>
      <c r="B347" s="27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customFormat="false" ht="14.25" hidden="false" customHeight="true" outlineLevel="0" collapsed="false">
      <c r="A348" s="27"/>
      <c r="B348" s="27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customFormat="false" ht="14.25" hidden="false" customHeight="true" outlineLevel="0" collapsed="false">
      <c r="A349" s="27"/>
      <c r="B349" s="27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customFormat="false" ht="14.25" hidden="false" customHeight="true" outlineLevel="0" collapsed="false">
      <c r="A350" s="27"/>
      <c r="B350" s="27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customFormat="false" ht="14.25" hidden="false" customHeight="true" outlineLevel="0" collapsed="false">
      <c r="A351" s="27"/>
      <c r="B351" s="27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customFormat="false" ht="14.25" hidden="false" customHeight="true" outlineLevel="0" collapsed="false">
      <c r="A352" s="27"/>
      <c r="B352" s="27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customFormat="false" ht="14.25" hidden="false" customHeight="true" outlineLevel="0" collapsed="false">
      <c r="A353" s="27"/>
      <c r="B353" s="27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customFormat="false" ht="14.25" hidden="false" customHeight="true" outlineLevel="0" collapsed="false">
      <c r="A354" s="27"/>
      <c r="B354" s="27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customFormat="false" ht="14.25" hidden="false" customHeight="true" outlineLevel="0" collapsed="false">
      <c r="A355" s="27"/>
      <c r="B355" s="27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customFormat="false" ht="14.25" hidden="false" customHeight="true" outlineLevel="0" collapsed="false">
      <c r="A356" s="27"/>
      <c r="B356" s="27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customFormat="false" ht="14.25" hidden="false" customHeight="true" outlineLevel="0" collapsed="false">
      <c r="A357" s="27"/>
      <c r="B357" s="27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customFormat="false" ht="14.25" hidden="false" customHeight="true" outlineLevel="0" collapsed="false">
      <c r="A358" s="27"/>
      <c r="B358" s="27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customFormat="false" ht="14.25" hidden="false" customHeight="true" outlineLevel="0" collapsed="false">
      <c r="A359" s="27"/>
      <c r="B359" s="27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customFormat="false" ht="14.25" hidden="false" customHeight="true" outlineLevel="0" collapsed="false">
      <c r="A360" s="27"/>
      <c r="B360" s="27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customFormat="false" ht="14.25" hidden="false" customHeight="true" outlineLevel="0" collapsed="false">
      <c r="A361" s="27"/>
      <c r="B361" s="27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customFormat="false" ht="14.25" hidden="false" customHeight="true" outlineLevel="0" collapsed="false">
      <c r="A362" s="27"/>
      <c r="B362" s="27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customFormat="false" ht="14.25" hidden="false" customHeight="true" outlineLevel="0" collapsed="false">
      <c r="A363" s="27"/>
      <c r="B363" s="27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customFormat="false" ht="14.25" hidden="false" customHeight="true" outlineLevel="0" collapsed="false">
      <c r="A364" s="27"/>
      <c r="B364" s="27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customFormat="false" ht="14.25" hidden="false" customHeight="true" outlineLevel="0" collapsed="false">
      <c r="A365" s="27"/>
      <c r="B365" s="27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customFormat="false" ht="14.25" hidden="false" customHeight="true" outlineLevel="0" collapsed="false">
      <c r="A366" s="27"/>
      <c r="B366" s="27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customFormat="false" ht="14.25" hidden="false" customHeight="true" outlineLevel="0" collapsed="false">
      <c r="A367" s="27"/>
      <c r="B367" s="27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customFormat="false" ht="14.25" hidden="false" customHeight="true" outlineLevel="0" collapsed="false">
      <c r="A368" s="27"/>
      <c r="B368" s="27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customFormat="false" ht="14.25" hidden="false" customHeight="true" outlineLevel="0" collapsed="false">
      <c r="A369" s="27"/>
      <c r="B369" s="27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customFormat="false" ht="14.25" hidden="false" customHeight="true" outlineLevel="0" collapsed="false">
      <c r="A370" s="27"/>
      <c r="B370" s="27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customFormat="false" ht="14.25" hidden="false" customHeight="true" outlineLevel="0" collapsed="false">
      <c r="A371" s="27"/>
      <c r="B371" s="27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customFormat="false" ht="14.25" hidden="false" customHeight="true" outlineLevel="0" collapsed="false">
      <c r="A372" s="27"/>
      <c r="B372" s="27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customFormat="false" ht="14.25" hidden="false" customHeight="true" outlineLevel="0" collapsed="false">
      <c r="A373" s="27"/>
      <c r="B373" s="27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customFormat="false" ht="14.25" hidden="false" customHeight="true" outlineLevel="0" collapsed="false">
      <c r="A374" s="27"/>
      <c r="B374" s="27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customFormat="false" ht="14.25" hidden="false" customHeight="true" outlineLevel="0" collapsed="false">
      <c r="A375" s="27"/>
      <c r="B375" s="27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customFormat="false" ht="14.25" hidden="false" customHeight="true" outlineLevel="0" collapsed="false">
      <c r="A376" s="27"/>
      <c r="B376" s="27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customFormat="false" ht="14.25" hidden="false" customHeight="true" outlineLevel="0" collapsed="false">
      <c r="A377" s="27"/>
      <c r="B377" s="27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customFormat="false" ht="14.25" hidden="false" customHeight="true" outlineLevel="0" collapsed="false">
      <c r="A378" s="27"/>
      <c r="B378" s="27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customFormat="false" ht="14.25" hidden="false" customHeight="true" outlineLevel="0" collapsed="false">
      <c r="A379" s="27"/>
      <c r="B379" s="27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customFormat="false" ht="14.25" hidden="false" customHeight="true" outlineLevel="0" collapsed="false">
      <c r="A380" s="27"/>
      <c r="B380" s="27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customFormat="false" ht="14.25" hidden="false" customHeight="true" outlineLevel="0" collapsed="false">
      <c r="A381" s="27"/>
      <c r="B381" s="27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customFormat="false" ht="14.25" hidden="false" customHeight="true" outlineLevel="0" collapsed="false">
      <c r="A382" s="27"/>
      <c r="B382" s="27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customFormat="false" ht="14.25" hidden="false" customHeight="true" outlineLevel="0" collapsed="false">
      <c r="A383" s="27"/>
      <c r="B383" s="27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customFormat="false" ht="14.25" hidden="false" customHeight="true" outlineLevel="0" collapsed="false">
      <c r="A384" s="27"/>
      <c r="B384" s="27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customFormat="false" ht="14.25" hidden="false" customHeight="true" outlineLevel="0" collapsed="false">
      <c r="A385" s="27"/>
      <c r="B385" s="27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customFormat="false" ht="14.25" hidden="false" customHeight="true" outlineLevel="0" collapsed="false">
      <c r="A386" s="27"/>
      <c r="B386" s="27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customFormat="false" ht="14.25" hidden="false" customHeight="true" outlineLevel="0" collapsed="false">
      <c r="A387" s="27"/>
      <c r="B387" s="27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customFormat="false" ht="14.25" hidden="false" customHeight="true" outlineLevel="0" collapsed="false">
      <c r="A388" s="27"/>
      <c r="B388" s="27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customFormat="false" ht="14.25" hidden="false" customHeight="true" outlineLevel="0" collapsed="false">
      <c r="A389" s="27"/>
      <c r="B389" s="27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customFormat="false" ht="14.25" hidden="false" customHeight="true" outlineLevel="0" collapsed="false">
      <c r="A390" s="27"/>
      <c r="B390" s="27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customFormat="false" ht="14.25" hidden="false" customHeight="true" outlineLevel="0" collapsed="false">
      <c r="A391" s="27"/>
      <c r="B391" s="27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customFormat="false" ht="14.25" hidden="false" customHeight="true" outlineLevel="0" collapsed="false">
      <c r="A392" s="27"/>
      <c r="B392" s="27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customFormat="false" ht="14.25" hidden="false" customHeight="true" outlineLevel="0" collapsed="false">
      <c r="A393" s="27"/>
      <c r="B393" s="27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customFormat="false" ht="14.25" hidden="false" customHeight="true" outlineLevel="0" collapsed="false">
      <c r="A394" s="27"/>
      <c r="B394" s="27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customFormat="false" ht="14.25" hidden="false" customHeight="true" outlineLevel="0" collapsed="false">
      <c r="A395" s="27"/>
      <c r="B395" s="27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customFormat="false" ht="14.25" hidden="false" customHeight="true" outlineLevel="0" collapsed="false">
      <c r="A396" s="27"/>
      <c r="B396" s="27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customFormat="false" ht="14.25" hidden="false" customHeight="true" outlineLevel="0" collapsed="false">
      <c r="A397" s="27"/>
      <c r="B397" s="27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customFormat="false" ht="14.25" hidden="false" customHeight="true" outlineLevel="0" collapsed="false">
      <c r="A398" s="27"/>
      <c r="B398" s="27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customFormat="false" ht="14.25" hidden="false" customHeight="true" outlineLevel="0" collapsed="false">
      <c r="A399" s="27"/>
      <c r="B399" s="27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customFormat="false" ht="14.25" hidden="false" customHeight="true" outlineLevel="0" collapsed="false">
      <c r="A400" s="27"/>
      <c r="B400" s="27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customFormat="false" ht="14.25" hidden="false" customHeight="true" outlineLevel="0" collapsed="false">
      <c r="A401" s="27"/>
      <c r="B401" s="27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customFormat="false" ht="14.25" hidden="false" customHeight="true" outlineLevel="0" collapsed="false">
      <c r="A402" s="27"/>
      <c r="B402" s="27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customFormat="false" ht="14.25" hidden="false" customHeight="true" outlineLevel="0" collapsed="false">
      <c r="A403" s="27"/>
      <c r="B403" s="27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customFormat="false" ht="14.25" hidden="false" customHeight="true" outlineLevel="0" collapsed="false">
      <c r="A404" s="27"/>
      <c r="B404" s="27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customFormat="false" ht="14.25" hidden="false" customHeight="true" outlineLevel="0" collapsed="false">
      <c r="A405" s="27"/>
      <c r="B405" s="27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customFormat="false" ht="14.25" hidden="false" customHeight="true" outlineLevel="0" collapsed="false">
      <c r="A406" s="27"/>
      <c r="B406" s="27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customFormat="false" ht="14.25" hidden="false" customHeight="true" outlineLevel="0" collapsed="false">
      <c r="A407" s="27"/>
      <c r="B407" s="27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customFormat="false" ht="14.25" hidden="false" customHeight="true" outlineLevel="0" collapsed="false">
      <c r="A408" s="27"/>
      <c r="B408" s="27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customFormat="false" ht="14.25" hidden="false" customHeight="true" outlineLevel="0" collapsed="false">
      <c r="A409" s="27"/>
      <c r="B409" s="27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customFormat="false" ht="14.25" hidden="false" customHeight="true" outlineLevel="0" collapsed="false">
      <c r="A410" s="27"/>
      <c r="B410" s="27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customFormat="false" ht="14.25" hidden="false" customHeight="true" outlineLevel="0" collapsed="false">
      <c r="A411" s="27"/>
      <c r="B411" s="27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customFormat="false" ht="14.25" hidden="false" customHeight="true" outlineLevel="0" collapsed="false">
      <c r="A412" s="27"/>
      <c r="B412" s="27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customFormat="false" ht="14.25" hidden="false" customHeight="true" outlineLevel="0" collapsed="false">
      <c r="A413" s="27"/>
      <c r="B413" s="27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customFormat="false" ht="14.25" hidden="false" customHeight="true" outlineLevel="0" collapsed="false">
      <c r="A414" s="27"/>
      <c r="B414" s="27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customFormat="false" ht="14.25" hidden="false" customHeight="true" outlineLevel="0" collapsed="false">
      <c r="A415" s="27"/>
      <c r="B415" s="27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customFormat="false" ht="14.25" hidden="false" customHeight="true" outlineLevel="0" collapsed="false">
      <c r="A416" s="27"/>
      <c r="B416" s="27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customFormat="false" ht="14.25" hidden="false" customHeight="true" outlineLevel="0" collapsed="false">
      <c r="A417" s="27"/>
      <c r="B417" s="27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customFormat="false" ht="14.25" hidden="false" customHeight="true" outlineLevel="0" collapsed="false">
      <c r="A418" s="27"/>
      <c r="B418" s="27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customFormat="false" ht="14.25" hidden="false" customHeight="true" outlineLevel="0" collapsed="false">
      <c r="A419" s="27"/>
      <c r="B419" s="27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customFormat="false" ht="14.25" hidden="false" customHeight="true" outlineLevel="0" collapsed="false">
      <c r="A420" s="27"/>
      <c r="B420" s="27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customFormat="false" ht="14.25" hidden="false" customHeight="true" outlineLevel="0" collapsed="false">
      <c r="A421" s="27"/>
      <c r="B421" s="27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customFormat="false" ht="14.25" hidden="false" customHeight="true" outlineLevel="0" collapsed="false">
      <c r="A422" s="27"/>
      <c r="B422" s="27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customFormat="false" ht="14.25" hidden="false" customHeight="true" outlineLevel="0" collapsed="false">
      <c r="A423" s="27"/>
      <c r="B423" s="27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customFormat="false" ht="14.25" hidden="false" customHeight="true" outlineLevel="0" collapsed="false">
      <c r="A424" s="27"/>
      <c r="B424" s="27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customFormat="false" ht="14.25" hidden="false" customHeight="true" outlineLevel="0" collapsed="false">
      <c r="A425" s="27"/>
      <c r="B425" s="27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customFormat="false" ht="14.25" hidden="false" customHeight="true" outlineLevel="0" collapsed="false">
      <c r="A426" s="27"/>
      <c r="B426" s="27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customFormat="false" ht="14.25" hidden="false" customHeight="true" outlineLevel="0" collapsed="false">
      <c r="A427" s="27"/>
      <c r="B427" s="27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customFormat="false" ht="14.25" hidden="false" customHeight="true" outlineLevel="0" collapsed="false">
      <c r="A428" s="27"/>
      <c r="B428" s="27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customFormat="false" ht="14.25" hidden="false" customHeight="true" outlineLevel="0" collapsed="false">
      <c r="A429" s="27"/>
      <c r="B429" s="27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customFormat="false" ht="14.25" hidden="false" customHeight="true" outlineLevel="0" collapsed="false">
      <c r="A430" s="27"/>
      <c r="B430" s="27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customFormat="false" ht="14.25" hidden="false" customHeight="true" outlineLevel="0" collapsed="false">
      <c r="A431" s="27"/>
      <c r="B431" s="27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customFormat="false" ht="14.25" hidden="false" customHeight="true" outlineLevel="0" collapsed="false">
      <c r="A432" s="27"/>
      <c r="B432" s="27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customFormat="false" ht="14.25" hidden="false" customHeight="true" outlineLevel="0" collapsed="false">
      <c r="A433" s="27"/>
      <c r="B433" s="27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customFormat="false" ht="14.25" hidden="false" customHeight="true" outlineLevel="0" collapsed="false">
      <c r="A434" s="27"/>
      <c r="B434" s="27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customFormat="false" ht="14.25" hidden="false" customHeight="true" outlineLevel="0" collapsed="false">
      <c r="A435" s="27"/>
      <c r="B435" s="27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customFormat="false" ht="14.25" hidden="false" customHeight="true" outlineLevel="0" collapsed="false">
      <c r="A436" s="27"/>
      <c r="B436" s="27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customFormat="false" ht="14.25" hidden="false" customHeight="true" outlineLevel="0" collapsed="false">
      <c r="A437" s="27"/>
      <c r="B437" s="27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customFormat="false" ht="14.25" hidden="false" customHeight="true" outlineLevel="0" collapsed="false">
      <c r="A438" s="27"/>
      <c r="B438" s="27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customFormat="false" ht="14.25" hidden="false" customHeight="true" outlineLevel="0" collapsed="false">
      <c r="A439" s="27"/>
      <c r="B439" s="27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customFormat="false" ht="14.25" hidden="false" customHeight="true" outlineLevel="0" collapsed="false">
      <c r="A440" s="27"/>
      <c r="B440" s="27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customFormat="false" ht="14.25" hidden="false" customHeight="true" outlineLevel="0" collapsed="false">
      <c r="A441" s="27"/>
      <c r="B441" s="27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customFormat="false" ht="14.25" hidden="false" customHeight="true" outlineLevel="0" collapsed="false">
      <c r="A442" s="27"/>
      <c r="B442" s="27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customFormat="false" ht="14.25" hidden="false" customHeight="true" outlineLevel="0" collapsed="false">
      <c r="A443" s="27"/>
      <c r="B443" s="27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customFormat="false" ht="14.25" hidden="false" customHeight="true" outlineLevel="0" collapsed="false">
      <c r="A444" s="27"/>
      <c r="B444" s="27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customFormat="false" ht="14.25" hidden="false" customHeight="true" outlineLevel="0" collapsed="false">
      <c r="A445" s="27"/>
      <c r="B445" s="27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customFormat="false" ht="14.25" hidden="false" customHeight="true" outlineLevel="0" collapsed="false">
      <c r="A446" s="27"/>
      <c r="B446" s="27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customFormat="false" ht="14.25" hidden="false" customHeight="true" outlineLevel="0" collapsed="false">
      <c r="A447" s="27"/>
      <c r="B447" s="27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customFormat="false" ht="14.25" hidden="false" customHeight="true" outlineLevel="0" collapsed="false">
      <c r="A448" s="27"/>
      <c r="B448" s="27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customFormat="false" ht="14.25" hidden="false" customHeight="true" outlineLevel="0" collapsed="false">
      <c r="A449" s="27"/>
      <c r="B449" s="27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customFormat="false" ht="14.25" hidden="false" customHeight="true" outlineLevel="0" collapsed="false">
      <c r="A450" s="27"/>
      <c r="B450" s="27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customFormat="false" ht="14.25" hidden="false" customHeight="true" outlineLevel="0" collapsed="false">
      <c r="A451" s="27"/>
      <c r="B451" s="27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customFormat="false" ht="14.25" hidden="false" customHeight="true" outlineLevel="0" collapsed="false">
      <c r="A452" s="27"/>
      <c r="B452" s="27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customFormat="false" ht="14.25" hidden="false" customHeight="true" outlineLevel="0" collapsed="false">
      <c r="A453" s="27"/>
      <c r="B453" s="27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customFormat="false" ht="14.25" hidden="false" customHeight="true" outlineLevel="0" collapsed="false">
      <c r="A454" s="27"/>
      <c r="B454" s="27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customFormat="false" ht="14.25" hidden="false" customHeight="true" outlineLevel="0" collapsed="false">
      <c r="A455" s="27"/>
      <c r="B455" s="27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customFormat="false" ht="14.25" hidden="false" customHeight="true" outlineLevel="0" collapsed="false">
      <c r="A456" s="27"/>
      <c r="B456" s="27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customFormat="false" ht="14.25" hidden="false" customHeight="true" outlineLevel="0" collapsed="false">
      <c r="A457" s="27"/>
      <c r="B457" s="27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customFormat="false" ht="14.25" hidden="false" customHeight="true" outlineLevel="0" collapsed="false">
      <c r="A458" s="27"/>
      <c r="B458" s="27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customFormat="false" ht="14.25" hidden="false" customHeight="true" outlineLevel="0" collapsed="false">
      <c r="A459" s="27"/>
      <c r="B459" s="27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customFormat="false" ht="14.25" hidden="false" customHeight="true" outlineLevel="0" collapsed="false">
      <c r="A460" s="27"/>
      <c r="B460" s="27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customFormat="false" ht="14.25" hidden="false" customHeight="true" outlineLevel="0" collapsed="false">
      <c r="A461" s="27"/>
      <c r="B461" s="27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customFormat="false" ht="14.25" hidden="false" customHeight="true" outlineLevel="0" collapsed="false">
      <c r="A462" s="27"/>
      <c r="B462" s="27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customFormat="false" ht="14.25" hidden="false" customHeight="true" outlineLevel="0" collapsed="false">
      <c r="A463" s="27"/>
      <c r="B463" s="27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customFormat="false" ht="14.25" hidden="false" customHeight="true" outlineLevel="0" collapsed="false">
      <c r="A464" s="27"/>
      <c r="B464" s="27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customFormat="false" ht="14.25" hidden="false" customHeight="true" outlineLevel="0" collapsed="false">
      <c r="A465" s="27"/>
      <c r="B465" s="27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customFormat="false" ht="14.25" hidden="false" customHeight="true" outlineLevel="0" collapsed="false">
      <c r="A466" s="27"/>
      <c r="B466" s="27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customFormat="false" ht="14.25" hidden="false" customHeight="true" outlineLevel="0" collapsed="false">
      <c r="A467" s="27"/>
      <c r="B467" s="27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customFormat="false" ht="14.25" hidden="false" customHeight="true" outlineLevel="0" collapsed="false">
      <c r="A468" s="27"/>
      <c r="B468" s="27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customFormat="false" ht="14.25" hidden="false" customHeight="true" outlineLevel="0" collapsed="false">
      <c r="A469" s="27"/>
      <c r="B469" s="27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customFormat="false" ht="14.25" hidden="false" customHeight="true" outlineLevel="0" collapsed="false">
      <c r="A470" s="27"/>
      <c r="B470" s="27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customFormat="false" ht="14.25" hidden="false" customHeight="true" outlineLevel="0" collapsed="false">
      <c r="A471" s="27"/>
      <c r="B471" s="27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customFormat="false" ht="14.25" hidden="false" customHeight="true" outlineLevel="0" collapsed="false">
      <c r="A472" s="27"/>
      <c r="B472" s="27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customFormat="false" ht="14.25" hidden="false" customHeight="true" outlineLevel="0" collapsed="false">
      <c r="A473" s="27"/>
      <c r="B473" s="27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customFormat="false" ht="14.25" hidden="false" customHeight="true" outlineLevel="0" collapsed="false">
      <c r="A474" s="27"/>
      <c r="B474" s="27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customFormat="false" ht="14.25" hidden="false" customHeight="true" outlineLevel="0" collapsed="false">
      <c r="A475" s="27"/>
      <c r="B475" s="27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customFormat="false" ht="14.25" hidden="false" customHeight="true" outlineLevel="0" collapsed="false">
      <c r="A476" s="27"/>
      <c r="B476" s="27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customFormat="false" ht="14.25" hidden="false" customHeight="true" outlineLevel="0" collapsed="false">
      <c r="A477" s="27"/>
      <c r="B477" s="27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customFormat="false" ht="14.25" hidden="false" customHeight="true" outlineLevel="0" collapsed="false">
      <c r="A478" s="27"/>
      <c r="B478" s="27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customFormat="false" ht="14.25" hidden="false" customHeight="true" outlineLevel="0" collapsed="false">
      <c r="A479" s="27"/>
      <c r="B479" s="27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customFormat="false" ht="14.25" hidden="false" customHeight="true" outlineLevel="0" collapsed="false">
      <c r="A480" s="27"/>
      <c r="B480" s="27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customFormat="false" ht="14.25" hidden="false" customHeight="true" outlineLevel="0" collapsed="false">
      <c r="A481" s="27"/>
      <c r="B481" s="27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customFormat="false" ht="14.25" hidden="false" customHeight="true" outlineLevel="0" collapsed="false">
      <c r="A482" s="27"/>
      <c r="B482" s="27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customFormat="false" ht="14.25" hidden="false" customHeight="true" outlineLevel="0" collapsed="false">
      <c r="A483" s="27"/>
      <c r="B483" s="27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customFormat="false" ht="14.25" hidden="false" customHeight="true" outlineLevel="0" collapsed="false">
      <c r="A484" s="27"/>
      <c r="B484" s="27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customFormat="false" ht="14.25" hidden="false" customHeight="true" outlineLevel="0" collapsed="false">
      <c r="A485" s="27"/>
      <c r="B485" s="27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customFormat="false" ht="14.25" hidden="false" customHeight="true" outlineLevel="0" collapsed="false">
      <c r="A486" s="27"/>
      <c r="B486" s="27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customFormat="false" ht="14.25" hidden="false" customHeight="true" outlineLevel="0" collapsed="false">
      <c r="A487" s="27"/>
      <c r="B487" s="27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customFormat="false" ht="14.25" hidden="false" customHeight="true" outlineLevel="0" collapsed="false">
      <c r="A488" s="27"/>
      <c r="B488" s="27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customFormat="false" ht="14.25" hidden="false" customHeight="true" outlineLevel="0" collapsed="false">
      <c r="A489" s="27"/>
      <c r="B489" s="27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customFormat="false" ht="14.25" hidden="false" customHeight="true" outlineLevel="0" collapsed="false">
      <c r="A490" s="27"/>
      <c r="B490" s="27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customFormat="false" ht="14.25" hidden="false" customHeight="true" outlineLevel="0" collapsed="false">
      <c r="A491" s="27"/>
      <c r="B491" s="27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customFormat="false" ht="14.25" hidden="false" customHeight="true" outlineLevel="0" collapsed="false">
      <c r="A492" s="27"/>
      <c r="B492" s="27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customFormat="false" ht="14.25" hidden="false" customHeight="true" outlineLevel="0" collapsed="false">
      <c r="A493" s="27"/>
      <c r="B493" s="27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customFormat="false" ht="14.25" hidden="false" customHeight="true" outlineLevel="0" collapsed="false">
      <c r="A494" s="27"/>
      <c r="B494" s="27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customFormat="false" ht="14.25" hidden="false" customHeight="true" outlineLevel="0" collapsed="false">
      <c r="A495" s="27"/>
      <c r="B495" s="27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customFormat="false" ht="14.25" hidden="false" customHeight="true" outlineLevel="0" collapsed="false">
      <c r="A496" s="27"/>
      <c r="B496" s="27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customFormat="false" ht="14.25" hidden="false" customHeight="true" outlineLevel="0" collapsed="false">
      <c r="A497" s="27"/>
      <c r="B497" s="27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customFormat="false" ht="14.25" hidden="false" customHeight="true" outlineLevel="0" collapsed="false">
      <c r="A498" s="27"/>
      <c r="B498" s="27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customFormat="false" ht="14.25" hidden="false" customHeight="true" outlineLevel="0" collapsed="false">
      <c r="A499" s="27"/>
      <c r="B499" s="27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customFormat="false" ht="14.25" hidden="false" customHeight="true" outlineLevel="0" collapsed="false">
      <c r="A500" s="27"/>
      <c r="B500" s="27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customFormat="false" ht="14.25" hidden="false" customHeight="true" outlineLevel="0" collapsed="false">
      <c r="A501" s="27"/>
      <c r="B501" s="27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customFormat="false" ht="14.25" hidden="false" customHeight="true" outlineLevel="0" collapsed="false">
      <c r="A502" s="27"/>
      <c r="B502" s="27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customFormat="false" ht="14.25" hidden="false" customHeight="true" outlineLevel="0" collapsed="false">
      <c r="A503" s="27"/>
      <c r="B503" s="27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customFormat="false" ht="14.25" hidden="false" customHeight="true" outlineLevel="0" collapsed="false">
      <c r="A504" s="27"/>
      <c r="B504" s="27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customFormat="false" ht="14.25" hidden="false" customHeight="true" outlineLevel="0" collapsed="false">
      <c r="A505" s="27"/>
      <c r="B505" s="27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customFormat="false" ht="14.25" hidden="false" customHeight="true" outlineLevel="0" collapsed="false">
      <c r="A506" s="27"/>
      <c r="B506" s="27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customFormat="false" ht="14.25" hidden="false" customHeight="true" outlineLevel="0" collapsed="false">
      <c r="A507" s="27"/>
      <c r="B507" s="27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customFormat="false" ht="14.25" hidden="false" customHeight="true" outlineLevel="0" collapsed="false">
      <c r="A508" s="27"/>
      <c r="B508" s="27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customFormat="false" ht="14.25" hidden="false" customHeight="true" outlineLevel="0" collapsed="false">
      <c r="A509" s="27"/>
      <c r="B509" s="27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customFormat="false" ht="14.25" hidden="false" customHeight="true" outlineLevel="0" collapsed="false">
      <c r="A510" s="27"/>
      <c r="B510" s="27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customFormat="false" ht="14.25" hidden="false" customHeight="true" outlineLevel="0" collapsed="false">
      <c r="A511" s="27"/>
      <c r="B511" s="27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customFormat="false" ht="14.25" hidden="false" customHeight="true" outlineLevel="0" collapsed="false">
      <c r="A512" s="27"/>
      <c r="B512" s="27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customFormat="false" ht="14.25" hidden="false" customHeight="true" outlineLevel="0" collapsed="false">
      <c r="A513" s="27"/>
      <c r="B513" s="27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customFormat="false" ht="14.25" hidden="false" customHeight="true" outlineLevel="0" collapsed="false">
      <c r="A514" s="27"/>
      <c r="B514" s="27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customFormat="false" ht="14.25" hidden="false" customHeight="true" outlineLevel="0" collapsed="false">
      <c r="A515" s="27"/>
      <c r="B515" s="27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customFormat="false" ht="14.25" hidden="false" customHeight="true" outlineLevel="0" collapsed="false">
      <c r="A516" s="27"/>
      <c r="B516" s="27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customFormat="false" ht="14.25" hidden="false" customHeight="true" outlineLevel="0" collapsed="false">
      <c r="A517" s="27"/>
      <c r="B517" s="27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customFormat="false" ht="14.25" hidden="false" customHeight="true" outlineLevel="0" collapsed="false">
      <c r="A518" s="27"/>
      <c r="B518" s="27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customFormat="false" ht="14.25" hidden="false" customHeight="true" outlineLevel="0" collapsed="false">
      <c r="A519" s="27"/>
      <c r="B519" s="27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customFormat="false" ht="14.25" hidden="false" customHeight="true" outlineLevel="0" collapsed="false">
      <c r="A520" s="27"/>
      <c r="B520" s="27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customFormat="false" ht="14.25" hidden="false" customHeight="true" outlineLevel="0" collapsed="false">
      <c r="A521" s="27"/>
      <c r="B521" s="27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customFormat="false" ht="14.25" hidden="false" customHeight="true" outlineLevel="0" collapsed="false">
      <c r="A522" s="27"/>
      <c r="B522" s="27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customFormat="false" ht="14.25" hidden="false" customHeight="true" outlineLevel="0" collapsed="false">
      <c r="A523" s="27"/>
      <c r="B523" s="27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customFormat="false" ht="14.25" hidden="false" customHeight="true" outlineLevel="0" collapsed="false">
      <c r="A524" s="27"/>
      <c r="B524" s="27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customFormat="false" ht="14.25" hidden="false" customHeight="true" outlineLevel="0" collapsed="false">
      <c r="A525" s="27"/>
      <c r="B525" s="27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customFormat="false" ht="14.25" hidden="false" customHeight="true" outlineLevel="0" collapsed="false">
      <c r="A526" s="27"/>
      <c r="B526" s="27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customFormat="false" ht="14.25" hidden="false" customHeight="true" outlineLevel="0" collapsed="false">
      <c r="A527" s="27"/>
      <c r="B527" s="27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customFormat="false" ht="14.25" hidden="false" customHeight="true" outlineLevel="0" collapsed="false">
      <c r="A528" s="27"/>
      <c r="B528" s="27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customFormat="false" ht="14.25" hidden="false" customHeight="true" outlineLevel="0" collapsed="false">
      <c r="A529" s="27"/>
      <c r="B529" s="27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customFormat="false" ht="14.25" hidden="false" customHeight="true" outlineLevel="0" collapsed="false">
      <c r="A530" s="27"/>
      <c r="B530" s="27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customFormat="false" ht="14.25" hidden="false" customHeight="true" outlineLevel="0" collapsed="false">
      <c r="A531" s="27"/>
      <c r="B531" s="27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customFormat="false" ht="14.25" hidden="false" customHeight="true" outlineLevel="0" collapsed="false">
      <c r="A532" s="27"/>
      <c r="B532" s="27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customFormat="false" ht="14.25" hidden="false" customHeight="true" outlineLevel="0" collapsed="false">
      <c r="A533" s="27"/>
      <c r="B533" s="27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customFormat="false" ht="14.25" hidden="false" customHeight="true" outlineLevel="0" collapsed="false">
      <c r="A534" s="27"/>
      <c r="B534" s="27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customFormat="false" ht="14.25" hidden="false" customHeight="true" outlineLevel="0" collapsed="false">
      <c r="A535" s="27"/>
      <c r="B535" s="27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customFormat="false" ht="14.25" hidden="false" customHeight="true" outlineLevel="0" collapsed="false">
      <c r="A536" s="27"/>
      <c r="B536" s="27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customFormat="false" ht="14.25" hidden="false" customHeight="true" outlineLevel="0" collapsed="false">
      <c r="A537" s="27"/>
      <c r="B537" s="27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customFormat="false" ht="14.25" hidden="false" customHeight="true" outlineLevel="0" collapsed="false">
      <c r="A538" s="27"/>
      <c r="B538" s="27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customFormat="false" ht="14.25" hidden="false" customHeight="true" outlineLevel="0" collapsed="false">
      <c r="A539" s="27"/>
      <c r="B539" s="27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customFormat="false" ht="14.25" hidden="false" customHeight="true" outlineLevel="0" collapsed="false">
      <c r="A540" s="27"/>
      <c r="B540" s="27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customFormat="false" ht="14.25" hidden="false" customHeight="true" outlineLevel="0" collapsed="false">
      <c r="A541" s="27"/>
      <c r="B541" s="27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customFormat="false" ht="14.25" hidden="false" customHeight="true" outlineLevel="0" collapsed="false">
      <c r="A542" s="27"/>
      <c r="B542" s="27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customFormat="false" ht="14.25" hidden="false" customHeight="true" outlineLevel="0" collapsed="false">
      <c r="A543" s="27"/>
      <c r="B543" s="27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customFormat="false" ht="14.25" hidden="false" customHeight="true" outlineLevel="0" collapsed="false">
      <c r="A544" s="27"/>
      <c r="B544" s="27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customFormat="false" ht="14.25" hidden="false" customHeight="true" outlineLevel="0" collapsed="false">
      <c r="A545" s="27"/>
      <c r="B545" s="27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customFormat="false" ht="14.25" hidden="false" customHeight="true" outlineLevel="0" collapsed="false">
      <c r="A546" s="27"/>
      <c r="B546" s="27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customFormat="false" ht="14.25" hidden="false" customHeight="true" outlineLevel="0" collapsed="false">
      <c r="A547" s="27"/>
      <c r="B547" s="27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customFormat="false" ht="14.25" hidden="false" customHeight="true" outlineLevel="0" collapsed="false">
      <c r="A548" s="27"/>
      <c r="B548" s="27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customFormat="false" ht="14.25" hidden="false" customHeight="true" outlineLevel="0" collapsed="false">
      <c r="A549" s="27"/>
      <c r="B549" s="27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customFormat="false" ht="14.25" hidden="false" customHeight="true" outlineLevel="0" collapsed="false">
      <c r="A550" s="27"/>
      <c r="B550" s="27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customFormat="false" ht="14.25" hidden="false" customHeight="true" outlineLevel="0" collapsed="false">
      <c r="A551" s="27"/>
      <c r="B551" s="27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customFormat="false" ht="14.25" hidden="false" customHeight="true" outlineLevel="0" collapsed="false">
      <c r="A552" s="27"/>
      <c r="B552" s="27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customFormat="false" ht="14.25" hidden="false" customHeight="true" outlineLevel="0" collapsed="false">
      <c r="A553" s="27"/>
      <c r="B553" s="27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customFormat="false" ht="14.25" hidden="false" customHeight="true" outlineLevel="0" collapsed="false">
      <c r="A554" s="27"/>
      <c r="B554" s="27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customFormat="false" ht="14.25" hidden="false" customHeight="true" outlineLevel="0" collapsed="false">
      <c r="A555" s="27"/>
      <c r="B555" s="27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customFormat="false" ht="14.25" hidden="false" customHeight="true" outlineLevel="0" collapsed="false">
      <c r="A556" s="27"/>
      <c r="B556" s="27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customFormat="false" ht="14.25" hidden="false" customHeight="true" outlineLevel="0" collapsed="false">
      <c r="A557" s="27"/>
      <c r="B557" s="27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customFormat="false" ht="14.25" hidden="false" customHeight="true" outlineLevel="0" collapsed="false">
      <c r="A558" s="27"/>
      <c r="B558" s="27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customFormat="false" ht="14.25" hidden="false" customHeight="true" outlineLevel="0" collapsed="false">
      <c r="A559" s="27"/>
      <c r="B559" s="27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customFormat="false" ht="14.25" hidden="false" customHeight="true" outlineLevel="0" collapsed="false">
      <c r="A560" s="27"/>
      <c r="B560" s="27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customFormat="false" ht="14.25" hidden="false" customHeight="true" outlineLevel="0" collapsed="false">
      <c r="A561" s="27"/>
      <c r="B561" s="27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customFormat="false" ht="14.25" hidden="false" customHeight="true" outlineLevel="0" collapsed="false">
      <c r="A562" s="27"/>
      <c r="B562" s="27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customFormat="false" ht="14.25" hidden="false" customHeight="true" outlineLevel="0" collapsed="false">
      <c r="A563" s="27"/>
      <c r="B563" s="27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customFormat="false" ht="14.25" hidden="false" customHeight="true" outlineLevel="0" collapsed="false">
      <c r="A564" s="27"/>
      <c r="B564" s="27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customFormat="false" ht="14.25" hidden="false" customHeight="true" outlineLevel="0" collapsed="false">
      <c r="A565" s="27"/>
      <c r="B565" s="27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customFormat="false" ht="14.25" hidden="false" customHeight="true" outlineLevel="0" collapsed="false">
      <c r="A566" s="27"/>
      <c r="B566" s="27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customFormat="false" ht="14.25" hidden="false" customHeight="true" outlineLevel="0" collapsed="false">
      <c r="A567" s="27"/>
      <c r="B567" s="27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customFormat="false" ht="14.25" hidden="false" customHeight="true" outlineLevel="0" collapsed="false">
      <c r="A568" s="27"/>
      <c r="B568" s="27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customFormat="false" ht="14.25" hidden="false" customHeight="true" outlineLevel="0" collapsed="false">
      <c r="A569" s="27"/>
      <c r="B569" s="27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customFormat="false" ht="14.25" hidden="false" customHeight="true" outlineLevel="0" collapsed="false">
      <c r="A570" s="27"/>
      <c r="B570" s="27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customFormat="false" ht="14.25" hidden="false" customHeight="true" outlineLevel="0" collapsed="false">
      <c r="A571" s="27"/>
      <c r="B571" s="27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customFormat="false" ht="14.25" hidden="false" customHeight="true" outlineLevel="0" collapsed="false">
      <c r="A572" s="27"/>
      <c r="B572" s="27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customFormat="false" ht="14.25" hidden="false" customHeight="true" outlineLevel="0" collapsed="false">
      <c r="A573" s="27"/>
      <c r="B573" s="27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customFormat="false" ht="14.25" hidden="false" customHeight="true" outlineLevel="0" collapsed="false">
      <c r="A574" s="27"/>
      <c r="B574" s="27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customFormat="false" ht="14.25" hidden="false" customHeight="true" outlineLevel="0" collapsed="false">
      <c r="A575" s="27"/>
      <c r="B575" s="27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customFormat="false" ht="14.25" hidden="false" customHeight="true" outlineLevel="0" collapsed="false">
      <c r="A576" s="27"/>
      <c r="B576" s="27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customFormat="false" ht="14.25" hidden="false" customHeight="true" outlineLevel="0" collapsed="false">
      <c r="A577" s="27"/>
      <c r="B577" s="27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customFormat="false" ht="14.25" hidden="false" customHeight="true" outlineLevel="0" collapsed="false">
      <c r="A578" s="27"/>
      <c r="B578" s="27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customFormat="false" ht="14.25" hidden="false" customHeight="true" outlineLevel="0" collapsed="false">
      <c r="A579" s="27"/>
      <c r="B579" s="27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customFormat="false" ht="14.25" hidden="false" customHeight="true" outlineLevel="0" collapsed="false">
      <c r="A580" s="27"/>
      <c r="B580" s="27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customFormat="false" ht="14.25" hidden="false" customHeight="true" outlineLevel="0" collapsed="false">
      <c r="A581" s="27"/>
      <c r="B581" s="27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customFormat="false" ht="14.25" hidden="false" customHeight="true" outlineLevel="0" collapsed="false">
      <c r="A582" s="27"/>
      <c r="B582" s="27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customFormat="false" ht="14.25" hidden="false" customHeight="true" outlineLevel="0" collapsed="false">
      <c r="A583" s="27"/>
      <c r="B583" s="27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customFormat="false" ht="14.25" hidden="false" customHeight="true" outlineLevel="0" collapsed="false">
      <c r="A584" s="27"/>
      <c r="B584" s="27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customFormat="false" ht="14.25" hidden="false" customHeight="true" outlineLevel="0" collapsed="false">
      <c r="A585" s="27"/>
      <c r="B585" s="27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customFormat="false" ht="14.25" hidden="false" customHeight="true" outlineLevel="0" collapsed="false">
      <c r="A586" s="27"/>
      <c r="B586" s="27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customFormat="false" ht="14.25" hidden="false" customHeight="true" outlineLevel="0" collapsed="false">
      <c r="A587" s="27"/>
      <c r="B587" s="27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customFormat="false" ht="14.25" hidden="false" customHeight="true" outlineLevel="0" collapsed="false">
      <c r="A588" s="27"/>
      <c r="B588" s="27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customFormat="false" ht="14.25" hidden="false" customHeight="true" outlineLevel="0" collapsed="false">
      <c r="A589" s="27"/>
      <c r="B589" s="27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customFormat="false" ht="14.25" hidden="false" customHeight="true" outlineLevel="0" collapsed="false">
      <c r="A590" s="27"/>
      <c r="B590" s="27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customFormat="false" ht="14.25" hidden="false" customHeight="true" outlineLevel="0" collapsed="false">
      <c r="A591" s="27"/>
      <c r="B591" s="27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customFormat="false" ht="14.25" hidden="false" customHeight="true" outlineLevel="0" collapsed="false">
      <c r="A592" s="27"/>
      <c r="B592" s="27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customFormat="false" ht="14.25" hidden="false" customHeight="true" outlineLevel="0" collapsed="false">
      <c r="A593" s="27"/>
      <c r="B593" s="27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customFormat="false" ht="14.25" hidden="false" customHeight="true" outlineLevel="0" collapsed="false">
      <c r="A594" s="27"/>
      <c r="B594" s="27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customFormat="false" ht="14.25" hidden="false" customHeight="true" outlineLevel="0" collapsed="false">
      <c r="A595" s="27"/>
      <c r="B595" s="27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customFormat="false" ht="14.25" hidden="false" customHeight="true" outlineLevel="0" collapsed="false">
      <c r="A596" s="27"/>
      <c r="B596" s="27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customFormat="false" ht="14.25" hidden="false" customHeight="true" outlineLevel="0" collapsed="false">
      <c r="A597" s="27"/>
      <c r="B597" s="27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customFormat="false" ht="14.25" hidden="false" customHeight="true" outlineLevel="0" collapsed="false">
      <c r="A598" s="27"/>
      <c r="B598" s="27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customFormat="false" ht="14.25" hidden="false" customHeight="true" outlineLevel="0" collapsed="false">
      <c r="A599" s="27"/>
      <c r="B599" s="27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customFormat="false" ht="14.25" hidden="false" customHeight="true" outlineLevel="0" collapsed="false">
      <c r="A600" s="27"/>
      <c r="B600" s="27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customFormat="false" ht="14.25" hidden="false" customHeight="true" outlineLevel="0" collapsed="false">
      <c r="A601" s="27"/>
      <c r="B601" s="27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customFormat="false" ht="14.25" hidden="false" customHeight="true" outlineLevel="0" collapsed="false">
      <c r="A602" s="27"/>
      <c r="B602" s="27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customFormat="false" ht="14.25" hidden="false" customHeight="true" outlineLevel="0" collapsed="false">
      <c r="A603" s="27"/>
      <c r="B603" s="27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customFormat="false" ht="14.25" hidden="false" customHeight="true" outlineLevel="0" collapsed="false">
      <c r="A604" s="27"/>
      <c r="B604" s="27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customFormat="false" ht="14.25" hidden="false" customHeight="true" outlineLevel="0" collapsed="false">
      <c r="A605" s="27"/>
      <c r="B605" s="27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customFormat="false" ht="14.25" hidden="false" customHeight="true" outlineLevel="0" collapsed="false">
      <c r="A606" s="27"/>
      <c r="B606" s="27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customFormat="false" ht="14.25" hidden="false" customHeight="true" outlineLevel="0" collapsed="false">
      <c r="A607" s="27"/>
      <c r="B607" s="27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customFormat="false" ht="14.25" hidden="false" customHeight="true" outlineLevel="0" collapsed="false">
      <c r="A608" s="27"/>
      <c r="B608" s="27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customFormat="false" ht="14.25" hidden="false" customHeight="true" outlineLevel="0" collapsed="false">
      <c r="A609" s="27"/>
      <c r="B609" s="27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customFormat="false" ht="14.25" hidden="false" customHeight="true" outlineLevel="0" collapsed="false">
      <c r="A610" s="27"/>
      <c r="B610" s="27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customFormat="false" ht="14.25" hidden="false" customHeight="true" outlineLevel="0" collapsed="false">
      <c r="A611" s="27"/>
      <c r="B611" s="27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customFormat="false" ht="14.25" hidden="false" customHeight="true" outlineLevel="0" collapsed="false">
      <c r="A612" s="27"/>
      <c r="B612" s="27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customFormat="false" ht="14.25" hidden="false" customHeight="true" outlineLevel="0" collapsed="false">
      <c r="A613" s="27"/>
      <c r="B613" s="27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customFormat="false" ht="14.25" hidden="false" customHeight="true" outlineLevel="0" collapsed="false">
      <c r="A614" s="27"/>
      <c r="B614" s="27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customFormat="false" ht="14.25" hidden="false" customHeight="true" outlineLevel="0" collapsed="false">
      <c r="A615" s="27"/>
      <c r="B615" s="27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customFormat="false" ht="14.25" hidden="false" customHeight="true" outlineLevel="0" collapsed="false">
      <c r="A616" s="27"/>
      <c r="B616" s="27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customFormat="false" ht="14.25" hidden="false" customHeight="true" outlineLevel="0" collapsed="false">
      <c r="A617" s="27"/>
      <c r="B617" s="27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customFormat="false" ht="14.25" hidden="false" customHeight="true" outlineLevel="0" collapsed="false">
      <c r="A618" s="27"/>
      <c r="B618" s="27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customFormat="false" ht="14.25" hidden="false" customHeight="true" outlineLevel="0" collapsed="false">
      <c r="A619" s="27"/>
      <c r="B619" s="27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customFormat="false" ht="14.25" hidden="false" customHeight="true" outlineLevel="0" collapsed="false">
      <c r="A620" s="27"/>
      <c r="B620" s="27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customFormat="false" ht="14.25" hidden="false" customHeight="true" outlineLevel="0" collapsed="false">
      <c r="A621" s="27"/>
      <c r="B621" s="27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customFormat="false" ht="14.25" hidden="false" customHeight="true" outlineLevel="0" collapsed="false">
      <c r="A622" s="27"/>
      <c r="B622" s="27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customFormat="false" ht="14.25" hidden="false" customHeight="true" outlineLevel="0" collapsed="false">
      <c r="A623" s="27"/>
      <c r="B623" s="27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customFormat="false" ht="14.25" hidden="false" customHeight="true" outlineLevel="0" collapsed="false">
      <c r="A624" s="27"/>
      <c r="B624" s="27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customFormat="false" ht="14.25" hidden="false" customHeight="true" outlineLevel="0" collapsed="false">
      <c r="A625" s="27"/>
      <c r="B625" s="27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customFormat="false" ht="14.25" hidden="false" customHeight="true" outlineLevel="0" collapsed="false">
      <c r="A626" s="27"/>
      <c r="B626" s="27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customFormat="false" ht="14.25" hidden="false" customHeight="true" outlineLevel="0" collapsed="false">
      <c r="A627" s="27"/>
      <c r="B627" s="27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customFormat="false" ht="14.25" hidden="false" customHeight="true" outlineLevel="0" collapsed="false">
      <c r="A628" s="27"/>
      <c r="B628" s="27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customFormat="false" ht="14.25" hidden="false" customHeight="true" outlineLevel="0" collapsed="false">
      <c r="A629" s="27"/>
      <c r="B629" s="27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customFormat="false" ht="14.25" hidden="false" customHeight="true" outlineLevel="0" collapsed="false">
      <c r="A630" s="27"/>
      <c r="B630" s="27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customFormat="false" ht="14.25" hidden="false" customHeight="true" outlineLevel="0" collapsed="false">
      <c r="A631" s="27"/>
      <c r="B631" s="27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customFormat="false" ht="14.25" hidden="false" customHeight="true" outlineLevel="0" collapsed="false">
      <c r="A632" s="27"/>
      <c r="B632" s="27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customFormat="false" ht="14.25" hidden="false" customHeight="true" outlineLevel="0" collapsed="false">
      <c r="A633" s="27"/>
      <c r="B633" s="27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customFormat="false" ht="14.25" hidden="false" customHeight="true" outlineLevel="0" collapsed="false">
      <c r="A634" s="27"/>
      <c r="B634" s="27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customFormat="false" ht="14.25" hidden="false" customHeight="true" outlineLevel="0" collapsed="false">
      <c r="A635" s="27"/>
      <c r="B635" s="27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customFormat="false" ht="14.25" hidden="false" customHeight="true" outlineLevel="0" collapsed="false">
      <c r="A636" s="27"/>
      <c r="B636" s="27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customFormat="false" ht="14.25" hidden="false" customHeight="true" outlineLevel="0" collapsed="false">
      <c r="A637" s="27"/>
      <c r="B637" s="27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customFormat="false" ht="14.25" hidden="false" customHeight="true" outlineLevel="0" collapsed="false">
      <c r="A638" s="27"/>
      <c r="B638" s="27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customFormat="false" ht="14.25" hidden="false" customHeight="true" outlineLevel="0" collapsed="false">
      <c r="A639" s="27"/>
      <c r="B639" s="27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customFormat="false" ht="14.25" hidden="false" customHeight="true" outlineLevel="0" collapsed="false">
      <c r="A640" s="27"/>
      <c r="B640" s="27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customFormat="false" ht="14.25" hidden="false" customHeight="true" outlineLevel="0" collapsed="false">
      <c r="A641" s="27"/>
      <c r="B641" s="27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customFormat="false" ht="14.25" hidden="false" customHeight="true" outlineLevel="0" collapsed="false">
      <c r="A642" s="27"/>
      <c r="B642" s="27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customFormat="false" ht="14.25" hidden="false" customHeight="true" outlineLevel="0" collapsed="false">
      <c r="A643" s="27"/>
      <c r="B643" s="27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customFormat="false" ht="14.25" hidden="false" customHeight="true" outlineLevel="0" collapsed="false">
      <c r="A644" s="27"/>
      <c r="B644" s="27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customFormat="false" ht="14.25" hidden="false" customHeight="true" outlineLevel="0" collapsed="false">
      <c r="A645" s="27"/>
      <c r="B645" s="27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customFormat="false" ht="14.25" hidden="false" customHeight="true" outlineLevel="0" collapsed="false">
      <c r="A646" s="27"/>
      <c r="B646" s="27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customFormat="false" ht="14.25" hidden="false" customHeight="true" outlineLevel="0" collapsed="false">
      <c r="A647" s="27"/>
      <c r="B647" s="27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customFormat="false" ht="14.25" hidden="false" customHeight="true" outlineLevel="0" collapsed="false">
      <c r="A648" s="27"/>
      <c r="B648" s="27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customFormat="false" ht="14.25" hidden="false" customHeight="true" outlineLevel="0" collapsed="false">
      <c r="A649" s="27"/>
      <c r="B649" s="27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customFormat="false" ht="14.25" hidden="false" customHeight="true" outlineLevel="0" collapsed="false">
      <c r="A650" s="27"/>
      <c r="B650" s="27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customFormat="false" ht="14.25" hidden="false" customHeight="true" outlineLevel="0" collapsed="false">
      <c r="A651" s="27"/>
      <c r="B651" s="27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customFormat="false" ht="14.25" hidden="false" customHeight="true" outlineLevel="0" collapsed="false">
      <c r="A652" s="27"/>
      <c r="B652" s="27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customFormat="false" ht="14.25" hidden="false" customHeight="true" outlineLevel="0" collapsed="false">
      <c r="A653" s="27"/>
      <c r="B653" s="27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customFormat="false" ht="14.25" hidden="false" customHeight="true" outlineLevel="0" collapsed="false">
      <c r="A654" s="27"/>
      <c r="B654" s="27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customFormat="false" ht="14.25" hidden="false" customHeight="true" outlineLevel="0" collapsed="false">
      <c r="A655" s="27"/>
      <c r="B655" s="27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customFormat="false" ht="14.25" hidden="false" customHeight="true" outlineLevel="0" collapsed="false">
      <c r="A656" s="27"/>
      <c r="B656" s="27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customFormat="false" ht="14.25" hidden="false" customHeight="true" outlineLevel="0" collapsed="false">
      <c r="A657" s="27"/>
      <c r="B657" s="27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customFormat="false" ht="14.25" hidden="false" customHeight="true" outlineLevel="0" collapsed="false">
      <c r="A658" s="27"/>
      <c r="B658" s="27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customFormat="false" ht="14.25" hidden="false" customHeight="true" outlineLevel="0" collapsed="false">
      <c r="A659" s="27"/>
      <c r="B659" s="27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customFormat="false" ht="14.25" hidden="false" customHeight="true" outlineLevel="0" collapsed="false">
      <c r="A660" s="27"/>
      <c r="B660" s="27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customFormat="false" ht="14.25" hidden="false" customHeight="true" outlineLevel="0" collapsed="false">
      <c r="A661" s="27"/>
      <c r="B661" s="27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customFormat="false" ht="14.25" hidden="false" customHeight="true" outlineLevel="0" collapsed="false">
      <c r="A662" s="27"/>
      <c r="B662" s="27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customFormat="false" ht="14.25" hidden="false" customHeight="true" outlineLevel="0" collapsed="false">
      <c r="A663" s="27"/>
      <c r="B663" s="27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customFormat="false" ht="14.25" hidden="false" customHeight="true" outlineLevel="0" collapsed="false">
      <c r="A664" s="27"/>
      <c r="B664" s="27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customFormat="false" ht="14.25" hidden="false" customHeight="true" outlineLevel="0" collapsed="false">
      <c r="A665" s="27"/>
      <c r="B665" s="27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customFormat="false" ht="14.25" hidden="false" customHeight="true" outlineLevel="0" collapsed="false">
      <c r="A666" s="27"/>
      <c r="B666" s="27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customFormat="false" ht="14.25" hidden="false" customHeight="true" outlineLevel="0" collapsed="false">
      <c r="A667" s="27"/>
      <c r="B667" s="27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customFormat="false" ht="14.25" hidden="false" customHeight="true" outlineLevel="0" collapsed="false">
      <c r="A668" s="27"/>
      <c r="B668" s="27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customFormat="false" ht="14.25" hidden="false" customHeight="true" outlineLevel="0" collapsed="false">
      <c r="A669" s="27"/>
      <c r="B669" s="27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customFormat="false" ht="14.25" hidden="false" customHeight="true" outlineLevel="0" collapsed="false">
      <c r="A670" s="27"/>
      <c r="B670" s="27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customFormat="false" ht="14.25" hidden="false" customHeight="true" outlineLevel="0" collapsed="false">
      <c r="A671" s="27"/>
      <c r="B671" s="27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customFormat="false" ht="14.25" hidden="false" customHeight="true" outlineLevel="0" collapsed="false">
      <c r="A672" s="27"/>
      <c r="B672" s="27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customFormat="false" ht="14.25" hidden="false" customHeight="true" outlineLevel="0" collapsed="false">
      <c r="A673" s="27"/>
      <c r="B673" s="27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customFormat="false" ht="14.25" hidden="false" customHeight="true" outlineLevel="0" collapsed="false">
      <c r="A674" s="27"/>
      <c r="B674" s="27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customFormat="false" ht="14.25" hidden="false" customHeight="true" outlineLevel="0" collapsed="false">
      <c r="A675" s="27"/>
      <c r="B675" s="27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customFormat="false" ht="14.25" hidden="false" customHeight="true" outlineLevel="0" collapsed="false">
      <c r="A676" s="27"/>
      <c r="B676" s="27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customFormat="false" ht="14.25" hidden="false" customHeight="true" outlineLevel="0" collapsed="false">
      <c r="A677" s="27"/>
      <c r="B677" s="27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customFormat="false" ht="14.25" hidden="false" customHeight="true" outlineLevel="0" collapsed="false">
      <c r="A678" s="27"/>
      <c r="B678" s="27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customFormat="false" ht="14.25" hidden="false" customHeight="true" outlineLevel="0" collapsed="false">
      <c r="A679" s="27"/>
      <c r="B679" s="27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customFormat="false" ht="14.25" hidden="false" customHeight="true" outlineLevel="0" collapsed="false">
      <c r="A680" s="27"/>
      <c r="B680" s="27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customFormat="false" ht="14.25" hidden="false" customHeight="true" outlineLevel="0" collapsed="false">
      <c r="A681" s="27"/>
      <c r="B681" s="27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customFormat="false" ht="14.25" hidden="false" customHeight="true" outlineLevel="0" collapsed="false">
      <c r="A682" s="27"/>
      <c r="B682" s="27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customFormat="false" ht="14.25" hidden="false" customHeight="true" outlineLevel="0" collapsed="false">
      <c r="A683" s="27"/>
      <c r="B683" s="27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customFormat="false" ht="14.25" hidden="false" customHeight="true" outlineLevel="0" collapsed="false">
      <c r="A684" s="27"/>
      <c r="B684" s="27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customFormat="false" ht="14.25" hidden="false" customHeight="true" outlineLevel="0" collapsed="false">
      <c r="A685" s="27"/>
      <c r="B685" s="27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customFormat="false" ht="14.25" hidden="false" customHeight="true" outlineLevel="0" collapsed="false">
      <c r="A686" s="27"/>
      <c r="B686" s="27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customFormat="false" ht="14.25" hidden="false" customHeight="true" outlineLevel="0" collapsed="false">
      <c r="A687" s="27"/>
      <c r="B687" s="27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customFormat="false" ht="14.25" hidden="false" customHeight="true" outlineLevel="0" collapsed="false">
      <c r="A688" s="27"/>
      <c r="B688" s="27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customFormat="false" ht="14.25" hidden="false" customHeight="true" outlineLevel="0" collapsed="false">
      <c r="A689" s="27"/>
      <c r="B689" s="27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customFormat="false" ht="14.25" hidden="false" customHeight="true" outlineLevel="0" collapsed="false">
      <c r="A690" s="27"/>
      <c r="B690" s="27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customFormat="false" ht="14.25" hidden="false" customHeight="true" outlineLevel="0" collapsed="false">
      <c r="A691" s="27"/>
      <c r="B691" s="27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customFormat="false" ht="14.25" hidden="false" customHeight="true" outlineLevel="0" collapsed="false">
      <c r="A692" s="27"/>
      <c r="B692" s="27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customFormat="false" ht="14.25" hidden="false" customHeight="true" outlineLevel="0" collapsed="false">
      <c r="A693" s="27"/>
      <c r="B693" s="27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customFormat="false" ht="14.25" hidden="false" customHeight="true" outlineLevel="0" collapsed="false">
      <c r="A694" s="27"/>
      <c r="B694" s="27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customFormat="false" ht="14.25" hidden="false" customHeight="true" outlineLevel="0" collapsed="false">
      <c r="A695" s="27"/>
      <c r="B695" s="27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customFormat="false" ht="14.25" hidden="false" customHeight="true" outlineLevel="0" collapsed="false">
      <c r="A696" s="27"/>
      <c r="B696" s="27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customFormat="false" ht="14.25" hidden="false" customHeight="true" outlineLevel="0" collapsed="false">
      <c r="A697" s="27"/>
      <c r="B697" s="27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customFormat="false" ht="14.25" hidden="false" customHeight="true" outlineLevel="0" collapsed="false">
      <c r="A698" s="27"/>
      <c r="B698" s="27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customFormat="false" ht="14.25" hidden="false" customHeight="true" outlineLevel="0" collapsed="false">
      <c r="A699" s="27"/>
      <c r="B699" s="27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customFormat="false" ht="14.25" hidden="false" customHeight="true" outlineLevel="0" collapsed="false">
      <c r="A700" s="27"/>
      <c r="B700" s="27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customFormat="false" ht="14.25" hidden="false" customHeight="true" outlineLevel="0" collapsed="false">
      <c r="A701" s="27"/>
      <c r="B701" s="27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customFormat="false" ht="14.25" hidden="false" customHeight="true" outlineLevel="0" collapsed="false">
      <c r="A702" s="27"/>
      <c r="B702" s="27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customFormat="false" ht="14.25" hidden="false" customHeight="true" outlineLevel="0" collapsed="false">
      <c r="A703" s="27"/>
      <c r="B703" s="27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customFormat="false" ht="14.25" hidden="false" customHeight="true" outlineLevel="0" collapsed="false">
      <c r="A704" s="27"/>
      <c r="B704" s="27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customFormat="false" ht="14.25" hidden="false" customHeight="true" outlineLevel="0" collapsed="false">
      <c r="A705" s="27"/>
      <c r="B705" s="27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customFormat="false" ht="14.25" hidden="false" customHeight="true" outlineLevel="0" collapsed="false">
      <c r="A706" s="27"/>
      <c r="B706" s="27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customFormat="false" ht="14.25" hidden="false" customHeight="true" outlineLevel="0" collapsed="false">
      <c r="A707" s="27"/>
      <c r="B707" s="27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customFormat="false" ht="14.25" hidden="false" customHeight="true" outlineLevel="0" collapsed="false">
      <c r="A708" s="27"/>
      <c r="B708" s="27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customFormat="false" ht="14.25" hidden="false" customHeight="true" outlineLevel="0" collapsed="false">
      <c r="A709" s="27"/>
      <c r="B709" s="27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customFormat="false" ht="14.25" hidden="false" customHeight="true" outlineLevel="0" collapsed="false">
      <c r="A710" s="27"/>
      <c r="B710" s="27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customFormat="false" ht="14.25" hidden="false" customHeight="true" outlineLevel="0" collapsed="false">
      <c r="A711" s="27"/>
      <c r="B711" s="27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customFormat="false" ht="14.25" hidden="false" customHeight="true" outlineLevel="0" collapsed="false">
      <c r="A712" s="27"/>
      <c r="B712" s="27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customFormat="false" ht="14.25" hidden="false" customHeight="true" outlineLevel="0" collapsed="false">
      <c r="A713" s="27"/>
      <c r="B713" s="27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customFormat="false" ht="14.25" hidden="false" customHeight="true" outlineLevel="0" collapsed="false">
      <c r="A714" s="27"/>
      <c r="B714" s="27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customFormat="false" ht="14.25" hidden="false" customHeight="true" outlineLevel="0" collapsed="false">
      <c r="A715" s="27"/>
      <c r="B715" s="27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customFormat="false" ht="14.25" hidden="false" customHeight="true" outlineLevel="0" collapsed="false">
      <c r="A716" s="27"/>
      <c r="B716" s="27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customFormat="false" ht="14.25" hidden="false" customHeight="true" outlineLevel="0" collapsed="false">
      <c r="A717" s="27"/>
      <c r="B717" s="27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customFormat="false" ht="14.25" hidden="false" customHeight="true" outlineLevel="0" collapsed="false">
      <c r="A718" s="27"/>
      <c r="B718" s="27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customFormat="false" ht="14.25" hidden="false" customHeight="true" outlineLevel="0" collapsed="false">
      <c r="A719" s="27"/>
      <c r="B719" s="27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customFormat="false" ht="14.25" hidden="false" customHeight="true" outlineLevel="0" collapsed="false">
      <c r="A720" s="27"/>
      <c r="B720" s="27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customFormat="false" ht="14.25" hidden="false" customHeight="true" outlineLevel="0" collapsed="false">
      <c r="A721" s="27"/>
      <c r="B721" s="27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customFormat="false" ht="14.25" hidden="false" customHeight="true" outlineLevel="0" collapsed="false">
      <c r="A722" s="27"/>
      <c r="B722" s="27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customFormat="false" ht="14.25" hidden="false" customHeight="true" outlineLevel="0" collapsed="false">
      <c r="A723" s="27"/>
      <c r="B723" s="27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customFormat="false" ht="14.25" hidden="false" customHeight="true" outlineLevel="0" collapsed="false">
      <c r="A724" s="27"/>
      <c r="B724" s="27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customFormat="false" ht="14.25" hidden="false" customHeight="true" outlineLevel="0" collapsed="false">
      <c r="A725" s="27"/>
      <c r="B725" s="27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customFormat="false" ht="14.25" hidden="false" customHeight="true" outlineLevel="0" collapsed="false">
      <c r="A726" s="27"/>
      <c r="B726" s="27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customFormat="false" ht="14.25" hidden="false" customHeight="true" outlineLevel="0" collapsed="false">
      <c r="A727" s="27"/>
      <c r="B727" s="27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customFormat="false" ht="14.25" hidden="false" customHeight="true" outlineLevel="0" collapsed="false">
      <c r="A728" s="27"/>
      <c r="B728" s="27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customFormat="false" ht="14.25" hidden="false" customHeight="true" outlineLevel="0" collapsed="false">
      <c r="A729" s="27"/>
      <c r="B729" s="27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customFormat="false" ht="14.25" hidden="false" customHeight="true" outlineLevel="0" collapsed="false">
      <c r="A730" s="27"/>
      <c r="B730" s="27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customFormat="false" ht="14.25" hidden="false" customHeight="true" outlineLevel="0" collapsed="false">
      <c r="A731" s="27"/>
      <c r="B731" s="27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customFormat="false" ht="14.25" hidden="false" customHeight="true" outlineLevel="0" collapsed="false">
      <c r="A732" s="27"/>
      <c r="B732" s="27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customFormat="false" ht="14.25" hidden="false" customHeight="true" outlineLevel="0" collapsed="false">
      <c r="A733" s="27"/>
      <c r="B733" s="27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customFormat="false" ht="14.25" hidden="false" customHeight="true" outlineLevel="0" collapsed="false">
      <c r="A734" s="27"/>
      <c r="B734" s="27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customFormat="false" ht="14.25" hidden="false" customHeight="true" outlineLevel="0" collapsed="false">
      <c r="A735" s="27"/>
      <c r="B735" s="27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customFormat="false" ht="14.25" hidden="false" customHeight="true" outlineLevel="0" collapsed="false">
      <c r="A736" s="27"/>
      <c r="B736" s="27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customFormat="false" ht="14.25" hidden="false" customHeight="true" outlineLevel="0" collapsed="false">
      <c r="A737" s="27"/>
      <c r="B737" s="27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customFormat="false" ht="14.25" hidden="false" customHeight="true" outlineLevel="0" collapsed="false">
      <c r="A738" s="27"/>
      <c r="B738" s="27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customFormat="false" ht="14.25" hidden="false" customHeight="true" outlineLevel="0" collapsed="false">
      <c r="A739" s="27"/>
      <c r="B739" s="27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customFormat="false" ht="14.25" hidden="false" customHeight="true" outlineLevel="0" collapsed="false">
      <c r="A740" s="27"/>
      <c r="B740" s="27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customFormat="false" ht="14.25" hidden="false" customHeight="true" outlineLevel="0" collapsed="false">
      <c r="A741" s="27"/>
      <c r="B741" s="27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customFormat="false" ht="14.25" hidden="false" customHeight="true" outlineLevel="0" collapsed="false">
      <c r="A742" s="27"/>
      <c r="B742" s="27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customFormat="false" ht="14.25" hidden="false" customHeight="true" outlineLevel="0" collapsed="false">
      <c r="A743" s="27"/>
      <c r="B743" s="27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customFormat="false" ht="14.25" hidden="false" customHeight="true" outlineLevel="0" collapsed="false">
      <c r="A744" s="27"/>
      <c r="B744" s="27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customFormat="false" ht="14.25" hidden="false" customHeight="true" outlineLevel="0" collapsed="false">
      <c r="A745" s="27"/>
      <c r="B745" s="27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customFormat="false" ht="14.25" hidden="false" customHeight="true" outlineLevel="0" collapsed="false">
      <c r="A746" s="27"/>
      <c r="B746" s="27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customFormat="false" ht="14.25" hidden="false" customHeight="true" outlineLevel="0" collapsed="false">
      <c r="A747" s="27"/>
      <c r="B747" s="27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customFormat="false" ht="14.25" hidden="false" customHeight="true" outlineLevel="0" collapsed="false">
      <c r="A748" s="27"/>
      <c r="B748" s="27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customFormat="false" ht="14.25" hidden="false" customHeight="true" outlineLevel="0" collapsed="false">
      <c r="A749" s="27"/>
      <c r="B749" s="27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customFormat="false" ht="14.25" hidden="false" customHeight="true" outlineLevel="0" collapsed="false">
      <c r="A750" s="27"/>
      <c r="B750" s="27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customFormat="false" ht="14.25" hidden="false" customHeight="true" outlineLevel="0" collapsed="false">
      <c r="A751" s="27"/>
      <c r="B751" s="27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customFormat="false" ht="14.25" hidden="false" customHeight="true" outlineLevel="0" collapsed="false">
      <c r="A752" s="27"/>
      <c r="B752" s="27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customFormat="false" ht="14.25" hidden="false" customHeight="true" outlineLevel="0" collapsed="false">
      <c r="A753" s="27"/>
      <c r="B753" s="27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customFormat="false" ht="14.25" hidden="false" customHeight="true" outlineLevel="0" collapsed="false">
      <c r="A754" s="27"/>
      <c r="B754" s="27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customFormat="false" ht="14.25" hidden="false" customHeight="true" outlineLevel="0" collapsed="false">
      <c r="A755" s="27"/>
      <c r="B755" s="27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customFormat="false" ht="14.25" hidden="false" customHeight="true" outlineLevel="0" collapsed="false">
      <c r="A756" s="27"/>
      <c r="B756" s="27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customFormat="false" ht="14.25" hidden="false" customHeight="true" outlineLevel="0" collapsed="false">
      <c r="A757" s="27"/>
      <c r="B757" s="27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customFormat="false" ht="14.25" hidden="false" customHeight="true" outlineLevel="0" collapsed="false">
      <c r="A758" s="27"/>
      <c r="B758" s="27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customFormat="false" ht="14.25" hidden="false" customHeight="true" outlineLevel="0" collapsed="false">
      <c r="A759" s="27"/>
      <c r="B759" s="27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customFormat="false" ht="14.25" hidden="false" customHeight="true" outlineLevel="0" collapsed="false">
      <c r="A760" s="27"/>
      <c r="B760" s="27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customFormat="false" ht="14.25" hidden="false" customHeight="true" outlineLevel="0" collapsed="false">
      <c r="A761" s="27"/>
      <c r="B761" s="27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customFormat="false" ht="14.25" hidden="false" customHeight="true" outlineLevel="0" collapsed="false">
      <c r="A762" s="27"/>
      <c r="B762" s="27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customFormat="false" ht="14.25" hidden="false" customHeight="true" outlineLevel="0" collapsed="false">
      <c r="A763" s="27"/>
      <c r="B763" s="27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customFormat="false" ht="14.25" hidden="false" customHeight="true" outlineLevel="0" collapsed="false">
      <c r="A764" s="27"/>
      <c r="B764" s="27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customFormat="false" ht="14.25" hidden="false" customHeight="true" outlineLevel="0" collapsed="false">
      <c r="A765" s="27"/>
      <c r="B765" s="27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customFormat="false" ht="14.25" hidden="false" customHeight="true" outlineLevel="0" collapsed="false">
      <c r="A766" s="27"/>
      <c r="B766" s="27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customFormat="false" ht="14.25" hidden="false" customHeight="true" outlineLevel="0" collapsed="false">
      <c r="A767" s="27"/>
      <c r="B767" s="27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customFormat="false" ht="14.25" hidden="false" customHeight="true" outlineLevel="0" collapsed="false">
      <c r="A768" s="27"/>
      <c r="B768" s="27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customFormat="false" ht="14.25" hidden="false" customHeight="true" outlineLevel="0" collapsed="false">
      <c r="A769" s="27"/>
      <c r="B769" s="27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customFormat="false" ht="14.25" hidden="false" customHeight="true" outlineLevel="0" collapsed="false">
      <c r="A770" s="27"/>
      <c r="B770" s="27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customFormat="false" ht="14.25" hidden="false" customHeight="true" outlineLevel="0" collapsed="false">
      <c r="A771" s="27"/>
      <c r="B771" s="27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customFormat="false" ht="14.25" hidden="false" customHeight="true" outlineLevel="0" collapsed="false">
      <c r="A772" s="27"/>
      <c r="B772" s="27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customFormat="false" ht="14.25" hidden="false" customHeight="true" outlineLevel="0" collapsed="false">
      <c r="A773" s="27"/>
      <c r="B773" s="27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customFormat="false" ht="14.25" hidden="false" customHeight="true" outlineLevel="0" collapsed="false">
      <c r="A774" s="27"/>
      <c r="B774" s="27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customFormat="false" ht="14.25" hidden="false" customHeight="true" outlineLevel="0" collapsed="false">
      <c r="A775" s="27"/>
      <c r="B775" s="27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customFormat="false" ht="14.25" hidden="false" customHeight="true" outlineLevel="0" collapsed="false">
      <c r="A776" s="27"/>
      <c r="B776" s="27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customFormat="false" ht="14.25" hidden="false" customHeight="true" outlineLevel="0" collapsed="false">
      <c r="A777" s="27"/>
      <c r="B777" s="27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customFormat="false" ht="14.25" hidden="false" customHeight="true" outlineLevel="0" collapsed="false">
      <c r="A778" s="27"/>
      <c r="B778" s="27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customFormat="false" ht="14.25" hidden="false" customHeight="true" outlineLevel="0" collapsed="false">
      <c r="A779" s="27"/>
      <c r="B779" s="27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customFormat="false" ht="14.25" hidden="false" customHeight="true" outlineLevel="0" collapsed="false">
      <c r="A780" s="27"/>
      <c r="B780" s="27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customFormat="false" ht="14.25" hidden="false" customHeight="true" outlineLevel="0" collapsed="false">
      <c r="A781" s="27"/>
      <c r="B781" s="27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customFormat="false" ht="14.25" hidden="false" customHeight="true" outlineLevel="0" collapsed="false">
      <c r="A782" s="27"/>
      <c r="B782" s="27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customFormat="false" ht="14.25" hidden="false" customHeight="true" outlineLevel="0" collapsed="false">
      <c r="A783" s="27"/>
      <c r="B783" s="27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customFormat="false" ht="14.25" hidden="false" customHeight="true" outlineLevel="0" collapsed="false">
      <c r="A784" s="27"/>
      <c r="B784" s="27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customFormat="false" ht="14.25" hidden="false" customHeight="true" outlineLevel="0" collapsed="false">
      <c r="A785" s="27"/>
      <c r="B785" s="27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customFormat="false" ht="14.25" hidden="false" customHeight="true" outlineLevel="0" collapsed="false">
      <c r="A786" s="27"/>
      <c r="B786" s="27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customFormat="false" ht="14.25" hidden="false" customHeight="true" outlineLevel="0" collapsed="false">
      <c r="A787" s="27"/>
      <c r="B787" s="27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customFormat="false" ht="14.25" hidden="false" customHeight="true" outlineLevel="0" collapsed="false">
      <c r="A788" s="27"/>
      <c r="B788" s="27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customFormat="false" ht="14.25" hidden="false" customHeight="true" outlineLevel="0" collapsed="false">
      <c r="A789" s="27"/>
      <c r="B789" s="27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customFormat="false" ht="14.25" hidden="false" customHeight="true" outlineLevel="0" collapsed="false">
      <c r="A790" s="27"/>
      <c r="B790" s="27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customFormat="false" ht="14.25" hidden="false" customHeight="true" outlineLevel="0" collapsed="false">
      <c r="A791" s="27"/>
      <c r="B791" s="27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customFormat="false" ht="14.25" hidden="false" customHeight="true" outlineLevel="0" collapsed="false">
      <c r="A792" s="27"/>
      <c r="B792" s="27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customFormat="false" ht="14.25" hidden="false" customHeight="true" outlineLevel="0" collapsed="false">
      <c r="A793" s="27"/>
      <c r="B793" s="27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customFormat="false" ht="14.25" hidden="false" customHeight="true" outlineLevel="0" collapsed="false">
      <c r="A794" s="27"/>
      <c r="B794" s="27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customFormat="false" ht="14.25" hidden="false" customHeight="true" outlineLevel="0" collapsed="false">
      <c r="A795" s="27"/>
      <c r="B795" s="27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customFormat="false" ht="14.25" hidden="false" customHeight="true" outlineLevel="0" collapsed="false">
      <c r="A796" s="27"/>
      <c r="B796" s="27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customFormat="false" ht="14.25" hidden="false" customHeight="true" outlineLevel="0" collapsed="false">
      <c r="A797" s="27"/>
      <c r="B797" s="27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customFormat="false" ht="14.25" hidden="false" customHeight="true" outlineLevel="0" collapsed="false">
      <c r="A798" s="27"/>
      <c r="B798" s="27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customFormat="false" ht="14.25" hidden="false" customHeight="true" outlineLevel="0" collapsed="false">
      <c r="A799" s="27"/>
      <c r="B799" s="27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customFormat="false" ht="14.25" hidden="false" customHeight="true" outlineLevel="0" collapsed="false">
      <c r="A800" s="27"/>
      <c r="B800" s="27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customFormat="false" ht="14.25" hidden="false" customHeight="true" outlineLevel="0" collapsed="false">
      <c r="A801" s="27"/>
      <c r="B801" s="27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customFormat="false" ht="14.25" hidden="false" customHeight="true" outlineLevel="0" collapsed="false">
      <c r="A802" s="27"/>
      <c r="B802" s="27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customFormat="false" ht="14.25" hidden="false" customHeight="true" outlineLevel="0" collapsed="false">
      <c r="A803" s="27"/>
      <c r="B803" s="27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customFormat="false" ht="14.25" hidden="false" customHeight="true" outlineLevel="0" collapsed="false">
      <c r="A804" s="27"/>
      <c r="B804" s="27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customFormat="false" ht="14.25" hidden="false" customHeight="true" outlineLevel="0" collapsed="false">
      <c r="A805" s="27"/>
      <c r="B805" s="27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customFormat="false" ht="14.25" hidden="false" customHeight="true" outlineLevel="0" collapsed="false">
      <c r="A806" s="27"/>
      <c r="B806" s="27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customFormat="false" ht="14.25" hidden="false" customHeight="true" outlineLevel="0" collapsed="false">
      <c r="A807" s="27"/>
      <c r="B807" s="27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customFormat="false" ht="14.25" hidden="false" customHeight="true" outlineLevel="0" collapsed="false">
      <c r="A808" s="27"/>
      <c r="B808" s="27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customFormat="false" ht="14.25" hidden="false" customHeight="true" outlineLevel="0" collapsed="false">
      <c r="A809" s="27"/>
      <c r="B809" s="27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customFormat="false" ht="14.25" hidden="false" customHeight="true" outlineLevel="0" collapsed="false">
      <c r="A810" s="27"/>
      <c r="B810" s="27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customFormat="false" ht="14.25" hidden="false" customHeight="true" outlineLevel="0" collapsed="false">
      <c r="A811" s="27"/>
      <c r="B811" s="27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customFormat="false" ht="14.25" hidden="false" customHeight="true" outlineLevel="0" collapsed="false">
      <c r="A812" s="27"/>
      <c r="B812" s="27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customFormat="false" ht="14.25" hidden="false" customHeight="true" outlineLevel="0" collapsed="false">
      <c r="A813" s="27"/>
      <c r="B813" s="27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customFormat="false" ht="14.25" hidden="false" customHeight="true" outlineLevel="0" collapsed="false">
      <c r="A814" s="27"/>
      <c r="B814" s="27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customFormat="false" ht="14.25" hidden="false" customHeight="true" outlineLevel="0" collapsed="false">
      <c r="A815" s="27"/>
      <c r="B815" s="27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customFormat="false" ht="14.25" hidden="false" customHeight="true" outlineLevel="0" collapsed="false">
      <c r="A816" s="27"/>
      <c r="B816" s="27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customFormat="false" ht="14.25" hidden="false" customHeight="true" outlineLevel="0" collapsed="false">
      <c r="A817" s="27"/>
      <c r="B817" s="27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customFormat="false" ht="14.25" hidden="false" customHeight="true" outlineLevel="0" collapsed="false">
      <c r="A818" s="27"/>
      <c r="B818" s="27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customFormat="false" ht="14.25" hidden="false" customHeight="true" outlineLevel="0" collapsed="false">
      <c r="A819" s="27"/>
      <c r="B819" s="27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customFormat="false" ht="14.25" hidden="false" customHeight="true" outlineLevel="0" collapsed="false">
      <c r="A820" s="27"/>
      <c r="B820" s="27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customFormat="false" ht="14.25" hidden="false" customHeight="true" outlineLevel="0" collapsed="false">
      <c r="A821" s="27"/>
      <c r="B821" s="27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customFormat="false" ht="14.25" hidden="false" customHeight="true" outlineLevel="0" collapsed="false">
      <c r="A822" s="27"/>
      <c r="B822" s="27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customFormat="false" ht="14.25" hidden="false" customHeight="true" outlineLevel="0" collapsed="false">
      <c r="A823" s="27"/>
      <c r="B823" s="27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customFormat="false" ht="14.25" hidden="false" customHeight="true" outlineLevel="0" collapsed="false">
      <c r="A824" s="27"/>
      <c r="B824" s="27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customFormat="false" ht="14.25" hidden="false" customHeight="true" outlineLevel="0" collapsed="false">
      <c r="A825" s="27"/>
      <c r="B825" s="27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customFormat="false" ht="14.25" hidden="false" customHeight="true" outlineLevel="0" collapsed="false">
      <c r="A826" s="27"/>
      <c r="B826" s="27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customFormat="false" ht="14.25" hidden="false" customHeight="true" outlineLevel="0" collapsed="false">
      <c r="A827" s="27"/>
      <c r="B827" s="27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customFormat="false" ht="14.25" hidden="false" customHeight="true" outlineLevel="0" collapsed="false">
      <c r="A828" s="27"/>
      <c r="B828" s="27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customFormat="false" ht="14.25" hidden="false" customHeight="true" outlineLevel="0" collapsed="false">
      <c r="A829" s="27"/>
      <c r="B829" s="27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customFormat="false" ht="14.25" hidden="false" customHeight="true" outlineLevel="0" collapsed="false">
      <c r="A830" s="27"/>
      <c r="B830" s="27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customFormat="false" ht="14.25" hidden="false" customHeight="true" outlineLevel="0" collapsed="false">
      <c r="A831" s="27"/>
      <c r="B831" s="27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customFormat="false" ht="14.25" hidden="false" customHeight="true" outlineLevel="0" collapsed="false">
      <c r="A832" s="27"/>
      <c r="B832" s="27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customFormat="false" ht="14.25" hidden="false" customHeight="true" outlineLevel="0" collapsed="false">
      <c r="A833" s="27"/>
      <c r="B833" s="27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customFormat="false" ht="14.25" hidden="false" customHeight="true" outlineLevel="0" collapsed="false">
      <c r="A834" s="27"/>
      <c r="B834" s="27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customFormat="false" ht="14.25" hidden="false" customHeight="true" outlineLevel="0" collapsed="false">
      <c r="A835" s="27"/>
      <c r="B835" s="27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customFormat="false" ht="14.25" hidden="false" customHeight="true" outlineLevel="0" collapsed="false">
      <c r="A836" s="27"/>
      <c r="B836" s="27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customFormat="false" ht="14.25" hidden="false" customHeight="true" outlineLevel="0" collapsed="false">
      <c r="A837" s="27"/>
      <c r="B837" s="27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customFormat="false" ht="14.25" hidden="false" customHeight="true" outlineLevel="0" collapsed="false">
      <c r="A838" s="27"/>
      <c r="B838" s="27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customFormat="false" ht="14.25" hidden="false" customHeight="true" outlineLevel="0" collapsed="false">
      <c r="A839" s="27"/>
      <c r="B839" s="27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customFormat="false" ht="14.25" hidden="false" customHeight="true" outlineLevel="0" collapsed="false">
      <c r="A840" s="27"/>
      <c r="B840" s="27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customFormat="false" ht="14.25" hidden="false" customHeight="true" outlineLevel="0" collapsed="false">
      <c r="A841" s="27"/>
      <c r="B841" s="27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customFormat="false" ht="14.25" hidden="false" customHeight="true" outlineLevel="0" collapsed="false">
      <c r="A842" s="27"/>
      <c r="B842" s="27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customFormat="false" ht="14.25" hidden="false" customHeight="true" outlineLevel="0" collapsed="false">
      <c r="A843" s="27"/>
      <c r="B843" s="27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customFormat="false" ht="14.25" hidden="false" customHeight="true" outlineLevel="0" collapsed="false">
      <c r="A844" s="27"/>
      <c r="B844" s="27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customFormat="false" ht="14.25" hidden="false" customHeight="true" outlineLevel="0" collapsed="false">
      <c r="A845" s="27"/>
      <c r="B845" s="27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customFormat="false" ht="14.25" hidden="false" customHeight="true" outlineLevel="0" collapsed="false">
      <c r="A846" s="27"/>
      <c r="B846" s="27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customFormat="false" ht="14.25" hidden="false" customHeight="true" outlineLevel="0" collapsed="false">
      <c r="A847" s="27"/>
      <c r="B847" s="27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customFormat="false" ht="14.25" hidden="false" customHeight="true" outlineLevel="0" collapsed="false">
      <c r="A848" s="27"/>
      <c r="B848" s="27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customFormat="false" ht="14.25" hidden="false" customHeight="true" outlineLevel="0" collapsed="false">
      <c r="A849" s="27"/>
      <c r="B849" s="27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customFormat="false" ht="14.25" hidden="false" customHeight="true" outlineLevel="0" collapsed="false">
      <c r="A850" s="27"/>
      <c r="B850" s="27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customFormat="false" ht="14.25" hidden="false" customHeight="true" outlineLevel="0" collapsed="false">
      <c r="A851" s="27"/>
      <c r="B851" s="27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customFormat="false" ht="14.25" hidden="false" customHeight="true" outlineLevel="0" collapsed="false">
      <c r="A852" s="27"/>
      <c r="B852" s="27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customFormat="false" ht="14.25" hidden="false" customHeight="true" outlineLevel="0" collapsed="false">
      <c r="A853" s="27"/>
      <c r="B853" s="27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customFormat="false" ht="14.25" hidden="false" customHeight="true" outlineLevel="0" collapsed="false">
      <c r="A854" s="27"/>
      <c r="B854" s="27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customFormat="false" ht="14.25" hidden="false" customHeight="true" outlineLevel="0" collapsed="false">
      <c r="A855" s="27"/>
      <c r="B855" s="27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customFormat="false" ht="14.25" hidden="false" customHeight="true" outlineLevel="0" collapsed="false">
      <c r="A856" s="27"/>
      <c r="B856" s="27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customFormat="false" ht="14.25" hidden="false" customHeight="true" outlineLevel="0" collapsed="false">
      <c r="A857" s="27"/>
      <c r="B857" s="27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customFormat="false" ht="14.25" hidden="false" customHeight="true" outlineLevel="0" collapsed="false">
      <c r="A858" s="27"/>
      <c r="B858" s="27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customFormat="false" ht="14.25" hidden="false" customHeight="true" outlineLevel="0" collapsed="false">
      <c r="A859" s="27"/>
      <c r="B859" s="27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customFormat="false" ht="14.25" hidden="false" customHeight="true" outlineLevel="0" collapsed="false">
      <c r="A860" s="27"/>
      <c r="B860" s="27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customFormat="false" ht="14.25" hidden="false" customHeight="true" outlineLevel="0" collapsed="false">
      <c r="A861" s="27"/>
      <c r="B861" s="27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customFormat="false" ht="14.25" hidden="false" customHeight="true" outlineLevel="0" collapsed="false">
      <c r="A862" s="27"/>
      <c r="B862" s="27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customFormat="false" ht="14.25" hidden="false" customHeight="true" outlineLevel="0" collapsed="false">
      <c r="A863" s="27"/>
      <c r="B863" s="27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customFormat="false" ht="14.25" hidden="false" customHeight="true" outlineLevel="0" collapsed="false">
      <c r="A864" s="27"/>
      <c r="B864" s="27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customFormat="false" ht="14.25" hidden="false" customHeight="true" outlineLevel="0" collapsed="false">
      <c r="A865" s="27"/>
      <c r="B865" s="27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customFormat="false" ht="14.25" hidden="false" customHeight="true" outlineLevel="0" collapsed="false">
      <c r="A866" s="27"/>
      <c r="B866" s="27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customFormat="false" ht="14.25" hidden="false" customHeight="true" outlineLevel="0" collapsed="false">
      <c r="A867" s="27"/>
      <c r="B867" s="27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customFormat="false" ht="14.25" hidden="false" customHeight="true" outlineLevel="0" collapsed="false">
      <c r="A868" s="27"/>
      <c r="B868" s="27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customFormat="false" ht="14.25" hidden="false" customHeight="true" outlineLevel="0" collapsed="false">
      <c r="A869" s="27"/>
      <c r="B869" s="27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customFormat="false" ht="14.25" hidden="false" customHeight="true" outlineLevel="0" collapsed="false">
      <c r="A870" s="27"/>
      <c r="B870" s="27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customFormat="false" ht="14.25" hidden="false" customHeight="true" outlineLevel="0" collapsed="false">
      <c r="A871" s="27"/>
      <c r="B871" s="27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customFormat="false" ht="14.25" hidden="false" customHeight="true" outlineLevel="0" collapsed="false">
      <c r="A872" s="27"/>
      <c r="B872" s="27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customFormat="false" ht="14.25" hidden="false" customHeight="true" outlineLevel="0" collapsed="false">
      <c r="A873" s="27"/>
      <c r="B873" s="27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customFormat="false" ht="14.25" hidden="false" customHeight="true" outlineLevel="0" collapsed="false">
      <c r="A874" s="27"/>
      <c r="B874" s="27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customFormat="false" ht="14.25" hidden="false" customHeight="true" outlineLevel="0" collapsed="false">
      <c r="A875" s="27"/>
      <c r="B875" s="27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customFormat="false" ht="14.25" hidden="false" customHeight="true" outlineLevel="0" collapsed="false">
      <c r="A876" s="27"/>
      <c r="B876" s="27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customFormat="false" ht="14.25" hidden="false" customHeight="true" outlineLevel="0" collapsed="false">
      <c r="A877" s="27"/>
      <c r="B877" s="27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customFormat="false" ht="14.25" hidden="false" customHeight="true" outlineLevel="0" collapsed="false">
      <c r="A878" s="27"/>
      <c r="B878" s="27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customFormat="false" ht="14.25" hidden="false" customHeight="true" outlineLevel="0" collapsed="false">
      <c r="A879" s="27"/>
      <c r="B879" s="27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customFormat="false" ht="14.25" hidden="false" customHeight="true" outlineLevel="0" collapsed="false">
      <c r="A880" s="27"/>
      <c r="B880" s="27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customFormat="false" ht="14.25" hidden="false" customHeight="true" outlineLevel="0" collapsed="false">
      <c r="A881" s="27"/>
      <c r="B881" s="27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customFormat="false" ht="14.25" hidden="false" customHeight="true" outlineLevel="0" collapsed="false">
      <c r="A882" s="27"/>
      <c r="B882" s="27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customFormat="false" ht="14.25" hidden="false" customHeight="true" outlineLevel="0" collapsed="false">
      <c r="A883" s="27"/>
      <c r="B883" s="27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customFormat="false" ht="14.25" hidden="false" customHeight="true" outlineLevel="0" collapsed="false">
      <c r="A884" s="27"/>
      <c r="B884" s="27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customFormat="false" ht="14.25" hidden="false" customHeight="true" outlineLevel="0" collapsed="false">
      <c r="A885" s="27"/>
      <c r="B885" s="27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customFormat="false" ht="14.25" hidden="false" customHeight="true" outlineLevel="0" collapsed="false">
      <c r="A886" s="27"/>
      <c r="B886" s="27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customFormat="false" ht="14.25" hidden="false" customHeight="true" outlineLevel="0" collapsed="false">
      <c r="A887" s="27"/>
      <c r="B887" s="27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customFormat="false" ht="14.25" hidden="false" customHeight="true" outlineLevel="0" collapsed="false">
      <c r="A888" s="27"/>
      <c r="B888" s="27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customFormat="false" ht="14.25" hidden="false" customHeight="true" outlineLevel="0" collapsed="false">
      <c r="A889" s="27"/>
      <c r="B889" s="27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customFormat="false" ht="14.25" hidden="false" customHeight="true" outlineLevel="0" collapsed="false">
      <c r="A890" s="27"/>
      <c r="B890" s="27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customFormat="false" ht="14.25" hidden="false" customHeight="true" outlineLevel="0" collapsed="false">
      <c r="A891" s="27"/>
      <c r="B891" s="27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customFormat="false" ht="14.25" hidden="false" customHeight="true" outlineLevel="0" collapsed="false">
      <c r="A892" s="27"/>
      <c r="B892" s="27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customFormat="false" ht="14.25" hidden="false" customHeight="true" outlineLevel="0" collapsed="false">
      <c r="A893" s="27"/>
      <c r="B893" s="27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customFormat="false" ht="14.25" hidden="false" customHeight="true" outlineLevel="0" collapsed="false">
      <c r="A894" s="27"/>
      <c r="B894" s="27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customFormat="false" ht="14.25" hidden="false" customHeight="true" outlineLevel="0" collapsed="false">
      <c r="A895" s="27"/>
      <c r="B895" s="27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customFormat="false" ht="14.25" hidden="false" customHeight="true" outlineLevel="0" collapsed="false">
      <c r="A896" s="27"/>
      <c r="B896" s="27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customFormat="false" ht="14.25" hidden="false" customHeight="true" outlineLevel="0" collapsed="false">
      <c r="A897" s="27"/>
      <c r="B897" s="27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customFormat="false" ht="14.25" hidden="false" customHeight="true" outlineLevel="0" collapsed="false">
      <c r="A898" s="27"/>
      <c r="B898" s="27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customFormat="false" ht="14.25" hidden="false" customHeight="true" outlineLevel="0" collapsed="false">
      <c r="A899" s="27"/>
      <c r="B899" s="27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customFormat="false" ht="14.25" hidden="false" customHeight="true" outlineLevel="0" collapsed="false">
      <c r="A900" s="27"/>
      <c r="B900" s="27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customFormat="false" ht="14.25" hidden="false" customHeight="true" outlineLevel="0" collapsed="false">
      <c r="A901" s="27"/>
      <c r="B901" s="27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customFormat="false" ht="14.25" hidden="false" customHeight="true" outlineLevel="0" collapsed="false">
      <c r="A902" s="27"/>
      <c r="B902" s="27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customFormat="false" ht="14.25" hidden="false" customHeight="true" outlineLevel="0" collapsed="false">
      <c r="A903" s="27"/>
      <c r="B903" s="27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customFormat="false" ht="14.25" hidden="false" customHeight="true" outlineLevel="0" collapsed="false">
      <c r="A904" s="27"/>
      <c r="B904" s="27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customFormat="false" ht="14.25" hidden="false" customHeight="true" outlineLevel="0" collapsed="false">
      <c r="A905" s="27"/>
      <c r="B905" s="27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customFormat="false" ht="14.25" hidden="false" customHeight="true" outlineLevel="0" collapsed="false">
      <c r="A906" s="27"/>
      <c r="B906" s="27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customFormat="false" ht="14.25" hidden="false" customHeight="true" outlineLevel="0" collapsed="false">
      <c r="A907" s="27"/>
      <c r="B907" s="27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customFormat="false" ht="14.25" hidden="false" customHeight="true" outlineLevel="0" collapsed="false">
      <c r="A908" s="27"/>
      <c r="B908" s="27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customFormat="false" ht="14.25" hidden="false" customHeight="true" outlineLevel="0" collapsed="false">
      <c r="A909" s="27"/>
      <c r="B909" s="27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customFormat="false" ht="14.25" hidden="false" customHeight="true" outlineLevel="0" collapsed="false">
      <c r="A910" s="27"/>
      <c r="B910" s="27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customFormat="false" ht="14.25" hidden="false" customHeight="true" outlineLevel="0" collapsed="false">
      <c r="A911" s="27"/>
      <c r="B911" s="27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customFormat="false" ht="14.25" hidden="false" customHeight="true" outlineLevel="0" collapsed="false">
      <c r="A912" s="27"/>
      <c r="B912" s="27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customFormat="false" ht="14.25" hidden="false" customHeight="true" outlineLevel="0" collapsed="false">
      <c r="A913" s="27"/>
      <c r="B913" s="27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customFormat="false" ht="14.25" hidden="false" customHeight="true" outlineLevel="0" collapsed="false">
      <c r="A914" s="27"/>
      <c r="B914" s="27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customFormat="false" ht="14.25" hidden="false" customHeight="true" outlineLevel="0" collapsed="false">
      <c r="A915" s="27"/>
      <c r="B915" s="27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customFormat="false" ht="14.25" hidden="false" customHeight="true" outlineLevel="0" collapsed="false">
      <c r="A916" s="27"/>
      <c r="B916" s="27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customFormat="false" ht="14.25" hidden="false" customHeight="true" outlineLevel="0" collapsed="false">
      <c r="A917" s="27"/>
      <c r="B917" s="27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customFormat="false" ht="14.25" hidden="false" customHeight="true" outlineLevel="0" collapsed="false">
      <c r="A918" s="27"/>
      <c r="B918" s="27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customFormat="false" ht="14.25" hidden="false" customHeight="true" outlineLevel="0" collapsed="false">
      <c r="A919" s="27"/>
      <c r="B919" s="27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customFormat="false" ht="14.25" hidden="false" customHeight="true" outlineLevel="0" collapsed="false">
      <c r="A920" s="27"/>
      <c r="B920" s="27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customFormat="false" ht="14.25" hidden="false" customHeight="true" outlineLevel="0" collapsed="false">
      <c r="A921" s="27"/>
      <c r="B921" s="27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customFormat="false" ht="14.25" hidden="false" customHeight="true" outlineLevel="0" collapsed="false">
      <c r="A922" s="27"/>
      <c r="B922" s="27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customFormat="false" ht="14.25" hidden="false" customHeight="true" outlineLevel="0" collapsed="false">
      <c r="A923" s="27"/>
      <c r="B923" s="27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customFormat="false" ht="14.25" hidden="false" customHeight="true" outlineLevel="0" collapsed="false">
      <c r="A924" s="27"/>
      <c r="B924" s="27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customFormat="false" ht="14.25" hidden="false" customHeight="true" outlineLevel="0" collapsed="false">
      <c r="A925" s="27"/>
      <c r="B925" s="27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customFormat="false" ht="14.25" hidden="false" customHeight="true" outlineLevel="0" collapsed="false">
      <c r="A926" s="27"/>
      <c r="B926" s="27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customFormat="false" ht="14.25" hidden="false" customHeight="true" outlineLevel="0" collapsed="false">
      <c r="A927" s="27"/>
      <c r="B927" s="27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customFormat="false" ht="14.25" hidden="false" customHeight="true" outlineLevel="0" collapsed="false">
      <c r="A928" s="27"/>
      <c r="B928" s="27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customFormat="false" ht="14.25" hidden="false" customHeight="true" outlineLevel="0" collapsed="false">
      <c r="A929" s="27"/>
      <c r="B929" s="27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customFormat="false" ht="14.25" hidden="false" customHeight="true" outlineLevel="0" collapsed="false">
      <c r="A930" s="27"/>
      <c r="B930" s="27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customFormat="false" ht="14.25" hidden="false" customHeight="true" outlineLevel="0" collapsed="false">
      <c r="A931" s="27"/>
      <c r="B931" s="27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customFormat="false" ht="14.25" hidden="false" customHeight="true" outlineLevel="0" collapsed="false">
      <c r="A932" s="27"/>
      <c r="B932" s="27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customFormat="false" ht="14.25" hidden="false" customHeight="true" outlineLevel="0" collapsed="false">
      <c r="A933" s="27"/>
      <c r="B933" s="27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customFormat="false" ht="14.25" hidden="false" customHeight="true" outlineLevel="0" collapsed="false">
      <c r="A934" s="27"/>
      <c r="B934" s="27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customFormat="false" ht="14.25" hidden="false" customHeight="true" outlineLevel="0" collapsed="false">
      <c r="A935" s="27"/>
      <c r="B935" s="27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customFormat="false" ht="14.25" hidden="false" customHeight="true" outlineLevel="0" collapsed="false">
      <c r="A936" s="27"/>
      <c r="B936" s="27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customFormat="false" ht="14.25" hidden="false" customHeight="true" outlineLevel="0" collapsed="false">
      <c r="A937" s="27"/>
      <c r="B937" s="27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customFormat="false" ht="14.25" hidden="false" customHeight="true" outlineLevel="0" collapsed="false">
      <c r="A938" s="27"/>
      <c r="B938" s="27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customFormat="false" ht="14.25" hidden="false" customHeight="true" outlineLevel="0" collapsed="false">
      <c r="A939" s="27"/>
      <c r="B939" s="27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customFormat="false" ht="14.25" hidden="false" customHeight="true" outlineLevel="0" collapsed="false">
      <c r="A940" s="27"/>
      <c r="B940" s="27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customFormat="false" ht="14.25" hidden="false" customHeight="true" outlineLevel="0" collapsed="false">
      <c r="A941" s="27"/>
      <c r="B941" s="27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customFormat="false" ht="14.25" hidden="false" customHeight="true" outlineLevel="0" collapsed="false">
      <c r="A942" s="27"/>
      <c r="B942" s="27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customFormat="false" ht="14.25" hidden="false" customHeight="true" outlineLevel="0" collapsed="false">
      <c r="A943" s="27"/>
      <c r="B943" s="27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customFormat="false" ht="14.25" hidden="false" customHeight="true" outlineLevel="0" collapsed="false">
      <c r="A944" s="27"/>
      <c r="B944" s="27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customFormat="false" ht="14.25" hidden="false" customHeight="true" outlineLevel="0" collapsed="false">
      <c r="A945" s="27"/>
      <c r="B945" s="27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customFormat="false" ht="14.25" hidden="false" customHeight="true" outlineLevel="0" collapsed="false">
      <c r="A946" s="27"/>
      <c r="B946" s="27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customFormat="false" ht="14.25" hidden="false" customHeight="true" outlineLevel="0" collapsed="false">
      <c r="A947" s="27"/>
      <c r="B947" s="27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customFormat="false" ht="14.25" hidden="false" customHeight="true" outlineLevel="0" collapsed="false">
      <c r="A948" s="27"/>
      <c r="B948" s="27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customFormat="false" ht="14.25" hidden="false" customHeight="true" outlineLevel="0" collapsed="false">
      <c r="A949" s="27"/>
      <c r="B949" s="27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customFormat="false" ht="14.25" hidden="false" customHeight="true" outlineLevel="0" collapsed="false">
      <c r="A950" s="27"/>
      <c r="B950" s="27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customFormat="false" ht="14.25" hidden="false" customHeight="true" outlineLevel="0" collapsed="false">
      <c r="A951" s="27"/>
      <c r="B951" s="27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customFormat="false" ht="14.25" hidden="false" customHeight="true" outlineLevel="0" collapsed="false">
      <c r="A952" s="27"/>
      <c r="B952" s="27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customFormat="false" ht="14.25" hidden="false" customHeight="true" outlineLevel="0" collapsed="false">
      <c r="A953" s="27"/>
      <c r="B953" s="27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customFormat="false" ht="14.25" hidden="false" customHeight="true" outlineLevel="0" collapsed="false">
      <c r="A954" s="27"/>
      <c r="B954" s="27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customFormat="false" ht="14.25" hidden="false" customHeight="true" outlineLevel="0" collapsed="false">
      <c r="A955" s="27"/>
      <c r="B955" s="27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customFormat="false" ht="14.25" hidden="false" customHeight="true" outlineLevel="0" collapsed="false">
      <c r="A956" s="27"/>
      <c r="B956" s="27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customFormat="false" ht="14.25" hidden="false" customHeight="true" outlineLevel="0" collapsed="false">
      <c r="A957" s="27"/>
      <c r="B957" s="27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customFormat="false" ht="14.25" hidden="false" customHeight="true" outlineLevel="0" collapsed="false">
      <c r="A958" s="27"/>
      <c r="B958" s="27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customFormat="false" ht="14.25" hidden="false" customHeight="true" outlineLevel="0" collapsed="false">
      <c r="A959" s="27"/>
      <c r="B959" s="27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customFormat="false" ht="14.25" hidden="false" customHeight="true" outlineLevel="0" collapsed="false">
      <c r="A960" s="27"/>
      <c r="B960" s="27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customFormat="false" ht="14.25" hidden="false" customHeight="true" outlineLevel="0" collapsed="false">
      <c r="A961" s="27"/>
      <c r="B961" s="27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customFormat="false" ht="14.25" hidden="false" customHeight="true" outlineLevel="0" collapsed="false">
      <c r="A962" s="27"/>
      <c r="B962" s="27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customFormat="false" ht="14.25" hidden="false" customHeight="true" outlineLevel="0" collapsed="false">
      <c r="A963" s="27"/>
      <c r="B963" s="27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customFormat="false" ht="14.25" hidden="false" customHeight="true" outlineLevel="0" collapsed="false">
      <c r="A964" s="27"/>
      <c r="B964" s="27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customFormat="false" ht="14.25" hidden="false" customHeight="true" outlineLevel="0" collapsed="false">
      <c r="A965" s="27"/>
      <c r="B965" s="27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customFormat="false" ht="14.25" hidden="false" customHeight="true" outlineLevel="0" collapsed="false">
      <c r="A966" s="27"/>
      <c r="B966" s="27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customFormat="false" ht="14.25" hidden="false" customHeight="true" outlineLevel="0" collapsed="false">
      <c r="A967" s="27"/>
      <c r="B967" s="27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customFormat="false" ht="14.25" hidden="false" customHeight="true" outlineLevel="0" collapsed="false">
      <c r="A968" s="27"/>
      <c r="B968" s="27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customFormat="false" ht="14.25" hidden="false" customHeight="true" outlineLevel="0" collapsed="false">
      <c r="A969" s="27"/>
      <c r="B969" s="27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customFormat="false" ht="14.25" hidden="false" customHeight="true" outlineLevel="0" collapsed="false">
      <c r="A970" s="27"/>
      <c r="B970" s="27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customFormat="false" ht="14.25" hidden="false" customHeight="true" outlineLevel="0" collapsed="false">
      <c r="A971" s="27"/>
      <c r="B971" s="27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customFormat="false" ht="14.25" hidden="false" customHeight="true" outlineLevel="0" collapsed="false">
      <c r="A972" s="27"/>
      <c r="B972" s="27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customFormat="false" ht="14.25" hidden="false" customHeight="true" outlineLevel="0" collapsed="false">
      <c r="A973" s="27"/>
      <c r="B973" s="27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customFormat="false" ht="14.25" hidden="false" customHeight="true" outlineLevel="0" collapsed="false">
      <c r="A974" s="27"/>
      <c r="B974" s="27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customFormat="false" ht="14.25" hidden="false" customHeight="true" outlineLevel="0" collapsed="false">
      <c r="A975" s="27"/>
      <c r="B975" s="27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customFormat="false" ht="14.25" hidden="false" customHeight="true" outlineLevel="0" collapsed="false">
      <c r="A976" s="27"/>
      <c r="B976" s="27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customFormat="false" ht="14.25" hidden="false" customHeight="true" outlineLevel="0" collapsed="false">
      <c r="A977" s="27"/>
      <c r="B977" s="27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customFormat="false" ht="14.25" hidden="false" customHeight="true" outlineLevel="0" collapsed="false">
      <c r="A978" s="27"/>
      <c r="B978" s="27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customFormat="false" ht="14.25" hidden="false" customHeight="true" outlineLevel="0" collapsed="false">
      <c r="A979" s="27"/>
      <c r="B979" s="27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customFormat="false" ht="14.25" hidden="false" customHeight="true" outlineLevel="0" collapsed="false">
      <c r="A980" s="27"/>
      <c r="B980" s="27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customFormat="false" ht="14.25" hidden="false" customHeight="true" outlineLevel="0" collapsed="false">
      <c r="A981" s="27"/>
      <c r="B981" s="27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customFormat="false" ht="14.25" hidden="false" customHeight="true" outlineLevel="0" collapsed="false">
      <c r="A982" s="27"/>
      <c r="B982" s="27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customFormat="false" ht="14.25" hidden="false" customHeight="true" outlineLevel="0" collapsed="false">
      <c r="A983" s="27"/>
      <c r="B983" s="27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customFormat="false" ht="14.25" hidden="false" customHeight="true" outlineLevel="0" collapsed="false">
      <c r="A984" s="27"/>
      <c r="B984" s="27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customFormat="false" ht="14.25" hidden="false" customHeight="true" outlineLevel="0" collapsed="false">
      <c r="A985" s="27"/>
      <c r="B985" s="27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customFormat="false" ht="14.25" hidden="false" customHeight="true" outlineLevel="0" collapsed="false">
      <c r="A986" s="27"/>
      <c r="B986" s="27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customFormat="false" ht="14.25" hidden="false" customHeight="true" outlineLevel="0" collapsed="false">
      <c r="A987" s="27"/>
      <c r="B987" s="27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customFormat="false" ht="14.25" hidden="false" customHeight="true" outlineLevel="0" collapsed="false">
      <c r="A988" s="27"/>
      <c r="B988" s="27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customFormat="false" ht="14.25" hidden="false" customHeight="true" outlineLevel="0" collapsed="false">
      <c r="A989" s="27"/>
      <c r="B989" s="27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customFormat="false" ht="14.25" hidden="false" customHeight="true" outlineLevel="0" collapsed="false">
      <c r="A990" s="27"/>
      <c r="B990" s="27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customFormat="false" ht="14.25" hidden="false" customHeight="true" outlineLevel="0" collapsed="false">
      <c r="A991" s="27"/>
      <c r="B991" s="27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customFormat="false" ht="14.25" hidden="false" customHeight="true" outlineLevel="0" collapsed="false">
      <c r="A992" s="27"/>
      <c r="B992" s="27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customFormat="false" ht="14.25" hidden="false" customHeight="true" outlineLevel="0" collapsed="false">
      <c r="A993" s="27"/>
      <c r="B993" s="27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customFormat="false" ht="14.25" hidden="false" customHeight="true" outlineLevel="0" collapsed="false">
      <c r="A994" s="27"/>
      <c r="B994" s="27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customFormat="false" ht="14.25" hidden="false" customHeight="true" outlineLevel="0" collapsed="false">
      <c r="A995" s="27"/>
      <c r="B995" s="27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customFormat="false" ht="14.25" hidden="false" customHeight="true" outlineLevel="0" collapsed="false">
      <c r="A996" s="27"/>
      <c r="B996" s="27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customFormat="false" ht="14.25" hidden="false" customHeight="true" outlineLevel="0" collapsed="false">
      <c r="A997" s="27"/>
      <c r="B997" s="27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customFormat="false" ht="14.25" hidden="false" customHeight="true" outlineLevel="0" collapsed="false">
      <c r="A998" s="27"/>
      <c r="B998" s="27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customFormat="false" ht="14.25" hidden="false" customHeight="true" outlineLevel="0" collapsed="false">
      <c r="A999" s="27"/>
      <c r="B999" s="27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customFormat="false" ht="14.25" hidden="false" customHeight="true" outlineLevel="0" collapsed="false">
      <c r="A1000" s="27"/>
      <c r="B1000" s="27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">
    <mergeCell ref="C38:D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4.36328125" defaultRowHeight="15" zeroHeight="false" outlineLevelRow="0" outlineLevelCol="0"/>
  <cols>
    <col collapsed="false" customWidth="true" hidden="false" outlineLevel="0" max="1" min="1" style="1" width="19.73"/>
    <col collapsed="false" customWidth="true" hidden="true" outlineLevel="0" max="2" min="2" style="1" width="16.36"/>
    <col collapsed="false" customWidth="true" hidden="false" outlineLevel="0" max="3" min="3" style="1" width="15.54"/>
    <col collapsed="false" customWidth="true" hidden="false" outlineLevel="0" max="4" min="4" style="1" width="21.36"/>
    <col collapsed="false" customWidth="true" hidden="false" outlineLevel="0" max="26" min="5" style="1" width="8.73"/>
    <col collapsed="false" customWidth="false" hidden="false" outlineLevel="0" max="16384" min="27" style="1" width="14.36"/>
  </cols>
  <sheetData>
    <row r="1" customFormat="false" ht="14.25" hidden="false" customHeight="true" outlineLevel="0" collapsed="false">
      <c r="A1" s="2"/>
      <c r="B1" s="12"/>
      <c r="C1" s="1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12"/>
      <c r="C2" s="1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35.25" hidden="false" customHeight="true" outlineLevel="0" collapsed="false">
      <c r="A3" s="49" t="s">
        <v>74</v>
      </c>
      <c r="B3" s="50" t="s">
        <v>95</v>
      </c>
      <c r="C3" s="50" t="s">
        <v>96</v>
      </c>
      <c r="D3" s="51" t="s">
        <v>97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28.5" hidden="false" customHeight="true" outlineLevel="0" collapsed="false">
      <c r="A4" s="40" t="s">
        <v>98</v>
      </c>
      <c r="B4" s="52"/>
      <c r="C4" s="52" t="n">
        <v>0.16</v>
      </c>
      <c r="D4" s="53" t="s">
        <v>99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41"/>
      <c r="B5" s="52"/>
      <c r="C5" s="52"/>
      <c r="D5" s="5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4.25" hidden="false" customHeight="true" outlineLevel="0" collapsed="false">
      <c r="A6" s="41"/>
      <c r="B6" s="52"/>
      <c r="C6" s="52"/>
      <c r="D6" s="5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41"/>
      <c r="B7" s="52"/>
      <c r="C7" s="52"/>
      <c r="D7" s="5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41"/>
      <c r="B8" s="52"/>
      <c r="C8" s="52"/>
      <c r="D8" s="5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49"/>
      <c r="B9" s="54"/>
      <c r="C9" s="50" t="s">
        <v>100</v>
      </c>
      <c r="D9" s="51" t="s">
        <v>101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2"/>
      <c r="B10" s="12"/>
      <c r="C10" s="1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2"/>
      <c r="B11" s="12"/>
      <c r="C11" s="1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2"/>
      <c r="B12" s="12"/>
      <c r="C12" s="1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2"/>
      <c r="B13" s="12"/>
      <c r="C13" s="1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2"/>
      <c r="B14" s="12"/>
      <c r="C14" s="1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25" hidden="false" customHeight="true" outlineLevel="0" collapsed="false">
      <c r="A15" s="2"/>
      <c r="B15" s="12"/>
      <c r="C15" s="1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25" hidden="false" customHeight="true" outlineLevel="0" collapsed="false">
      <c r="A16" s="2"/>
      <c r="B16" s="12"/>
      <c r="C16" s="1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25" hidden="false" customHeight="true" outlineLevel="0" collapsed="false">
      <c r="A17" s="2"/>
      <c r="B17" s="12"/>
      <c r="C17" s="1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25" hidden="false" customHeight="true" outlineLevel="0" collapsed="false">
      <c r="A18" s="2"/>
      <c r="B18" s="12"/>
      <c r="C18" s="1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25" hidden="false" customHeight="true" outlineLevel="0" collapsed="false">
      <c r="A19" s="2"/>
      <c r="B19" s="12"/>
      <c r="C19" s="1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>
      <c r="A20" s="2"/>
      <c r="B20" s="12"/>
      <c r="C20" s="1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4.25" hidden="false" customHeight="true" outlineLevel="0" collapsed="false">
      <c r="A21" s="2"/>
      <c r="B21" s="12"/>
      <c r="C21" s="1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4.25" hidden="false" customHeight="true" outlineLevel="0" collapsed="false">
      <c r="A22" s="2"/>
      <c r="B22" s="12"/>
      <c r="C22" s="1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4.25" hidden="false" customHeight="true" outlineLevel="0" collapsed="false">
      <c r="A23" s="2"/>
      <c r="B23" s="12"/>
      <c r="C23" s="1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4.25" hidden="false" customHeight="true" outlineLevel="0" collapsed="false">
      <c r="A24" s="2"/>
      <c r="B24" s="12"/>
      <c r="C24" s="1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4.25" hidden="false" customHeight="true" outlineLevel="0" collapsed="false">
      <c r="A25" s="2"/>
      <c r="B25" s="12"/>
      <c r="C25" s="1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4.25" hidden="false" customHeight="true" outlineLevel="0" collapsed="false">
      <c r="A26" s="2"/>
      <c r="B26" s="12"/>
      <c r="C26" s="1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4.25" hidden="false" customHeight="true" outlineLevel="0" collapsed="false">
      <c r="A27" s="2"/>
      <c r="B27" s="12"/>
      <c r="C27" s="1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4.25" hidden="false" customHeight="true" outlineLevel="0" collapsed="false">
      <c r="A28" s="2"/>
      <c r="B28" s="12"/>
      <c r="C28" s="1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4.25" hidden="false" customHeight="true" outlineLevel="0" collapsed="false">
      <c r="A29" s="2"/>
      <c r="B29" s="12"/>
      <c r="C29" s="1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4.25" hidden="false" customHeight="true" outlineLevel="0" collapsed="false">
      <c r="A30" s="2"/>
      <c r="B30" s="12"/>
      <c r="C30" s="1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4.25" hidden="false" customHeight="true" outlineLevel="0" collapsed="false">
      <c r="A31" s="2"/>
      <c r="B31" s="12"/>
      <c r="C31" s="1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4.25" hidden="false" customHeight="true" outlineLevel="0" collapsed="false">
      <c r="A32" s="2"/>
      <c r="B32" s="12"/>
      <c r="C32" s="1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4.25" hidden="false" customHeight="true" outlineLevel="0" collapsed="false">
      <c r="A33" s="2"/>
      <c r="B33" s="12"/>
      <c r="C33" s="1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4.25" hidden="false" customHeight="true" outlineLevel="0" collapsed="false">
      <c r="A34" s="2"/>
      <c r="B34" s="12"/>
      <c r="C34" s="1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4.25" hidden="false" customHeight="true" outlineLevel="0" collapsed="false">
      <c r="A35" s="2"/>
      <c r="B35" s="12"/>
      <c r="C35" s="1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4.25" hidden="false" customHeight="true" outlineLevel="0" collapsed="false">
      <c r="A36" s="2"/>
      <c r="B36" s="12"/>
      <c r="C36" s="1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4.25" hidden="false" customHeight="true" outlineLevel="0" collapsed="false">
      <c r="A37" s="2"/>
      <c r="B37" s="12"/>
      <c r="C37" s="1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4.25" hidden="false" customHeight="true" outlineLevel="0" collapsed="false">
      <c r="A38" s="2"/>
      <c r="B38" s="12"/>
      <c r="C38" s="1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4.25" hidden="false" customHeight="true" outlineLevel="0" collapsed="false">
      <c r="A39" s="2"/>
      <c r="B39" s="12"/>
      <c r="C39" s="1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4.25" hidden="false" customHeight="true" outlineLevel="0" collapsed="false">
      <c r="A40" s="2"/>
      <c r="B40" s="12"/>
      <c r="C40" s="1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4.25" hidden="false" customHeight="true" outlineLevel="0" collapsed="false">
      <c r="A41" s="2"/>
      <c r="B41" s="12"/>
      <c r="C41" s="1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4.25" hidden="false" customHeight="true" outlineLevel="0" collapsed="false">
      <c r="A42" s="2"/>
      <c r="B42" s="12"/>
      <c r="C42" s="1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4.25" hidden="false" customHeight="true" outlineLevel="0" collapsed="false">
      <c r="A43" s="2"/>
      <c r="B43" s="12"/>
      <c r="C43" s="1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4.25" hidden="false" customHeight="true" outlineLevel="0" collapsed="false">
      <c r="A44" s="2"/>
      <c r="B44" s="12"/>
      <c r="C44" s="1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4.25" hidden="false" customHeight="true" outlineLevel="0" collapsed="false">
      <c r="A45" s="2"/>
      <c r="B45" s="12"/>
      <c r="C45" s="1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4.25" hidden="false" customHeight="true" outlineLevel="0" collapsed="false">
      <c r="A46" s="2"/>
      <c r="B46" s="12"/>
      <c r="C46" s="1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4.25" hidden="false" customHeight="true" outlineLevel="0" collapsed="false">
      <c r="A47" s="2"/>
      <c r="B47" s="12"/>
      <c r="C47" s="1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4.25" hidden="false" customHeight="true" outlineLevel="0" collapsed="false">
      <c r="A48" s="2"/>
      <c r="B48" s="12"/>
      <c r="C48" s="1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4.25" hidden="false" customHeight="true" outlineLevel="0" collapsed="false">
      <c r="A49" s="2"/>
      <c r="B49" s="12"/>
      <c r="C49" s="1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4.25" hidden="false" customHeight="true" outlineLevel="0" collapsed="false">
      <c r="A50" s="2"/>
      <c r="B50" s="12"/>
      <c r="C50" s="1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4.25" hidden="false" customHeight="true" outlineLevel="0" collapsed="false">
      <c r="A51" s="2"/>
      <c r="B51" s="12"/>
      <c r="C51" s="1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4.25" hidden="false" customHeight="true" outlineLevel="0" collapsed="false">
      <c r="A52" s="2"/>
      <c r="B52" s="12"/>
      <c r="C52" s="1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4.25" hidden="false" customHeight="true" outlineLevel="0" collapsed="false">
      <c r="A53" s="2"/>
      <c r="B53" s="12"/>
      <c r="C53" s="1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4.25" hidden="false" customHeight="true" outlineLevel="0" collapsed="false">
      <c r="A54" s="2"/>
      <c r="B54" s="12"/>
      <c r="C54" s="1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4.25" hidden="false" customHeight="true" outlineLevel="0" collapsed="false">
      <c r="A55" s="2"/>
      <c r="B55" s="12"/>
      <c r="C55" s="1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4.25" hidden="false" customHeight="true" outlineLevel="0" collapsed="false">
      <c r="A56" s="2"/>
      <c r="B56" s="12"/>
      <c r="C56" s="1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4.25" hidden="false" customHeight="true" outlineLevel="0" collapsed="false">
      <c r="A57" s="2"/>
      <c r="B57" s="12"/>
      <c r="C57" s="1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4.25" hidden="false" customHeight="true" outlineLevel="0" collapsed="false">
      <c r="A58" s="2"/>
      <c r="B58" s="12"/>
      <c r="C58" s="1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4.25" hidden="false" customHeight="true" outlineLevel="0" collapsed="false">
      <c r="A59" s="2"/>
      <c r="B59" s="12"/>
      <c r="C59" s="1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4.25" hidden="false" customHeight="true" outlineLevel="0" collapsed="false">
      <c r="A60" s="2"/>
      <c r="B60" s="12"/>
      <c r="C60" s="1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4.25" hidden="false" customHeight="true" outlineLevel="0" collapsed="false">
      <c r="A61" s="2"/>
      <c r="B61" s="12"/>
      <c r="C61" s="1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4.25" hidden="false" customHeight="true" outlineLevel="0" collapsed="false">
      <c r="A62" s="2"/>
      <c r="B62" s="12"/>
      <c r="C62" s="1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4.25" hidden="false" customHeight="true" outlineLevel="0" collapsed="false">
      <c r="A63" s="2"/>
      <c r="B63" s="12"/>
      <c r="C63" s="1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4.25" hidden="false" customHeight="true" outlineLevel="0" collapsed="false">
      <c r="A64" s="2"/>
      <c r="B64" s="12"/>
      <c r="C64" s="1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4.25" hidden="false" customHeight="true" outlineLevel="0" collapsed="false">
      <c r="A65" s="2"/>
      <c r="B65" s="12"/>
      <c r="C65" s="1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4.25" hidden="false" customHeight="true" outlineLevel="0" collapsed="false">
      <c r="A66" s="2"/>
      <c r="B66" s="12"/>
      <c r="C66" s="1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4.25" hidden="false" customHeight="true" outlineLevel="0" collapsed="false">
      <c r="A67" s="2"/>
      <c r="B67" s="12"/>
      <c r="C67" s="1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4.25" hidden="false" customHeight="true" outlineLevel="0" collapsed="false">
      <c r="A68" s="2"/>
      <c r="B68" s="12"/>
      <c r="C68" s="1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4.25" hidden="false" customHeight="true" outlineLevel="0" collapsed="false">
      <c r="A69" s="2"/>
      <c r="B69" s="12"/>
      <c r="C69" s="1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4.25" hidden="false" customHeight="true" outlineLevel="0" collapsed="false">
      <c r="A70" s="2"/>
      <c r="B70" s="12"/>
      <c r="C70" s="1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>
      <c r="A71" s="2"/>
      <c r="B71" s="12"/>
      <c r="C71" s="1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4.25" hidden="false" customHeight="true" outlineLevel="0" collapsed="false">
      <c r="A72" s="2"/>
      <c r="B72" s="12"/>
      <c r="C72" s="1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4.25" hidden="false" customHeight="true" outlineLevel="0" collapsed="false">
      <c r="A73" s="2"/>
      <c r="B73" s="12"/>
      <c r="C73" s="1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4.25" hidden="false" customHeight="true" outlineLevel="0" collapsed="false">
      <c r="A74" s="2"/>
      <c r="B74" s="12"/>
      <c r="C74" s="1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4.25" hidden="false" customHeight="true" outlineLevel="0" collapsed="false">
      <c r="A75" s="2"/>
      <c r="B75" s="12"/>
      <c r="C75" s="1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4.25" hidden="false" customHeight="true" outlineLevel="0" collapsed="false">
      <c r="A76" s="2"/>
      <c r="B76" s="12"/>
      <c r="C76" s="1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4.25" hidden="false" customHeight="true" outlineLevel="0" collapsed="false">
      <c r="A77" s="2"/>
      <c r="B77" s="12"/>
      <c r="C77" s="1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4.25" hidden="false" customHeight="true" outlineLevel="0" collapsed="false">
      <c r="A78" s="2"/>
      <c r="B78" s="12"/>
      <c r="C78" s="1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4.25" hidden="false" customHeight="true" outlineLevel="0" collapsed="false">
      <c r="A79" s="2"/>
      <c r="B79" s="12"/>
      <c r="C79" s="1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4.25" hidden="false" customHeight="true" outlineLevel="0" collapsed="false">
      <c r="A80" s="2"/>
      <c r="B80" s="12"/>
      <c r="C80" s="1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4.25" hidden="false" customHeight="true" outlineLevel="0" collapsed="false">
      <c r="A81" s="2"/>
      <c r="B81" s="12"/>
      <c r="C81" s="1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4.25" hidden="false" customHeight="true" outlineLevel="0" collapsed="false">
      <c r="A82" s="2"/>
      <c r="B82" s="12"/>
      <c r="C82" s="1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4.25" hidden="false" customHeight="true" outlineLevel="0" collapsed="false">
      <c r="A83" s="2"/>
      <c r="B83" s="12"/>
      <c r="C83" s="1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4.25" hidden="false" customHeight="true" outlineLevel="0" collapsed="false">
      <c r="A84" s="2"/>
      <c r="B84" s="12"/>
      <c r="C84" s="1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4.25" hidden="false" customHeight="true" outlineLevel="0" collapsed="false">
      <c r="A85" s="2"/>
      <c r="B85" s="12"/>
      <c r="C85" s="1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4.25" hidden="false" customHeight="true" outlineLevel="0" collapsed="false">
      <c r="A86" s="2"/>
      <c r="B86" s="12"/>
      <c r="C86" s="1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4.25" hidden="false" customHeight="true" outlineLevel="0" collapsed="false">
      <c r="A87" s="2"/>
      <c r="B87" s="12"/>
      <c r="C87" s="1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4.25" hidden="false" customHeight="true" outlineLevel="0" collapsed="false">
      <c r="A88" s="2"/>
      <c r="B88" s="12"/>
      <c r="C88" s="1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4.25" hidden="false" customHeight="true" outlineLevel="0" collapsed="false">
      <c r="A89" s="2"/>
      <c r="B89" s="12"/>
      <c r="C89" s="1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4.25" hidden="false" customHeight="true" outlineLevel="0" collapsed="false">
      <c r="A90" s="2"/>
      <c r="B90" s="12"/>
      <c r="C90" s="1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4.25" hidden="false" customHeight="true" outlineLevel="0" collapsed="false">
      <c r="A91" s="2"/>
      <c r="B91" s="12"/>
      <c r="C91" s="1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4.25" hidden="false" customHeight="true" outlineLevel="0" collapsed="false">
      <c r="A92" s="2"/>
      <c r="B92" s="12"/>
      <c r="C92" s="1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4.25" hidden="false" customHeight="true" outlineLevel="0" collapsed="false">
      <c r="A93" s="2"/>
      <c r="B93" s="12"/>
      <c r="C93" s="1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4.25" hidden="false" customHeight="true" outlineLevel="0" collapsed="false">
      <c r="A94" s="2"/>
      <c r="B94" s="12"/>
      <c r="C94" s="1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4.25" hidden="false" customHeight="true" outlineLevel="0" collapsed="false">
      <c r="A95" s="2"/>
      <c r="B95" s="12"/>
      <c r="C95" s="1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4.25" hidden="false" customHeight="true" outlineLevel="0" collapsed="false">
      <c r="A96" s="2"/>
      <c r="B96" s="12"/>
      <c r="C96" s="1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4.25" hidden="false" customHeight="true" outlineLevel="0" collapsed="false">
      <c r="A97" s="2"/>
      <c r="B97" s="12"/>
      <c r="C97" s="1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4.25" hidden="false" customHeight="true" outlineLevel="0" collapsed="false">
      <c r="A98" s="2"/>
      <c r="B98" s="12"/>
      <c r="C98" s="1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4.25" hidden="false" customHeight="true" outlineLevel="0" collapsed="false">
      <c r="A99" s="2"/>
      <c r="B99" s="12"/>
      <c r="C99" s="1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4.25" hidden="false" customHeight="true" outlineLevel="0" collapsed="false">
      <c r="A100" s="2"/>
      <c r="B100" s="12"/>
      <c r="C100" s="1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4.25" hidden="false" customHeight="true" outlineLevel="0" collapsed="false">
      <c r="A101" s="2"/>
      <c r="B101" s="12"/>
      <c r="C101" s="1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4.25" hidden="false" customHeight="true" outlineLevel="0" collapsed="false">
      <c r="A102" s="2"/>
      <c r="B102" s="12"/>
      <c r="C102" s="1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4.25" hidden="false" customHeight="true" outlineLevel="0" collapsed="false">
      <c r="A103" s="2"/>
      <c r="B103" s="12"/>
      <c r="C103" s="1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4.25" hidden="false" customHeight="true" outlineLevel="0" collapsed="false">
      <c r="A104" s="2"/>
      <c r="B104" s="12"/>
      <c r="C104" s="1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4.25" hidden="false" customHeight="true" outlineLevel="0" collapsed="false">
      <c r="A105" s="2"/>
      <c r="B105" s="12"/>
      <c r="C105" s="1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4.25" hidden="false" customHeight="true" outlineLevel="0" collapsed="false">
      <c r="A106" s="2"/>
      <c r="B106" s="12"/>
      <c r="C106" s="1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4.25" hidden="false" customHeight="true" outlineLevel="0" collapsed="false">
      <c r="A107" s="2"/>
      <c r="B107" s="12"/>
      <c r="C107" s="1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4.25" hidden="false" customHeight="true" outlineLevel="0" collapsed="false">
      <c r="A108" s="2"/>
      <c r="B108" s="12"/>
      <c r="C108" s="1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4.25" hidden="false" customHeight="true" outlineLevel="0" collapsed="false">
      <c r="A109" s="2"/>
      <c r="B109" s="12"/>
      <c r="C109" s="1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4.25" hidden="false" customHeight="true" outlineLevel="0" collapsed="false">
      <c r="A110" s="2"/>
      <c r="B110" s="12"/>
      <c r="C110" s="1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4.25" hidden="false" customHeight="true" outlineLevel="0" collapsed="false">
      <c r="A111" s="2"/>
      <c r="B111" s="12"/>
      <c r="C111" s="1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4.25" hidden="false" customHeight="true" outlineLevel="0" collapsed="false">
      <c r="A112" s="2"/>
      <c r="B112" s="12"/>
      <c r="C112" s="1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4.25" hidden="false" customHeight="true" outlineLevel="0" collapsed="false">
      <c r="A113" s="2"/>
      <c r="B113" s="12"/>
      <c r="C113" s="1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4.25" hidden="false" customHeight="true" outlineLevel="0" collapsed="false">
      <c r="A114" s="2"/>
      <c r="B114" s="12"/>
      <c r="C114" s="1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4.25" hidden="false" customHeight="true" outlineLevel="0" collapsed="false">
      <c r="A115" s="2"/>
      <c r="B115" s="12"/>
      <c r="C115" s="1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4.25" hidden="false" customHeight="true" outlineLevel="0" collapsed="false">
      <c r="A116" s="2"/>
      <c r="B116" s="12"/>
      <c r="C116" s="1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4.25" hidden="false" customHeight="true" outlineLevel="0" collapsed="false">
      <c r="A117" s="2"/>
      <c r="B117" s="12"/>
      <c r="C117" s="1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4.25" hidden="false" customHeight="true" outlineLevel="0" collapsed="false">
      <c r="A118" s="2"/>
      <c r="B118" s="12"/>
      <c r="C118" s="1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4.25" hidden="false" customHeight="true" outlineLevel="0" collapsed="false">
      <c r="A119" s="2"/>
      <c r="B119" s="12"/>
      <c r="C119" s="1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4.25" hidden="false" customHeight="true" outlineLevel="0" collapsed="false">
      <c r="A120" s="2"/>
      <c r="B120" s="12"/>
      <c r="C120" s="1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4.25" hidden="false" customHeight="true" outlineLevel="0" collapsed="false">
      <c r="A121" s="2"/>
      <c r="B121" s="12"/>
      <c r="C121" s="1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4.25" hidden="false" customHeight="true" outlineLevel="0" collapsed="false">
      <c r="A122" s="2"/>
      <c r="B122" s="12"/>
      <c r="C122" s="1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4.25" hidden="false" customHeight="true" outlineLevel="0" collapsed="false">
      <c r="A123" s="2"/>
      <c r="B123" s="12"/>
      <c r="C123" s="1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4.25" hidden="false" customHeight="true" outlineLevel="0" collapsed="false">
      <c r="A124" s="2"/>
      <c r="B124" s="12"/>
      <c r="C124" s="1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4.25" hidden="false" customHeight="true" outlineLevel="0" collapsed="false">
      <c r="A125" s="2"/>
      <c r="B125" s="12"/>
      <c r="C125" s="1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4.25" hidden="false" customHeight="true" outlineLevel="0" collapsed="false">
      <c r="A126" s="2"/>
      <c r="B126" s="12"/>
      <c r="C126" s="1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4.25" hidden="false" customHeight="true" outlineLevel="0" collapsed="false">
      <c r="A127" s="2"/>
      <c r="B127" s="12"/>
      <c r="C127" s="1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4.25" hidden="false" customHeight="true" outlineLevel="0" collapsed="false">
      <c r="A128" s="2"/>
      <c r="B128" s="12"/>
      <c r="C128" s="1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4.25" hidden="false" customHeight="true" outlineLevel="0" collapsed="false">
      <c r="A129" s="2"/>
      <c r="B129" s="12"/>
      <c r="C129" s="1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4.25" hidden="false" customHeight="true" outlineLevel="0" collapsed="false">
      <c r="A130" s="2"/>
      <c r="B130" s="12"/>
      <c r="C130" s="1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4.25" hidden="false" customHeight="true" outlineLevel="0" collapsed="false">
      <c r="A131" s="2"/>
      <c r="B131" s="12"/>
      <c r="C131" s="1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4.25" hidden="false" customHeight="true" outlineLevel="0" collapsed="false">
      <c r="A132" s="2"/>
      <c r="B132" s="12"/>
      <c r="C132" s="1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4.25" hidden="false" customHeight="true" outlineLevel="0" collapsed="false">
      <c r="A133" s="2"/>
      <c r="B133" s="12"/>
      <c r="C133" s="1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4.25" hidden="false" customHeight="true" outlineLevel="0" collapsed="false">
      <c r="A134" s="2"/>
      <c r="B134" s="12"/>
      <c r="C134" s="1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4.25" hidden="false" customHeight="true" outlineLevel="0" collapsed="false">
      <c r="A135" s="2"/>
      <c r="B135" s="12"/>
      <c r="C135" s="1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4.25" hidden="false" customHeight="true" outlineLevel="0" collapsed="false">
      <c r="A136" s="2"/>
      <c r="B136" s="12"/>
      <c r="C136" s="1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4.25" hidden="false" customHeight="true" outlineLevel="0" collapsed="false">
      <c r="A137" s="2"/>
      <c r="B137" s="12"/>
      <c r="C137" s="1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4.25" hidden="false" customHeight="true" outlineLevel="0" collapsed="false">
      <c r="A138" s="2"/>
      <c r="B138" s="12"/>
      <c r="C138" s="1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4.25" hidden="false" customHeight="true" outlineLevel="0" collapsed="false">
      <c r="A139" s="2"/>
      <c r="B139" s="12"/>
      <c r="C139" s="1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4.25" hidden="false" customHeight="true" outlineLevel="0" collapsed="false">
      <c r="A140" s="2"/>
      <c r="B140" s="12"/>
      <c r="C140" s="1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4.25" hidden="false" customHeight="true" outlineLevel="0" collapsed="false">
      <c r="A141" s="2"/>
      <c r="B141" s="12"/>
      <c r="C141" s="1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4.25" hidden="false" customHeight="true" outlineLevel="0" collapsed="false">
      <c r="A142" s="2"/>
      <c r="B142" s="12"/>
      <c r="C142" s="1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4.25" hidden="false" customHeight="true" outlineLevel="0" collapsed="false">
      <c r="A143" s="2"/>
      <c r="B143" s="12"/>
      <c r="C143" s="1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4.25" hidden="false" customHeight="true" outlineLevel="0" collapsed="false">
      <c r="A144" s="2"/>
      <c r="B144" s="12"/>
      <c r="C144" s="1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4.25" hidden="false" customHeight="true" outlineLevel="0" collapsed="false">
      <c r="A145" s="2"/>
      <c r="B145" s="12"/>
      <c r="C145" s="1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4.25" hidden="false" customHeight="true" outlineLevel="0" collapsed="false">
      <c r="A146" s="2"/>
      <c r="B146" s="12"/>
      <c r="C146" s="1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4.25" hidden="false" customHeight="true" outlineLevel="0" collapsed="false">
      <c r="A147" s="2"/>
      <c r="B147" s="12"/>
      <c r="C147" s="1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4.25" hidden="false" customHeight="true" outlineLevel="0" collapsed="false">
      <c r="A148" s="2"/>
      <c r="B148" s="12"/>
      <c r="C148" s="1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4.25" hidden="false" customHeight="true" outlineLevel="0" collapsed="false">
      <c r="A149" s="2"/>
      <c r="B149" s="12"/>
      <c r="C149" s="1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4.25" hidden="false" customHeight="true" outlineLevel="0" collapsed="false">
      <c r="A150" s="2"/>
      <c r="B150" s="12"/>
      <c r="C150" s="1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4.25" hidden="false" customHeight="true" outlineLevel="0" collapsed="false">
      <c r="A151" s="2"/>
      <c r="B151" s="12"/>
      <c r="C151" s="1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4.25" hidden="false" customHeight="true" outlineLevel="0" collapsed="false">
      <c r="A152" s="2"/>
      <c r="B152" s="12"/>
      <c r="C152" s="1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4.25" hidden="false" customHeight="true" outlineLevel="0" collapsed="false">
      <c r="A153" s="2"/>
      <c r="B153" s="12"/>
      <c r="C153" s="1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4.25" hidden="false" customHeight="true" outlineLevel="0" collapsed="false">
      <c r="A154" s="2"/>
      <c r="B154" s="12"/>
      <c r="C154" s="1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4.25" hidden="false" customHeight="true" outlineLevel="0" collapsed="false">
      <c r="A155" s="2"/>
      <c r="B155" s="12"/>
      <c r="C155" s="1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4.25" hidden="false" customHeight="true" outlineLevel="0" collapsed="false">
      <c r="A156" s="2"/>
      <c r="B156" s="12"/>
      <c r="C156" s="1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4.25" hidden="false" customHeight="true" outlineLevel="0" collapsed="false">
      <c r="A157" s="2"/>
      <c r="B157" s="12"/>
      <c r="C157" s="1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4.25" hidden="false" customHeight="true" outlineLevel="0" collapsed="false">
      <c r="A158" s="2"/>
      <c r="B158" s="12"/>
      <c r="C158" s="1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4.25" hidden="false" customHeight="true" outlineLevel="0" collapsed="false">
      <c r="A159" s="2"/>
      <c r="B159" s="12"/>
      <c r="C159" s="1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4.25" hidden="false" customHeight="true" outlineLevel="0" collapsed="false">
      <c r="A160" s="2"/>
      <c r="B160" s="12"/>
      <c r="C160" s="1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4.25" hidden="false" customHeight="true" outlineLevel="0" collapsed="false">
      <c r="A161" s="2"/>
      <c r="B161" s="12"/>
      <c r="C161" s="1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4.25" hidden="false" customHeight="true" outlineLevel="0" collapsed="false">
      <c r="A162" s="2"/>
      <c r="B162" s="12"/>
      <c r="C162" s="1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4.25" hidden="false" customHeight="true" outlineLevel="0" collapsed="false">
      <c r="A163" s="2"/>
      <c r="B163" s="12"/>
      <c r="C163" s="1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4.25" hidden="false" customHeight="true" outlineLevel="0" collapsed="false">
      <c r="A164" s="2"/>
      <c r="B164" s="12"/>
      <c r="C164" s="1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4.25" hidden="false" customHeight="true" outlineLevel="0" collapsed="false">
      <c r="A165" s="2"/>
      <c r="B165" s="12"/>
      <c r="C165" s="1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4.25" hidden="false" customHeight="true" outlineLevel="0" collapsed="false">
      <c r="A166" s="2"/>
      <c r="B166" s="12"/>
      <c r="C166" s="1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4.25" hidden="false" customHeight="true" outlineLevel="0" collapsed="false">
      <c r="A167" s="2"/>
      <c r="B167" s="12"/>
      <c r="C167" s="1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4.25" hidden="false" customHeight="true" outlineLevel="0" collapsed="false">
      <c r="A168" s="2"/>
      <c r="B168" s="12"/>
      <c r="C168" s="1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4.25" hidden="false" customHeight="true" outlineLevel="0" collapsed="false">
      <c r="A169" s="2"/>
      <c r="B169" s="12"/>
      <c r="C169" s="1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4.25" hidden="false" customHeight="true" outlineLevel="0" collapsed="false">
      <c r="A170" s="2"/>
      <c r="B170" s="12"/>
      <c r="C170" s="1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4.25" hidden="false" customHeight="true" outlineLevel="0" collapsed="false">
      <c r="A171" s="2"/>
      <c r="B171" s="12"/>
      <c r="C171" s="1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4.25" hidden="false" customHeight="true" outlineLevel="0" collapsed="false">
      <c r="A172" s="2"/>
      <c r="B172" s="12"/>
      <c r="C172" s="1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4.25" hidden="false" customHeight="true" outlineLevel="0" collapsed="false">
      <c r="A173" s="2"/>
      <c r="B173" s="12"/>
      <c r="C173" s="1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4.25" hidden="false" customHeight="true" outlineLevel="0" collapsed="false">
      <c r="A174" s="2"/>
      <c r="B174" s="12"/>
      <c r="C174" s="1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4.25" hidden="false" customHeight="true" outlineLevel="0" collapsed="false">
      <c r="A175" s="2"/>
      <c r="B175" s="12"/>
      <c r="C175" s="1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4.25" hidden="false" customHeight="true" outlineLevel="0" collapsed="false">
      <c r="A176" s="2"/>
      <c r="B176" s="12"/>
      <c r="C176" s="1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4.25" hidden="false" customHeight="true" outlineLevel="0" collapsed="false">
      <c r="A177" s="2"/>
      <c r="B177" s="12"/>
      <c r="C177" s="1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4.25" hidden="false" customHeight="true" outlineLevel="0" collapsed="false">
      <c r="A178" s="2"/>
      <c r="B178" s="12"/>
      <c r="C178" s="1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4.25" hidden="false" customHeight="true" outlineLevel="0" collapsed="false">
      <c r="A179" s="2"/>
      <c r="B179" s="12"/>
      <c r="C179" s="1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4.25" hidden="false" customHeight="true" outlineLevel="0" collapsed="false">
      <c r="A180" s="2"/>
      <c r="B180" s="12"/>
      <c r="C180" s="1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4.25" hidden="false" customHeight="true" outlineLevel="0" collapsed="false">
      <c r="A181" s="2"/>
      <c r="B181" s="12"/>
      <c r="C181" s="1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4.25" hidden="false" customHeight="true" outlineLevel="0" collapsed="false">
      <c r="A182" s="2"/>
      <c r="B182" s="12"/>
      <c r="C182" s="1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4.25" hidden="false" customHeight="true" outlineLevel="0" collapsed="false">
      <c r="A183" s="2"/>
      <c r="B183" s="12"/>
      <c r="C183" s="1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4.25" hidden="false" customHeight="true" outlineLevel="0" collapsed="false">
      <c r="A184" s="2"/>
      <c r="B184" s="12"/>
      <c r="C184" s="1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4.25" hidden="false" customHeight="true" outlineLevel="0" collapsed="false">
      <c r="A185" s="2"/>
      <c r="B185" s="12"/>
      <c r="C185" s="1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4.25" hidden="false" customHeight="true" outlineLevel="0" collapsed="false">
      <c r="A186" s="2"/>
      <c r="B186" s="12"/>
      <c r="C186" s="1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4.25" hidden="false" customHeight="true" outlineLevel="0" collapsed="false">
      <c r="A187" s="2"/>
      <c r="B187" s="12"/>
      <c r="C187" s="1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4.25" hidden="false" customHeight="true" outlineLevel="0" collapsed="false">
      <c r="A188" s="2"/>
      <c r="B188" s="12"/>
      <c r="C188" s="1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4.25" hidden="false" customHeight="true" outlineLevel="0" collapsed="false">
      <c r="A189" s="2"/>
      <c r="B189" s="12"/>
      <c r="C189" s="1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4.25" hidden="false" customHeight="true" outlineLevel="0" collapsed="false">
      <c r="A190" s="2"/>
      <c r="B190" s="12"/>
      <c r="C190" s="1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4.25" hidden="false" customHeight="true" outlineLevel="0" collapsed="false">
      <c r="A191" s="2"/>
      <c r="B191" s="12"/>
      <c r="C191" s="1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4.25" hidden="false" customHeight="true" outlineLevel="0" collapsed="false">
      <c r="A192" s="2"/>
      <c r="B192" s="12"/>
      <c r="C192" s="1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4.25" hidden="false" customHeight="true" outlineLevel="0" collapsed="false">
      <c r="A193" s="2"/>
      <c r="B193" s="12"/>
      <c r="C193" s="1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4.25" hidden="false" customHeight="true" outlineLevel="0" collapsed="false">
      <c r="A194" s="2"/>
      <c r="B194" s="12"/>
      <c r="C194" s="1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4.25" hidden="false" customHeight="true" outlineLevel="0" collapsed="false">
      <c r="A195" s="2"/>
      <c r="B195" s="12"/>
      <c r="C195" s="1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4.25" hidden="false" customHeight="true" outlineLevel="0" collapsed="false">
      <c r="A196" s="2"/>
      <c r="B196" s="12"/>
      <c r="C196" s="1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4.25" hidden="false" customHeight="true" outlineLevel="0" collapsed="false">
      <c r="A197" s="2"/>
      <c r="B197" s="12"/>
      <c r="C197" s="1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4.25" hidden="false" customHeight="true" outlineLevel="0" collapsed="false">
      <c r="A198" s="2"/>
      <c r="B198" s="12"/>
      <c r="C198" s="1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4.25" hidden="false" customHeight="true" outlineLevel="0" collapsed="false">
      <c r="A199" s="2"/>
      <c r="B199" s="12"/>
      <c r="C199" s="1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4.25" hidden="false" customHeight="true" outlineLevel="0" collapsed="false">
      <c r="A200" s="2"/>
      <c r="B200" s="12"/>
      <c r="C200" s="1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4.25" hidden="false" customHeight="true" outlineLevel="0" collapsed="false">
      <c r="A201" s="2"/>
      <c r="B201" s="12"/>
      <c r="C201" s="1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4.25" hidden="false" customHeight="true" outlineLevel="0" collapsed="false">
      <c r="A202" s="2"/>
      <c r="B202" s="12"/>
      <c r="C202" s="1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4.25" hidden="false" customHeight="true" outlineLevel="0" collapsed="false">
      <c r="A203" s="2"/>
      <c r="B203" s="12"/>
      <c r="C203" s="1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4.25" hidden="false" customHeight="true" outlineLevel="0" collapsed="false">
      <c r="A204" s="2"/>
      <c r="B204" s="12"/>
      <c r="C204" s="1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4.25" hidden="false" customHeight="true" outlineLevel="0" collapsed="false">
      <c r="A205" s="2"/>
      <c r="B205" s="12"/>
      <c r="C205" s="1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4.25" hidden="false" customHeight="true" outlineLevel="0" collapsed="false">
      <c r="A206" s="2"/>
      <c r="B206" s="12"/>
      <c r="C206" s="1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4.25" hidden="false" customHeight="true" outlineLevel="0" collapsed="false">
      <c r="A207" s="2"/>
      <c r="B207" s="12"/>
      <c r="C207" s="1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4.25" hidden="false" customHeight="true" outlineLevel="0" collapsed="false">
      <c r="A208" s="2"/>
      <c r="B208" s="12"/>
      <c r="C208" s="1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4.25" hidden="false" customHeight="true" outlineLevel="0" collapsed="false">
      <c r="A209" s="2"/>
      <c r="B209" s="12"/>
      <c r="C209" s="1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4.25" hidden="false" customHeight="true" outlineLevel="0" collapsed="false">
      <c r="A210" s="2"/>
      <c r="B210" s="12"/>
      <c r="C210" s="1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4.25" hidden="false" customHeight="true" outlineLevel="0" collapsed="false">
      <c r="A211" s="2"/>
      <c r="B211" s="12"/>
      <c r="C211" s="1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4.25" hidden="false" customHeight="true" outlineLevel="0" collapsed="false">
      <c r="A212" s="2"/>
      <c r="B212" s="12"/>
      <c r="C212" s="1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4.25" hidden="false" customHeight="true" outlineLevel="0" collapsed="false">
      <c r="A213" s="2"/>
      <c r="B213" s="12"/>
      <c r="C213" s="1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4.25" hidden="false" customHeight="true" outlineLevel="0" collapsed="false">
      <c r="A214" s="2"/>
      <c r="B214" s="12"/>
      <c r="C214" s="1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4.25" hidden="false" customHeight="true" outlineLevel="0" collapsed="false">
      <c r="A215" s="2"/>
      <c r="B215" s="12"/>
      <c r="C215" s="1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4.25" hidden="false" customHeight="true" outlineLevel="0" collapsed="false">
      <c r="A216" s="2"/>
      <c r="B216" s="12"/>
      <c r="C216" s="1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4.25" hidden="false" customHeight="true" outlineLevel="0" collapsed="false">
      <c r="A217" s="2"/>
      <c r="B217" s="12"/>
      <c r="C217" s="1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4.25" hidden="false" customHeight="true" outlineLevel="0" collapsed="false">
      <c r="A218" s="2"/>
      <c r="B218" s="12"/>
      <c r="C218" s="1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4.25" hidden="false" customHeight="true" outlineLevel="0" collapsed="false">
      <c r="A219" s="2"/>
      <c r="B219" s="12"/>
      <c r="C219" s="1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4.25" hidden="false" customHeight="true" outlineLevel="0" collapsed="false">
      <c r="A220" s="2"/>
      <c r="B220" s="12"/>
      <c r="C220" s="1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4.25" hidden="false" customHeight="true" outlineLevel="0" collapsed="false">
      <c r="A221" s="2"/>
      <c r="B221" s="12"/>
      <c r="C221" s="1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4.25" hidden="false" customHeight="true" outlineLevel="0" collapsed="false">
      <c r="A222" s="2"/>
      <c r="B222" s="12"/>
      <c r="C222" s="1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4.25" hidden="false" customHeight="true" outlineLevel="0" collapsed="false">
      <c r="A223" s="2"/>
      <c r="B223" s="12"/>
      <c r="C223" s="1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4.25" hidden="false" customHeight="true" outlineLevel="0" collapsed="false">
      <c r="A224" s="2"/>
      <c r="B224" s="12"/>
      <c r="C224" s="1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4.25" hidden="false" customHeight="true" outlineLevel="0" collapsed="false">
      <c r="A225" s="2"/>
      <c r="B225" s="12"/>
      <c r="C225" s="1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4.25" hidden="false" customHeight="true" outlineLevel="0" collapsed="false">
      <c r="A226" s="2"/>
      <c r="B226" s="12"/>
      <c r="C226" s="1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4.25" hidden="false" customHeight="true" outlineLevel="0" collapsed="false">
      <c r="A227" s="2"/>
      <c r="B227" s="12"/>
      <c r="C227" s="1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4.25" hidden="false" customHeight="true" outlineLevel="0" collapsed="false">
      <c r="A228" s="2"/>
      <c r="B228" s="12"/>
      <c r="C228" s="1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4.25" hidden="false" customHeight="true" outlineLevel="0" collapsed="false">
      <c r="A229" s="2"/>
      <c r="B229" s="12"/>
      <c r="C229" s="1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4.25" hidden="false" customHeight="true" outlineLevel="0" collapsed="false">
      <c r="A230" s="2"/>
      <c r="B230" s="12"/>
      <c r="C230" s="1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4.25" hidden="false" customHeight="true" outlineLevel="0" collapsed="false">
      <c r="A231" s="2"/>
      <c r="B231" s="12"/>
      <c r="C231" s="1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4.25" hidden="false" customHeight="true" outlineLevel="0" collapsed="false">
      <c r="A232" s="2"/>
      <c r="B232" s="12"/>
      <c r="C232" s="1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4.25" hidden="false" customHeight="true" outlineLevel="0" collapsed="false">
      <c r="A233" s="2"/>
      <c r="B233" s="12"/>
      <c r="C233" s="1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4.25" hidden="false" customHeight="true" outlineLevel="0" collapsed="false">
      <c r="A234" s="2"/>
      <c r="B234" s="12"/>
      <c r="C234" s="1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4.25" hidden="false" customHeight="true" outlineLevel="0" collapsed="false">
      <c r="A235" s="2"/>
      <c r="B235" s="12"/>
      <c r="C235" s="1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4.25" hidden="false" customHeight="true" outlineLevel="0" collapsed="false">
      <c r="A236" s="2"/>
      <c r="B236" s="12"/>
      <c r="C236" s="1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4.25" hidden="false" customHeight="true" outlineLevel="0" collapsed="false">
      <c r="A237" s="2"/>
      <c r="B237" s="12"/>
      <c r="C237" s="1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4.25" hidden="false" customHeight="true" outlineLevel="0" collapsed="false">
      <c r="A238" s="2"/>
      <c r="B238" s="12"/>
      <c r="C238" s="1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4.25" hidden="false" customHeight="true" outlineLevel="0" collapsed="false">
      <c r="A239" s="2"/>
      <c r="B239" s="12"/>
      <c r="C239" s="1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4.25" hidden="false" customHeight="true" outlineLevel="0" collapsed="false">
      <c r="A240" s="2"/>
      <c r="B240" s="12"/>
      <c r="C240" s="1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4.25" hidden="false" customHeight="true" outlineLevel="0" collapsed="false">
      <c r="A241" s="2"/>
      <c r="B241" s="12"/>
      <c r="C241" s="1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4.25" hidden="false" customHeight="true" outlineLevel="0" collapsed="false">
      <c r="A242" s="2"/>
      <c r="B242" s="12"/>
      <c r="C242" s="1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4.25" hidden="false" customHeight="true" outlineLevel="0" collapsed="false">
      <c r="A243" s="2"/>
      <c r="B243" s="12"/>
      <c r="C243" s="1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4.25" hidden="false" customHeight="true" outlineLevel="0" collapsed="false">
      <c r="A244" s="2"/>
      <c r="B244" s="12"/>
      <c r="C244" s="1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4.25" hidden="false" customHeight="true" outlineLevel="0" collapsed="false">
      <c r="A245" s="2"/>
      <c r="B245" s="12"/>
      <c r="C245" s="1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4.25" hidden="false" customHeight="true" outlineLevel="0" collapsed="false">
      <c r="A246" s="2"/>
      <c r="B246" s="12"/>
      <c r="C246" s="1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4.25" hidden="false" customHeight="true" outlineLevel="0" collapsed="false">
      <c r="A247" s="2"/>
      <c r="B247" s="12"/>
      <c r="C247" s="1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4.25" hidden="false" customHeight="true" outlineLevel="0" collapsed="false">
      <c r="A248" s="2"/>
      <c r="B248" s="12"/>
      <c r="C248" s="1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4.25" hidden="false" customHeight="true" outlineLevel="0" collapsed="false">
      <c r="A249" s="2"/>
      <c r="B249" s="12"/>
      <c r="C249" s="1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4.25" hidden="false" customHeight="true" outlineLevel="0" collapsed="false">
      <c r="A250" s="2"/>
      <c r="B250" s="12"/>
      <c r="C250" s="1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4.25" hidden="false" customHeight="true" outlineLevel="0" collapsed="false">
      <c r="A251" s="2"/>
      <c r="B251" s="12"/>
      <c r="C251" s="1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4.25" hidden="false" customHeight="true" outlineLevel="0" collapsed="false">
      <c r="A252" s="2"/>
      <c r="B252" s="12"/>
      <c r="C252" s="1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4.25" hidden="false" customHeight="true" outlineLevel="0" collapsed="false">
      <c r="A253" s="2"/>
      <c r="B253" s="12"/>
      <c r="C253" s="1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4.25" hidden="false" customHeight="true" outlineLevel="0" collapsed="false">
      <c r="A254" s="2"/>
      <c r="B254" s="12"/>
      <c r="C254" s="1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4.25" hidden="false" customHeight="true" outlineLevel="0" collapsed="false">
      <c r="A255" s="2"/>
      <c r="B255" s="12"/>
      <c r="C255" s="1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4.25" hidden="false" customHeight="true" outlineLevel="0" collapsed="false">
      <c r="A256" s="2"/>
      <c r="B256" s="12"/>
      <c r="C256" s="1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4.25" hidden="false" customHeight="true" outlineLevel="0" collapsed="false">
      <c r="A257" s="2"/>
      <c r="B257" s="12"/>
      <c r="C257" s="1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4.25" hidden="false" customHeight="true" outlineLevel="0" collapsed="false">
      <c r="A258" s="2"/>
      <c r="B258" s="12"/>
      <c r="C258" s="1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4.25" hidden="false" customHeight="true" outlineLevel="0" collapsed="false">
      <c r="A259" s="2"/>
      <c r="B259" s="12"/>
      <c r="C259" s="1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4.25" hidden="false" customHeight="true" outlineLevel="0" collapsed="false">
      <c r="A260" s="2"/>
      <c r="B260" s="12"/>
      <c r="C260" s="1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4.25" hidden="false" customHeight="true" outlineLevel="0" collapsed="false">
      <c r="A261" s="2"/>
      <c r="B261" s="12"/>
      <c r="C261" s="1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4.25" hidden="false" customHeight="true" outlineLevel="0" collapsed="false">
      <c r="A262" s="2"/>
      <c r="B262" s="12"/>
      <c r="C262" s="1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4.25" hidden="false" customHeight="true" outlineLevel="0" collapsed="false">
      <c r="A263" s="2"/>
      <c r="B263" s="12"/>
      <c r="C263" s="1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4.25" hidden="false" customHeight="true" outlineLevel="0" collapsed="false">
      <c r="A264" s="2"/>
      <c r="B264" s="12"/>
      <c r="C264" s="1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4.25" hidden="false" customHeight="true" outlineLevel="0" collapsed="false">
      <c r="A265" s="2"/>
      <c r="B265" s="12"/>
      <c r="C265" s="1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4.25" hidden="false" customHeight="true" outlineLevel="0" collapsed="false">
      <c r="A266" s="2"/>
      <c r="B266" s="12"/>
      <c r="C266" s="1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4.25" hidden="false" customHeight="true" outlineLevel="0" collapsed="false">
      <c r="A267" s="2"/>
      <c r="B267" s="12"/>
      <c r="C267" s="1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4.25" hidden="false" customHeight="true" outlineLevel="0" collapsed="false">
      <c r="A268" s="2"/>
      <c r="B268" s="12"/>
      <c r="C268" s="1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4.25" hidden="false" customHeight="true" outlineLevel="0" collapsed="false">
      <c r="A269" s="2"/>
      <c r="B269" s="12"/>
      <c r="C269" s="1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4.25" hidden="false" customHeight="true" outlineLevel="0" collapsed="false">
      <c r="A270" s="2"/>
      <c r="B270" s="12"/>
      <c r="C270" s="1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4.25" hidden="false" customHeight="true" outlineLevel="0" collapsed="false">
      <c r="A271" s="2"/>
      <c r="B271" s="12"/>
      <c r="C271" s="1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4.25" hidden="false" customHeight="true" outlineLevel="0" collapsed="false">
      <c r="A272" s="2"/>
      <c r="B272" s="12"/>
      <c r="C272" s="1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4.25" hidden="false" customHeight="true" outlineLevel="0" collapsed="false">
      <c r="A273" s="2"/>
      <c r="B273" s="12"/>
      <c r="C273" s="1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4.25" hidden="false" customHeight="true" outlineLevel="0" collapsed="false">
      <c r="A274" s="2"/>
      <c r="B274" s="12"/>
      <c r="C274" s="1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4.25" hidden="false" customHeight="true" outlineLevel="0" collapsed="false">
      <c r="A275" s="2"/>
      <c r="B275" s="12"/>
      <c r="C275" s="1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4.25" hidden="false" customHeight="true" outlineLevel="0" collapsed="false">
      <c r="A276" s="2"/>
      <c r="B276" s="12"/>
      <c r="C276" s="1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4.25" hidden="false" customHeight="true" outlineLevel="0" collapsed="false">
      <c r="A277" s="2"/>
      <c r="B277" s="12"/>
      <c r="C277" s="1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4.25" hidden="false" customHeight="true" outlineLevel="0" collapsed="false">
      <c r="A278" s="2"/>
      <c r="B278" s="12"/>
      <c r="C278" s="1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4.25" hidden="false" customHeight="true" outlineLevel="0" collapsed="false">
      <c r="A279" s="2"/>
      <c r="B279" s="12"/>
      <c r="C279" s="1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4.25" hidden="false" customHeight="true" outlineLevel="0" collapsed="false">
      <c r="A280" s="2"/>
      <c r="B280" s="12"/>
      <c r="C280" s="1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4.25" hidden="false" customHeight="true" outlineLevel="0" collapsed="false">
      <c r="A281" s="2"/>
      <c r="B281" s="12"/>
      <c r="C281" s="1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4.25" hidden="false" customHeight="true" outlineLevel="0" collapsed="false">
      <c r="A282" s="2"/>
      <c r="B282" s="12"/>
      <c r="C282" s="1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4.25" hidden="false" customHeight="true" outlineLevel="0" collapsed="false">
      <c r="A283" s="2"/>
      <c r="B283" s="12"/>
      <c r="C283" s="1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4.25" hidden="false" customHeight="true" outlineLevel="0" collapsed="false">
      <c r="A284" s="2"/>
      <c r="B284" s="12"/>
      <c r="C284" s="1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4.25" hidden="false" customHeight="true" outlineLevel="0" collapsed="false">
      <c r="A285" s="2"/>
      <c r="B285" s="12"/>
      <c r="C285" s="1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4.25" hidden="false" customHeight="true" outlineLevel="0" collapsed="false">
      <c r="A286" s="2"/>
      <c r="B286" s="12"/>
      <c r="C286" s="1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4.25" hidden="false" customHeight="true" outlineLevel="0" collapsed="false">
      <c r="A287" s="2"/>
      <c r="B287" s="12"/>
      <c r="C287" s="1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4.25" hidden="false" customHeight="true" outlineLevel="0" collapsed="false">
      <c r="A288" s="2"/>
      <c r="B288" s="12"/>
      <c r="C288" s="1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4.25" hidden="false" customHeight="true" outlineLevel="0" collapsed="false">
      <c r="A289" s="2"/>
      <c r="B289" s="12"/>
      <c r="C289" s="1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4.25" hidden="false" customHeight="true" outlineLevel="0" collapsed="false">
      <c r="A290" s="2"/>
      <c r="B290" s="12"/>
      <c r="C290" s="1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4.25" hidden="false" customHeight="true" outlineLevel="0" collapsed="false">
      <c r="A291" s="2"/>
      <c r="B291" s="12"/>
      <c r="C291" s="1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4.25" hidden="false" customHeight="true" outlineLevel="0" collapsed="false">
      <c r="A292" s="2"/>
      <c r="B292" s="12"/>
      <c r="C292" s="1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4.25" hidden="false" customHeight="true" outlineLevel="0" collapsed="false">
      <c r="A293" s="2"/>
      <c r="B293" s="12"/>
      <c r="C293" s="1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4.25" hidden="false" customHeight="true" outlineLevel="0" collapsed="false">
      <c r="A294" s="2"/>
      <c r="B294" s="12"/>
      <c r="C294" s="1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4.25" hidden="false" customHeight="true" outlineLevel="0" collapsed="false">
      <c r="A295" s="2"/>
      <c r="B295" s="12"/>
      <c r="C295" s="1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4.25" hidden="false" customHeight="true" outlineLevel="0" collapsed="false">
      <c r="A296" s="2"/>
      <c r="B296" s="12"/>
      <c r="C296" s="1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4.25" hidden="false" customHeight="true" outlineLevel="0" collapsed="false">
      <c r="A297" s="2"/>
      <c r="B297" s="12"/>
      <c r="C297" s="1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4.25" hidden="false" customHeight="true" outlineLevel="0" collapsed="false">
      <c r="A298" s="2"/>
      <c r="B298" s="12"/>
      <c r="C298" s="1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4.25" hidden="false" customHeight="true" outlineLevel="0" collapsed="false">
      <c r="A299" s="2"/>
      <c r="B299" s="12"/>
      <c r="C299" s="1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4.25" hidden="false" customHeight="true" outlineLevel="0" collapsed="false">
      <c r="A300" s="2"/>
      <c r="B300" s="12"/>
      <c r="C300" s="1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4.25" hidden="false" customHeight="true" outlineLevel="0" collapsed="false">
      <c r="A301" s="2"/>
      <c r="B301" s="12"/>
      <c r="C301" s="1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4.25" hidden="false" customHeight="true" outlineLevel="0" collapsed="false">
      <c r="A302" s="2"/>
      <c r="B302" s="12"/>
      <c r="C302" s="1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4.25" hidden="false" customHeight="true" outlineLevel="0" collapsed="false">
      <c r="A303" s="2"/>
      <c r="B303" s="12"/>
      <c r="C303" s="1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4.25" hidden="false" customHeight="true" outlineLevel="0" collapsed="false">
      <c r="A304" s="2"/>
      <c r="B304" s="12"/>
      <c r="C304" s="1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4.25" hidden="false" customHeight="true" outlineLevel="0" collapsed="false">
      <c r="A305" s="2"/>
      <c r="B305" s="12"/>
      <c r="C305" s="1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4.25" hidden="false" customHeight="true" outlineLevel="0" collapsed="false">
      <c r="A306" s="2"/>
      <c r="B306" s="12"/>
      <c r="C306" s="1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4.25" hidden="false" customHeight="true" outlineLevel="0" collapsed="false">
      <c r="A307" s="2"/>
      <c r="B307" s="12"/>
      <c r="C307" s="1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4.25" hidden="false" customHeight="true" outlineLevel="0" collapsed="false">
      <c r="A308" s="2"/>
      <c r="B308" s="12"/>
      <c r="C308" s="1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4.25" hidden="false" customHeight="true" outlineLevel="0" collapsed="false">
      <c r="A309" s="2"/>
      <c r="B309" s="12"/>
      <c r="C309" s="1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4.25" hidden="false" customHeight="true" outlineLevel="0" collapsed="false">
      <c r="A310" s="2"/>
      <c r="B310" s="12"/>
      <c r="C310" s="1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4.25" hidden="false" customHeight="true" outlineLevel="0" collapsed="false">
      <c r="A311" s="2"/>
      <c r="B311" s="12"/>
      <c r="C311" s="1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4.25" hidden="false" customHeight="true" outlineLevel="0" collapsed="false">
      <c r="A312" s="2"/>
      <c r="B312" s="12"/>
      <c r="C312" s="1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4.25" hidden="false" customHeight="true" outlineLevel="0" collapsed="false">
      <c r="A313" s="2"/>
      <c r="B313" s="12"/>
      <c r="C313" s="1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4.25" hidden="false" customHeight="true" outlineLevel="0" collapsed="false">
      <c r="A314" s="2"/>
      <c r="B314" s="12"/>
      <c r="C314" s="1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4.25" hidden="false" customHeight="true" outlineLevel="0" collapsed="false">
      <c r="A315" s="2"/>
      <c r="B315" s="12"/>
      <c r="C315" s="1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4.25" hidden="false" customHeight="true" outlineLevel="0" collapsed="false">
      <c r="A316" s="2"/>
      <c r="B316" s="12"/>
      <c r="C316" s="1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4.25" hidden="false" customHeight="true" outlineLevel="0" collapsed="false">
      <c r="A317" s="2"/>
      <c r="B317" s="12"/>
      <c r="C317" s="1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4.25" hidden="false" customHeight="true" outlineLevel="0" collapsed="false">
      <c r="A318" s="2"/>
      <c r="B318" s="12"/>
      <c r="C318" s="1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4.25" hidden="false" customHeight="true" outlineLevel="0" collapsed="false">
      <c r="A319" s="2"/>
      <c r="B319" s="12"/>
      <c r="C319" s="1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4.25" hidden="false" customHeight="true" outlineLevel="0" collapsed="false">
      <c r="A320" s="2"/>
      <c r="B320" s="12"/>
      <c r="C320" s="1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4.25" hidden="false" customHeight="true" outlineLevel="0" collapsed="false">
      <c r="A321" s="2"/>
      <c r="B321" s="12"/>
      <c r="C321" s="1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4.25" hidden="false" customHeight="true" outlineLevel="0" collapsed="false">
      <c r="A322" s="2"/>
      <c r="B322" s="12"/>
      <c r="C322" s="1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4.25" hidden="false" customHeight="true" outlineLevel="0" collapsed="false">
      <c r="A323" s="2"/>
      <c r="B323" s="12"/>
      <c r="C323" s="1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4.25" hidden="false" customHeight="true" outlineLevel="0" collapsed="false">
      <c r="A324" s="2"/>
      <c r="B324" s="12"/>
      <c r="C324" s="1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4.25" hidden="false" customHeight="true" outlineLevel="0" collapsed="false">
      <c r="A325" s="2"/>
      <c r="B325" s="12"/>
      <c r="C325" s="1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4.25" hidden="false" customHeight="true" outlineLevel="0" collapsed="false">
      <c r="A326" s="2"/>
      <c r="B326" s="12"/>
      <c r="C326" s="1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4.25" hidden="false" customHeight="true" outlineLevel="0" collapsed="false">
      <c r="A327" s="2"/>
      <c r="B327" s="12"/>
      <c r="C327" s="1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4.25" hidden="false" customHeight="true" outlineLevel="0" collapsed="false">
      <c r="A328" s="2"/>
      <c r="B328" s="12"/>
      <c r="C328" s="1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4.25" hidden="false" customHeight="true" outlineLevel="0" collapsed="false">
      <c r="A329" s="2"/>
      <c r="B329" s="12"/>
      <c r="C329" s="1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4.25" hidden="false" customHeight="true" outlineLevel="0" collapsed="false">
      <c r="A330" s="2"/>
      <c r="B330" s="12"/>
      <c r="C330" s="1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4.25" hidden="false" customHeight="true" outlineLevel="0" collapsed="false">
      <c r="A331" s="2"/>
      <c r="B331" s="12"/>
      <c r="C331" s="1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4.25" hidden="false" customHeight="true" outlineLevel="0" collapsed="false">
      <c r="A332" s="2"/>
      <c r="B332" s="12"/>
      <c r="C332" s="1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4.25" hidden="false" customHeight="true" outlineLevel="0" collapsed="false">
      <c r="A333" s="2"/>
      <c r="B333" s="12"/>
      <c r="C333" s="1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4.25" hidden="false" customHeight="true" outlineLevel="0" collapsed="false">
      <c r="A334" s="2"/>
      <c r="B334" s="12"/>
      <c r="C334" s="1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4.25" hidden="false" customHeight="true" outlineLevel="0" collapsed="false">
      <c r="A335" s="2"/>
      <c r="B335" s="12"/>
      <c r="C335" s="1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4.25" hidden="false" customHeight="true" outlineLevel="0" collapsed="false">
      <c r="A336" s="2"/>
      <c r="B336" s="12"/>
      <c r="C336" s="1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4.25" hidden="false" customHeight="true" outlineLevel="0" collapsed="false">
      <c r="A337" s="2"/>
      <c r="B337" s="12"/>
      <c r="C337" s="1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4.25" hidden="false" customHeight="true" outlineLevel="0" collapsed="false">
      <c r="A338" s="2"/>
      <c r="B338" s="12"/>
      <c r="C338" s="1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4.25" hidden="false" customHeight="true" outlineLevel="0" collapsed="false">
      <c r="A339" s="2"/>
      <c r="B339" s="12"/>
      <c r="C339" s="1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4.25" hidden="false" customHeight="true" outlineLevel="0" collapsed="false">
      <c r="A340" s="2"/>
      <c r="B340" s="12"/>
      <c r="C340" s="1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4.25" hidden="false" customHeight="true" outlineLevel="0" collapsed="false">
      <c r="A341" s="2"/>
      <c r="B341" s="12"/>
      <c r="C341" s="1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4.25" hidden="false" customHeight="true" outlineLevel="0" collapsed="false">
      <c r="A342" s="2"/>
      <c r="B342" s="12"/>
      <c r="C342" s="1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4.25" hidden="false" customHeight="true" outlineLevel="0" collapsed="false">
      <c r="A343" s="2"/>
      <c r="B343" s="12"/>
      <c r="C343" s="1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4.25" hidden="false" customHeight="true" outlineLevel="0" collapsed="false">
      <c r="A344" s="2"/>
      <c r="B344" s="12"/>
      <c r="C344" s="1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4.25" hidden="false" customHeight="true" outlineLevel="0" collapsed="false">
      <c r="A345" s="2"/>
      <c r="B345" s="12"/>
      <c r="C345" s="1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4.25" hidden="false" customHeight="true" outlineLevel="0" collapsed="false">
      <c r="A346" s="2"/>
      <c r="B346" s="12"/>
      <c r="C346" s="1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4.25" hidden="false" customHeight="true" outlineLevel="0" collapsed="false">
      <c r="A347" s="2"/>
      <c r="B347" s="12"/>
      <c r="C347" s="1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4.25" hidden="false" customHeight="true" outlineLevel="0" collapsed="false">
      <c r="A348" s="2"/>
      <c r="B348" s="12"/>
      <c r="C348" s="1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4.25" hidden="false" customHeight="true" outlineLevel="0" collapsed="false">
      <c r="A349" s="2"/>
      <c r="B349" s="12"/>
      <c r="C349" s="1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4.25" hidden="false" customHeight="true" outlineLevel="0" collapsed="false">
      <c r="A350" s="2"/>
      <c r="B350" s="12"/>
      <c r="C350" s="1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4.25" hidden="false" customHeight="true" outlineLevel="0" collapsed="false">
      <c r="A351" s="2"/>
      <c r="B351" s="12"/>
      <c r="C351" s="1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4.25" hidden="false" customHeight="true" outlineLevel="0" collapsed="false">
      <c r="A352" s="2"/>
      <c r="B352" s="12"/>
      <c r="C352" s="1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4.25" hidden="false" customHeight="true" outlineLevel="0" collapsed="false">
      <c r="A353" s="2"/>
      <c r="B353" s="12"/>
      <c r="C353" s="1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4.25" hidden="false" customHeight="true" outlineLevel="0" collapsed="false">
      <c r="A354" s="2"/>
      <c r="B354" s="12"/>
      <c r="C354" s="1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4.25" hidden="false" customHeight="true" outlineLevel="0" collapsed="false">
      <c r="A355" s="2"/>
      <c r="B355" s="12"/>
      <c r="C355" s="1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4.25" hidden="false" customHeight="true" outlineLevel="0" collapsed="false">
      <c r="A356" s="2"/>
      <c r="B356" s="12"/>
      <c r="C356" s="1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4.25" hidden="false" customHeight="true" outlineLevel="0" collapsed="false">
      <c r="A357" s="2"/>
      <c r="B357" s="12"/>
      <c r="C357" s="1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4.25" hidden="false" customHeight="true" outlineLevel="0" collapsed="false">
      <c r="A358" s="2"/>
      <c r="B358" s="12"/>
      <c r="C358" s="1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4.25" hidden="false" customHeight="true" outlineLevel="0" collapsed="false">
      <c r="A359" s="2"/>
      <c r="B359" s="12"/>
      <c r="C359" s="1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4.25" hidden="false" customHeight="true" outlineLevel="0" collapsed="false">
      <c r="A360" s="2"/>
      <c r="B360" s="12"/>
      <c r="C360" s="1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4.25" hidden="false" customHeight="true" outlineLevel="0" collapsed="false">
      <c r="A361" s="2"/>
      <c r="B361" s="12"/>
      <c r="C361" s="1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4.25" hidden="false" customHeight="true" outlineLevel="0" collapsed="false">
      <c r="A362" s="2"/>
      <c r="B362" s="12"/>
      <c r="C362" s="1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4.25" hidden="false" customHeight="true" outlineLevel="0" collapsed="false">
      <c r="A363" s="2"/>
      <c r="B363" s="12"/>
      <c r="C363" s="1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4.25" hidden="false" customHeight="true" outlineLevel="0" collapsed="false">
      <c r="A364" s="2"/>
      <c r="B364" s="12"/>
      <c r="C364" s="1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4.25" hidden="false" customHeight="true" outlineLevel="0" collapsed="false">
      <c r="A365" s="2"/>
      <c r="B365" s="12"/>
      <c r="C365" s="1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4.25" hidden="false" customHeight="true" outlineLevel="0" collapsed="false">
      <c r="A366" s="2"/>
      <c r="B366" s="12"/>
      <c r="C366" s="1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4.25" hidden="false" customHeight="true" outlineLevel="0" collapsed="false">
      <c r="A367" s="2"/>
      <c r="B367" s="12"/>
      <c r="C367" s="1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4.25" hidden="false" customHeight="true" outlineLevel="0" collapsed="false">
      <c r="A368" s="2"/>
      <c r="B368" s="12"/>
      <c r="C368" s="1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4.25" hidden="false" customHeight="true" outlineLevel="0" collapsed="false">
      <c r="A369" s="2"/>
      <c r="B369" s="12"/>
      <c r="C369" s="1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4.25" hidden="false" customHeight="true" outlineLevel="0" collapsed="false">
      <c r="A370" s="2"/>
      <c r="B370" s="12"/>
      <c r="C370" s="1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4.25" hidden="false" customHeight="true" outlineLevel="0" collapsed="false">
      <c r="A371" s="2"/>
      <c r="B371" s="12"/>
      <c r="C371" s="1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4.25" hidden="false" customHeight="true" outlineLevel="0" collapsed="false">
      <c r="A372" s="2"/>
      <c r="B372" s="12"/>
      <c r="C372" s="1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4.25" hidden="false" customHeight="true" outlineLevel="0" collapsed="false">
      <c r="A373" s="2"/>
      <c r="B373" s="12"/>
      <c r="C373" s="1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4.25" hidden="false" customHeight="true" outlineLevel="0" collapsed="false">
      <c r="A374" s="2"/>
      <c r="B374" s="12"/>
      <c r="C374" s="1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4.25" hidden="false" customHeight="true" outlineLevel="0" collapsed="false">
      <c r="A375" s="2"/>
      <c r="B375" s="12"/>
      <c r="C375" s="1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4.25" hidden="false" customHeight="true" outlineLevel="0" collapsed="false">
      <c r="A376" s="2"/>
      <c r="B376" s="12"/>
      <c r="C376" s="1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4.25" hidden="false" customHeight="true" outlineLevel="0" collapsed="false">
      <c r="A377" s="2"/>
      <c r="B377" s="12"/>
      <c r="C377" s="1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4.25" hidden="false" customHeight="true" outlineLevel="0" collapsed="false">
      <c r="A378" s="2"/>
      <c r="B378" s="12"/>
      <c r="C378" s="1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4.25" hidden="false" customHeight="true" outlineLevel="0" collapsed="false">
      <c r="A379" s="2"/>
      <c r="B379" s="12"/>
      <c r="C379" s="1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4.25" hidden="false" customHeight="true" outlineLevel="0" collapsed="false">
      <c r="A380" s="2"/>
      <c r="B380" s="12"/>
      <c r="C380" s="1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4.25" hidden="false" customHeight="true" outlineLevel="0" collapsed="false">
      <c r="A381" s="2"/>
      <c r="B381" s="12"/>
      <c r="C381" s="1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4.25" hidden="false" customHeight="true" outlineLevel="0" collapsed="false">
      <c r="A382" s="2"/>
      <c r="B382" s="12"/>
      <c r="C382" s="1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4.25" hidden="false" customHeight="true" outlineLevel="0" collapsed="false">
      <c r="A383" s="2"/>
      <c r="B383" s="12"/>
      <c r="C383" s="1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4.25" hidden="false" customHeight="true" outlineLevel="0" collapsed="false">
      <c r="A384" s="2"/>
      <c r="B384" s="12"/>
      <c r="C384" s="1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4.25" hidden="false" customHeight="true" outlineLevel="0" collapsed="false">
      <c r="A385" s="2"/>
      <c r="B385" s="12"/>
      <c r="C385" s="1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4.25" hidden="false" customHeight="true" outlineLevel="0" collapsed="false">
      <c r="A386" s="2"/>
      <c r="B386" s="12"/>
      <c r="C386" s="1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4.25" hidden="false" customHeight="true" outlineLevel="0" collapsed="false">
      <c r="A387" s="2"/>
      <c r="B387" s="12"/>
      <c r="C387" s="1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4.25" hidden="false" customHeight="true" outlineLevel="0" collapsed="false">
      <c r="A388" s="2"/>
      <c r="B388" s="12"/>
      <c r="C388" s="1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4.25" hidden="false" customHeight="true" outlineLevel="0" collapsed="false">
      <c r="A389" s="2"/>
      <c r="B389" s="12"/>
      <c r="C389" s="1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4.25" hidden="false" customHeight="true" outlineLevel="0" collapsed="false">
      <c r="A390" s="2"/>
      <c r="B390" s="12"/>
      <c r="C390" s="1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4.25" hidden="false" customHeight="true" outlineLevel="0" collapsed="false">
      <c r="A391" s="2"/>
      <c r="B391" s="12"/>
      <c r="C391" s="1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4.25" hidden="false" customHeight="true" outlineLevel="0" collapsed="false">
      <c r="A392" s="2"/>
      <c r="B392" s="12"/>
      <c r="C392" s="1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4.25" hidden="false" customHeight="true" outlineLevel="0" collapsed="false">
      <c r="A393" s="2"/>
      <c r="B393" s="12"/>
      <c r="C393" s="1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4.25" hidden="false" customHeight="true" outlineLevel="0" collapsed="false">
      <c r="A394" s="2"/>
      <c r="B394" s="12"/>
      <c r="C394" s="1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4.25" hidden="false" customHeight="true" outlineLevel="0" collapsed="false">
      <c r="A395" s="2"/>
      <c r="B395" s="12"/>
      <c r="C395" s="1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4.25" hidden="false" customHeight="true" outlineLevel="0" collapsed="false">
      <c r="A396" s="2"/>
      <c r="B396" s="12"/>
      <c r="C396" s="1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4.25" hidden="false" customHeight="true" outlineLevel="0" collapsed="false">
      <c r="A397" s="2"/>
      <c r="B397" s="12"/>
      <c r="C397" s="1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4.25" hidden="false" customHeight="true" outlineLevel="0" collapsed="false">
      <c r="A398" s="2"/>
      <c r="B398" s="12"/>
      <c r="C398" s="1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4.25" hidden="false" customHeight="true" outlineLevel="0" collapsed="false">
      <c r="A399" s="2"/>
      <c r="B399" s="12"/>
      <c r="C399" s="1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4.25" hidden="false" customHeight="true" outlineLevel="0" collapsed="false">
      <c r="A400" s="2"/>
      <c r="B400" s="12"/>
      <c r="C400" s="1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4.25" hidden="false" customHeight="true" outlineLevel="0" collapsed="false">
      <c r="A401" s="2"/>
      <c r="B401" s="12"/>
      <c r="C401" s="1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4.25" hidden="false" customHeight="true" outlineLevel="0" collapsed="false">
      <c r="A402" s="2"/>
      <c r="B402" s="12"/>
      <c r="C402" s="1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4.25" hidden="false" customHeight="true" outlineLevel="0" collapsed="false">
      <c r="A403" s="2"/>
      <c r="B403" s="12"/>
      <c r="C403" s="1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4.25" hidden="false" customHeight="true" outlineLevel="0" collapsed="false">
      <c r="A404" s="2"/>
      <c r="B404" s="12"/>
      <c r="C404" s="1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4.25" hidden="false" customHeight="true" outlineLevel="0" collapsed="false">
      <c r="A405" s="2"/>
      <c r="B405" s="12"/>
      <c r="C405" s="1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4.25" hidden="false" customHeight="true" outlineLevel="0" collapsed="false">
      <c r="A406" s="2"/>
      <c r="B406" s="12"/>
      <c r="C406" s="1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4.25" hidden="false" customHeight="true" outlineLevel="0" collapsed="false">
      <c r="A407" s="2"/>
      <c r="B407" s="12"/>
      <c r="C407" s="1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4.25" hidden="false" customHeight="true" outlineLevel="0" collapsed="false">
      <c r="A408" s="2"/>
      <c r="B408" s="12"/>
      <c r="C408" s="1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4.25" hidden="false" customHeight="true" outlineLevel="0" collapsed="false">
      <c r="A409" s="2"/>
      <c r="B409" s="12"/>
      <c r="C409" s="1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4.25" hidden="false" customHeight="true" outlineLevel="0" collapsed="false">
      <c r="A410" s="2"/>
      <c r="B410" s="12"/>
      <c r="C410" s="1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4.25" hidden="false" customHeight="true" outlineLevel="0" collapsed="false">
      <c r="A411" s="2"/>
      <c r="B411" s="12"/>
      <c r="C411" s="1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4.25" hidden="false" customHeight="true" outlineLevel="0" collapsed="false">
      <c r="A412" s="2"/>
      <c r="B412" s="12"/>
      <c r="C412" s="1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4.25" hidden="false" customHeight="true" outlineLevel="0" collapsed="false">
      <c r="A413" s="2"/>
      <c r="B413" s="12"/>
      <c r="C413" s="1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4.25" hidden="false" customHeight="true" outlineLevel="0" collapsed="false">
      <c r="A414" s="2"/>
      <c r="B414" s="12"/>
      <c r="C414" s="1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4.25" hidden="false" customHeight="true" outlineLevel="0" collapsed="false">
      <c r="A415" s="2"/>
      <c r="B415" s="12"/>
      <c r="C415" s="1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4.25" hidden="false" customHeight="true" outlineLevel="0" collapsed="false">
      <c r="A416" s="2"/>
      <c r="B416" s="12"/>
      <c r="C416" s="1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4.25" hidden="false" customHeight="true" outlineLevel="0" collapsed="false">
      <c r="A417" s="2"/>
      <c r="B417" s="12"/>
      <c r="C417" s="1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4.25" hidden="false" customHeight="true" outlineLevel="0" collapsed="false">
      <c r="A418" s="2"/>
      <c r="B418" s="12"/>
      <c r="C418" s="1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4.25" hidden="false" customHeight="true" outlineLevel="0" collapsed="false">
      <c r="A419" s="2"/>
      <c r="B419" s="12"/>
      <c r="C419" s="1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4.25" hidden="false" customHeight="true" outlineLevel="0" collapsed="false">
      <c r="A420" s="2"/>
      <c r="B420" s="12"/>
      <c r="C420" s="1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4.25" hidden="false" customHeight="true" outlineLevel="0" collapsed="false">
      <c r="A421" s="2"/>
      <c r="B421" s="12"/>
      <c r="C421" s="1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4.25" hidden="false" customHeight="true" outlineLevel="0" collapsed="false">
      <c r="A422" s="2"/>
      <c r="B422" s="12"/>
      <c r="C422" s="1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4.25" hidden="false" customHeight="true" outlineLevel="0" collapsed="false">
      <c r="A423" s="2"/>
      <c r="B423" s="12"/>
      <c r="C423" s="1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4.25" hidden="false" customHeight="true" outlineLevel="0" collapsed="false">
      <c r="A424" s="2"/>
      <c r="B424" s="12"/>
      <c r="C424" s="1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4.25" hidden="false" customHeight="true" outlineLevel="0" collapsed="false">
      <c r="A425" s="2"/>
      <c r="B425" s="12"/>
      <c r="C425" s="1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4.25" hidden="false" customHeight="true" outlineLevel="0" collapsed="false">
      <c r="A426" s="2"/>
      <c r="B426" s="12"/>
      <c r="C426" s="1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4.25" hidden="false" customHeight="true" outlineLevel="0" collapsed="false">
      <c r="A427" s="2"/>
      <c r="B427" s="12"/>
      <c r="C427" s="1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4.25" hidden="false" customHeight="true" outlineLevel="0" collapsed="false">
      <c r="A428" s="2"/>
      <c r="B428" s="12"/>
      <c r="C428" s="1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4.25" hidden="false" customHeight="true" outlineLevel="0" collapsed="false">
      <c r="A429" s="2"/>
      <c r="B429" s="12"/>
      <c r="C429" s="1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4.25" hidden="false" customHeight="true" outlineLevel="0" collapsed="false">
      <c r="A430" s="2"/>
      <c r="B430" s="12"/>
      <c r="C430" s="1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4.25" hidden="false" customHeight="true" outlineLevel="0" collapsed="false">
      <c r="A431" s="2"/>
      <c r="B431" s="12"/>
      <c r="C431" s="1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4.25" hidden="false" customHeight="true" outlineLevel="0" collapsed="false">
      <c r="A432" s="2"/>
      <c r="B432" s="12"/>
      <c r="C432" s="1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4.25" hidden="false" customHeight="true" outlineLevel="0" collapsed="false">
      <c r="A433" s="2"/>
      <c r="B433" s="12"/>
      <c r="C433" s="1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4.25" hidden="false" customHeight="true" outlineLevel="0" collapsed="false">
      <c r="A434" s="2"/>
      <c r="B434" s="12"/>
      <c r="C434" s="1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4.25" hidden="false" customHeight="true" outlineLevel="0" collapsed="false">
      <c r="A435" s="2"/>
      <c r="B435" s="12"/>
      <c r="C435" s="1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4.25" hidden="false" customHeight="true" outlineLevel="0" collapsed="false">
      <c r="A436" s="2"/>
      <c r="B436" s="12"/>
      <c r="C436" s="1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4.25" hidden="false" customHeight="true" outlineLevel="0" collapsed="false">
      <c r="A437" s="2"/>
      <c r="B437" s="12"/>
      <c r="C437" s="1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4.25" hidden="false" customHeight="true" outlineLevel="0" collapsed="false">
      <c r="A438" s="2"/>
      <c r="B438" s="12"/>
      <c r="C438" s="1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4.25" hidden="false" customHeight="true" outlineLevel="0" collapsed="false">
      <c r="A439" s="2"/>
      <c r="B439" s="12"/>
      <c r="C439" s="1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4.25" hidden="false" customHeight="true" outlineLevel="0" collapsed="false">
      <c r="A440" s="2"/>
      <c r="B440" s="12"/>
      <c r="C440" s="1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4.25" hidden="false" customHeight="true" outlineLevel="0" collapsed="false">
      <c r="A441" s="2"/>
      <c r="B441" s="12"/>
      <c r="C441" s="1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4.25" hidden="false" customHeight="true" outlineLevel="0" collapsed="false">
      <c r="A442" s="2"/>
      <c r="B442" s="12"/>
      <c r="C442" s="1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4.25" hidden="false" customHeight="true" outlineLevel="0" collapsed="false">
      <c r="A443" s="2"/>
      <c r="B443" s="12"/>
      <c r="C443" s="1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4.25" hidden="false" customHeight="true" outlineLevel="0" collapsed="false">
      <c r="A444" s="2"/>
      <c r="B444" s="12"/>
      <c r="C444" s="1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4.25" hidden="false" customHeight="true" outlineLevel="0" collapsed="false">
      <c r="A445" s="2"/>
      <c r="B445" s="12"/>
      <c r="C445" s="1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4.25" hidden="false" customHeight="true" outlineLevel="0" collapsed="false">
      <c r="A446" s="2"/>
      <c r="B446" s="12"/>
      <c r="C446" s="1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4.25" hidden="false" customHeight="true" outlineLevel="0" collapsed="false">
      <c r="A447" s="2"/>
      <c r="B447" s="12"/>
      <c r="C447" s="1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4.25" hidden="false" customHeight="true" outlineLevel="0" collapsed="false">
      <c r="A448" s="2"/>
      <c r="B448" s="12"/>
      <c r="C448" s="1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4.25" hidden="false" customHeight="true" outlineLevel="0" collapsed="false">
      <c r="A449" s="2"/>
      <c r="B449" s="12"/>
      <c r="C449" s="1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4.25" hidden="false" customHeight="true" outlineLevel="0" collapsed="false">
      <c r="A450" s="2"/>
      <c r="B450" s="12"/>
      <c r="C450" s="1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4.25" hidden="false" customHeight="true" outlineLevel="0" collapsed="false">
      <c r="A451" s="2"/>
      <c r="B451" s="12"/>
      <c r="C451" s="1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4.25" hidden="false" customHeight="true" outlineLevel="0" collapsed="false">
      <c r="A452" s="2"/>
      <c r="B452" s="12"/>
      <c r="C452" s="1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4.25" hidden="false" customHeight="true" outlineLevel="0" collapsed="false">
      <c r="A453" s="2"/>
      <c r="B453" s="12"/>
      <c r="C453" s="1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4.25" hidden="false" customHeight="true" outlineLevel="0" collapsed="false">
      <c r="A454" s="2"/>
      <c r="B454" s="12"/>
      <c r="C454" s="1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4.25" hidden="false" customHeight="true" outlineLevel="0" collapsed="false">
      <c r="A455" s="2"/>
      <c r="B455" s="12"/>
      <c r="C455" s="1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4.25" hidden="false" customHeight="true" outlineLevel="0" collapsed="false">
      <c r="A456" s="2"/>
      <c r="B456" s="12"/>
      <c r="C456" s="1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4.25" hidden="false" customHeight="true" outlineLevel="0" collapsed="false">
      <c r="A457" s="2"/>
      <c r="B457" s="12"/>
      <c r="C457" s="1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4.25" hidden="false" customHeight="true" outlineLevel="0" collapsed="false">
      <c r="A458" s="2"/>
      <c r="B458" s="12"/>
      <c r="C458" s="1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4.25" hidden="false" customHeight="true" outlineLevel="0" collapsed="false">
      <c r="A459" s="2"/>
      <c r="B459" s="12"/>
      <c r="C459" s="1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4.25" hidden="false" customHeight="true" outlineLevel="0" collapsed="false">
      <c r="A460" s="2"/>
      <c r="B460" s="12"/>
      <c r="C460" s="1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4.25" hidden="false" customHeight="true" outlineLevel="0" collapsed="false">
      <c r="A461" s="2"/>
      <c r="B461" s="12"/>
      <c r="C461" s="1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4.25" hidden="false" customHeight="true" outlineLevel="0" collapsed="false">
      <c r="A462" s="2"/>
      <c r="B462" s="12"/>
      <c r="C462" s="1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4.25" hidden="false" customHeight="true" outlineLevel="0" collapsed="false">
      <c r="A463" s="2"/>
      <c r="B463" s="12"/>
      <c r="C463" s="1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4.25" hidden="false" customHeight="true" outlineLevel="0" collapsed="false">
      <c r="A464" s="2"/>
      <c r="B464" s="12"/>
      <c r="C464" s="1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4.25" hidden="false" customHeight="true" outlineLevel="0" collapsed="false">
      <c r="A465" s="2"/>
      <c r="B465" s="12"/>
      <c r="C465" s="1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4.25" hidden="false" customHeight="true" outlineLevel="0" collapsed="false">
      <c r="A466" s="2"/>
      <c r="B466" s="12"/>
      <c r="C466" s="1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4.25" hidden="false" customHeight="true" outlineLevel="0" collapsed="false">
      <c r="A467" s="2"/>
      <c r="B467" s="12"/>
      <c r="C467" s="1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4.25" hidden="false" customHeight="true" outlineLevel="0" collapsed="false">
      <c r="A468" s="2"/>
      <c r="B468" s="12"/>
      <c r="C468" s="1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4.25" hidden="false" customHeight="true" outlineLevel="0" collapsed="false">
      <c r="A469" s="2"/>
      <c r="B469" s="12"/>
      <c r="C469" s="1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4.25" hidden="false" customHeight="true" outlineLevel="0" collapsed="false">
      <c r="A470" s="2"/>
      <c r="B470" s="12"/>
      <c r="C470" s="1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4.25" hidden="false" customHeight="true" outlineLevel="0" collapsed="false">
      <c r="A471" s="2"/>
      <c r="B471" s="12"/>
      <c r="C471" s="1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4.25" hidden="false" customHeight="true" outlineLevel="0" collapsed="false">
      <c r="A472" s="2"/>
      <c r="B472" s="12"/>
      <c r="C472" s="1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4.25" hidden="false" customHeight="true" outlineLevel="0" collapsed="false">
      <c r="A473" s="2"/>
      <c r="B473" s="12"/>
      <c r="C473" s="1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4.25" hidden="false" customHeight="true" outlineLevel="0" collapsed="false">
      <c r="A474" s="2"/>
      <c r="B474" s="12"/>
      <c r="C474" s="1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4.25" hidden="false" customHeight="true" outlineLevel="0" collapsed="false">
      <c r="A475" s="2"/>
      <c r="B475" s="12"/>
      <c r="C475" s="1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4.25" hidden="false" customHeight="true" outlineLevel="0" collapsed="false">
      <c r="A476" s="2"/>
      <c r="B476" s="12"/>
      <c r="C476" s="1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4.25" hidden="false" customHeight="true" outlineLevel="0" collapsed="false">
      <c r="A477" s="2"/>
      <c r="B477" s="12"/>
      <c r="C477" s="1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4.25" hidden="false" customHeight="true" outlineLevel="0" collapsed="false">
      <c r="A478" s="2"/>
      <c r="B478" s="12"/>
      <c r="C478" s="1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4.25" hidden="false" customHeight="true" outlineLevel="0" collapsed="false">
      <c r="A479" s="2"/>
      <c r="B479" s="12"/>
      <c r="C479" s="1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4.25" hidden="false" customHeight="true" outlineLevel="0" collapsed="false">
      <c r="A480" s="2"/>
      <c r="B480" s="12"/>
      <c r="C480" s="1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4.25" hidden="false" customHeight="true" outlineLevel="0" collapsed="false">
      <c r="A481" s="2"/>
      <c r="B481" s="12"/>
      <c r="C481" s="1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4.25" hidden="false" customHeight="true" outlineLevel="0" collapsed="false">
      <c r="A482" s="2"/>
      <c r="B482" s="12"/>
      <c r="C482" s="1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4.25" hidden="false" customHeight="true" outlineLevel="0" collapsed="false">
      <c r="A483" s="2"/>
      <c r="B483" s="12"/>
      <c r="C483" s="1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4.25" hidden="false" customHeight="true" outlineLevel="0" collapsed="false">
      <c r="A484" s="2"/>
      <c r="B484" s="12"/>
      <c r="C484" s="1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4.25" hidden="false" customHeight="true" outlineLevel="0" collapsed="false">
      <c r="A485" s="2"/>
      <c r="B485" s="12"/>
      <c r="C485" s="1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4.25" hidden="false" customHeight="true" outlineLevel="0" collapsed="false">
      <c r="A486" s="2"/>
      <c r="B486" s="12"/>
      <c r="C486" s="1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4.25" hidden="false" customHeight="true" outlineLevel="0" collapsed="false">
      <c r="A487" s="2"/>
      <c r="B487" s="12"/>
      <c r="C487" s="1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4.25" hidden="false" customHeight="true" outlineLevel="0" collapsed="false">
      <c r="A488" s="2"/>
      <c r="B488" s="12"/>
      <c r="C488" s="1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4.25" hidden="false" customHeight="true" outlineLevel="0" collapsed="false">
      <c r="A489" s="2"/>
      <c r="B489" s="12"/>
      <c r="C489" s="1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4.25" hidden="false" customHeight="true" outlineLevel="0" collapsed="false">
      <c r="A490" s="2"/>
      <c r="B490" s="12"/>
      <c r="C490" s="1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4.25" hidden="false" customHeight="true" outlineLevel="0" collapsed="false">
      <c r="A491" s="2"/>
      <c r="B491" s="12"/>
      <c r="C491" s="1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4.25" hidden="false" customHeight="true" outlineLevel="0" collapsed="false">
      <c r="A492" s="2"/>
      <c r="B492" s="12"/>
      <c r="C492" s="1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4.25" hidden="false" customHeight="true" outlineLevel="0" collapsed="false">
      <c r="A493" s="2"/>
      <c r="B493" s="12"/>
      <c r="C493" s="1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4.25" hidden="false" customHeight="true" outlineLevel="0" collapsed="false">
      <c r="A494" s="2"/>
      <c r="B494" s="12"/>
      <c r="C494" s="1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4.25" hidden="false" customHeight="true" outlineLevel="0" collapsed="false">
      <c r="A495" s="2"/>
      <c r="B495" s="12"/>
      <c r="C495" s="1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4.25" hidden="false" customHeight="true" outlineLevel="0" collapsed="false">
      <c r="A496" s="2"/>
      <c r="B496" s="12"/>
      <c r="C496" s="1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4.25" hidden="false" customHeight="true" outlineLevel="0" collapsed="false">
      <c r="A497" s="2"/>
      <c r="B497" s="12"/>
      <c r="C497" s="1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4.25" hidden="false" customHeight="true" outlineLevel="0" collapsed="false">
      <c r="A498" s="2"/>
      <c r="B498" s="12"/>
      <c r="C498" s="1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4.25" hidden="false" customHeight="true" outlineLevel="0" collapsed="false">
      <c r="A499" s="2"/>
      <c r="B499" s="12"/>
      <c r="C499" s="1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4.25" hidden="false" customHeight="true" outlineLevel="0" collapsed="false">
      <c r="A500" s="2"/>
      <c r="B500" s="12"/>
      <c r="C500" s="1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4.25" hidden="false" customHeight="true" outlineLevel="0" collapsed="false">
      <c r="A501" s="2"/>
      <c r="B501" s="12"/>
      <c r="C501" s="1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4.25" hidden="false" customHeight="true" outlineLevel="0" collapsed="false">
      <c r="A502" s="2"/>
      <c r="B502" s="12"/>
      <c r="C502" s="1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4.25" hidden="false" customHeight="true" outlineLevel="0" collapsed="false">
      <c r="A503" s="2"/>
      <c r="B503" s="12"/>
      <c r="C503" s="1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4.25" hidden="false" customHeight="true" outlineLevel="0" collapsed="false">
      <c r="A504" s="2"/>
      <c r="B504" s="12"/>
      <c r="C504" s="1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4.25" hidden="false" customHeight="true" outlineLevel="0" collapsed="false">
      <c r="A505" s="2"/>
      <c r="B505" s="12"/>
      <c r="C505" s="1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4.25" hidden="false" customHeight="true" outlineLevel="0" collapsed="false">
      <c r="A506" s="2"/>
      <c r="B506" s="12"/>
      <c r="C506" s="1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4.25" hidden="false" customHeight="true" outlineLevel="0" collapsed="false">
      <c r="A507" s="2"/>
      <c r="B507" s="12"/>
      <c r="C507" s="1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4.25" hidden="false" customHeight="true" outlineLevel="0" collapsed="false">
      <c r="A508" s="2"/>
      <c r="B508" s="12"/>
      <c r="C508" s="1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4.25" hidden="false" customHeight="true" outlineLevel="0" collapsed="false">
      <c r="A509" s="2"/>
      <c r="B509" s="12"/>
      <c r="C509" s="1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4.25" hidden="false" customHeight="true" outlineLevel="0" collapsed="false">
      <c r="A510" s="2"/>
      <c r="B510" s="12"/>
      <c r="C510" s="1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4.25" hidden="false" customHeight="true" outlineLevel="0" collapsed="false">
      <c r="A511" s="2"/>
      <c r="B511" s="12"/>
      <c r="C511" s="1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4.25" hidden="false" customHeight="true" outlineLevel="0" collapsed="false">
      <c r="A512" s="2"/>
      <c r="B512" s="12"/>
      <c r="C512" s="1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4.25" hidden="false" customHeight="true" outlineLevel="0" collapsed="false">
      <c r="A513" s="2"/>
      <c r="B513" s="12"/>
      <c r="C513" s="1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4.25" hidden="false" customHeight="true" outlineLevel="0" collapsed="false">
      <c r="A514" s="2"/>
      <c r="B514" s="12"/>
      <c r="C514" s="1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4.25" hidden="false" customHeight="true" outlineLevel="0" collapsed="false">
      <c r="A515" s="2"/>
      <c r="B515" s="12"/>
      <c r="C515" s="1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4.25" hidden="false" customHeight="true" outlineLevel="0" collapsed="false">
      <c r="A516" s="2"/>
      <c r="B516" s="12"/>
      <c r="C516" s="1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4.25" hidden="false" customHeight="true" outlineLevel="0" collapsed="false">
      <c r="A517" s="2"/>
      <c r="B517" s="12"/>
      <c r="C517" s="1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4.25" hidden="false" customHeight="true" outlineLevel="0" collapsed="false">
      <c r="A518" s="2"/>
      <c r="B518" s="12"/>
      <c r="C518" s="1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4.25" hidden="false" customHeight="true" outlineLevel="0" collapsed="false">
      <c r="A519" s="2"/>
      <c r="B519" s="12"/>
      <c r="C519" s="1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4.25" hidden="false" customHeight="true" outlineLevel="0" collapsed="false">
      <c r="A520" s="2"/>
      <c r="B520" s="12"/>
      <c r="C520" s="1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4.25" hidden="false" customHeight="true" outlineLevel="0" collapsed="false">
      <c r="A521" s="2"/>
      <c r="B521" s="12"/>
      <c r="C521" s="1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4.25" hidden="false" customHeight="true" outlineLevel="0" collapsed="false">
      <c r="A522" s="2"/>
      <c r="B522" s="12"/>
      <c r="C522" s="1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4.25" hidden="false" customHeight="true" outlineLevel="0" collapsed="false">
      <c r="A523" s="2"/>
      <c r="B523" s="12"/>
      <c r="C523" s="1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4.25" hidden="false" customHeight="true" outlineLevel="0" collapsed="false">
      <c r="A524" s="2"/>
      <c r="B524" s="12"/>
      <c r="C524" s="1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4.25" hidden="false" customHeight="true" outlineLevel="0" collapsed="false">
      <c r="A525" s="2"/>
      <c r="B525" s="12"/>
      <c r="C525" s="1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4.25" hidden="false" customHeight="true" outlineLevel="0" collapsed="false">
      <c r="A526" s="2"/>
      <c r="B526" s="12"/>
      <c r="C526" s="1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4.25" hidden="false" customHeight="true" outlineLevel="0" collapsed="false">
      <c r="A527" s="2"/>
      <c r="B527" s="12"/>
      <c r="C527" s="1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4.25" hidden="false" customHeight="true" outlineLevel="0" collapsed="false">
      <c r="A528" s="2"/>
      <c r="B528" s="12"/>
      <c r="C528" s="1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4.25" hidden="false" customHeight="true" outlineLevel="0" collapsed="false">
      <c r="A529" s="2"/>
      <c r="B529" s="12"/>
      <c r="C529" s="1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4.25" hidden="false" customHeight="true" outlineLevel="0" collapsed="false">
      <c r="A530" s="2"/>
      <c r="B530" s="12"/>
      <c r="C530" s="1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4.25" hidden="false" customHeight="true" outlineLevel="0" collapsed="false">
      <c r="A531" s="2"/>
      <c r="B531" s="12"/>
      <c r="C531" s="1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4.25" hidden="false" customHeight="true" outlineLevel="0" collapsed="false">
      <c r="A532" s="2"/>
      <c r="B532" s="12"/>
      <c r="C532" s="1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4.25" hidden="false" customHeight="true" outlineLevel="0" collapsed="false">
      <c r="A533" s="2"/>
      <c r="B533" s="12"/>
      <c r="C533" s="1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4.25" hidden="false" customHeight="true" outlineLevel="0" collapsed="false">
      <c r="A534" s="2"/>
      <c r="B534" s="12"/>
      <c r="C534" s="1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4.25" hidden="false" customHeight="true" outlineLevel="0" collapsed="false">
      <c r="A535" s="2"/>
      <c r="B535" s="12"/>
      <c r="C535" s="1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4.25" hidden="false" customHeight="true" outlineLevel="0" collapsed="false">
      <c r="A536" s="2"/>
      <c r="B536" s="12"/>
      <c r="C536" s="1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4.25" hidden="false" customHeight="true" outlineLevel="0" collapsed="false">
      <c r="A537" s="2"/>
      <c r="B537" s="12"/>
      <c r="C537" s="1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4.25" hidden="false" customHeight="true" outlineLevel="0" collapsed="false">
      <c r="A538" s="2"/>
      <c r="B538" s="12"/>
      <c r="C538" s="1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4.25" hidden="false" customHeight="true" outlineLevel="0" collapsed="false">
      <c r="A539" s="2"/>
      <c r="B539" s="12"/>
      <c r="C539" s="1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4.25" hidden="false" customHeight="true" outlineLevel="0" collapsed="false">
      <c r="A540" s="2"/>
      <c r="B540" s="12"/>
      <c r="C540" s="1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4.25" hidden="false" customHeight="true" outlineLevel="0" collapsed="false">
      <c r="A541" s="2"/>
      <c r="B541" s="12"/>
      <c r="C541" s="1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4.25" hidden="false" customHeight="true" outlineLevel="0" collapsed="false">
      <c r="A542" s="2"/>
      <c r="B542" s="12"/>
      <c r="C542" s="1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4.25" hidden="false" customHeight="true" outlineLevel="0" collapsed="false">
      <c r="A543" s="2"/>
      <c r="B543" s="12"/>
      <c r="C543" s="1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4.25" hidden="false" customHeight="true" outlineLevel="0" collapsed="false">
      <c r="A544" s="2"/>
      <c r="B544" s="12"/>
      <c r="C544" s="1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4.25" hidden="false" customHeight="true" outlineLevel="0" collapsed="false">
      <c r="A545" s="2"/>
      <c r="B545" s="12"/>
      <c r="C545" s="1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4.25" hidden="false" customHeight="true" outlineLevel="0" collapsed="false">
      <c r="A546" s="2"/>
      <c r="B546" s="12"/>
      <c r="C546" s="1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4.25" hidden="false" customHeight="true" outlineLevel="0" collapsed="false">
      <c r="A547" s="2"/>
      <c r="B547" s="12"/>
      <c r="C547" s="1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4.25" hidden="false" customHeight="true" outlineLevel="0" collapsed="false">
      <c r="A548" s="2"/>
      <c r="B548" s="12"/>
      <c r="C548" s="1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4.25" hidden="false" customHeight="true" outlineLevel="0" collapsed="false">
      <c r="A549" s="2"/>
      <c r="B549" s="12"/>
      <c r="C549" s="1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4.25" hidden="false" customHeight="true" outlineLevel="0" collapsed="false">
      <c r="A550" s="2"/>
      <c r="B550" s="12"/>
      <c r="C550" s="1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4.25" hidden="false" customHeight="true" outlineLevel="0" collapsed="false">
      <c r="A551" s="2"/>
      <c r="B551" s="12"/>
      <c r="C551" s="1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4.25" hidden="false" customHeight="true" outlineLevel="0" collapsed="false">
      <c r="A552" s="2"/>
      <c r="B552" s="12"/>
      <c r="C552" s="1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4.25" hidden="false" customHeight="true" outlineLevel="0" collapsed="false">
      <c r="A553" s="2"/>
      <c r="B553" s="12"/>
      <c r="C553" s="1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4.25" hidden="false" customHeight="true" outlineLevel="0" collapsed="false">
      <c r="A554" s="2"/>
      <c r="B554" s="12"/>
      <c r="C554" s="1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4.25" hidden="false" customHeight="true" outlineLevel="0" collapsed="false">
      <c r="A555" s="2"/>
      <c r="B555" s="12"/>
      <c r="C555" s="1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4.25" hidden="false" customHeight="true" outlineLevel="0" collapsed="false">
      <c r="A556" s="2"/>
      <c r="B556" s="12"/>
      <c r="C556" s="1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4.25" hidden="false" customHeight="true" outlineLevel="0" collapsed="false">
      <c r="A557" s="2"/>
      <c r="B557" s="12"/>
      <c r="C557" s="1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4.25" hidden="false" customHeight="true" outlineLevel="0" collapsed="false">
      <c r="A558" s="2"/>
      <c r="B558" s="12"/>
      <c r="C558" s="1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4.25" hidden="false" customHeight="true" outlineLevel="0" collapsed="false">
      <c r="A559" s="2"/>
      <c r="B559" s="12"/>
      <c r="C559" s="1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4.25" hidden="false" customHeight="true" outlineLevel="0" collapsed="false">
      <c r="A560" s="2"/>
      <c r="B560" s="12"/>
      <c r="C560" s="1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4.25" hidden="false" customHeight="true" outlineLevel="0" collapsed="false">
      <c r="A561" s="2"/>
      <c r="B561" s="12"/>
      <c r="C561" s="1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4.25" hidden="false" customHeight="true" outlineLevel="0" collapsed="false">
      <c r="A562" s="2"/>
      <c r="B562" s="12"/>
      <c r="C562" s="1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4.25" hidden="false" customHeight="true" outlineLevel="0" collapsed="false">
      <c r="A563" s="2"/>
      <c r="B563" s="12"/>
      <c r="C563" s="1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4.25" hidden="false" customHeight="true" outlineLevel="0" collapsed="false">
      <c r="A564" s="2"/>
      <c r="B564" s="12"/>
      <c r="C564" s="1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4.25" hidden="false" customHeight="true" outlineLevel="0" collapsed="false">
      <c r="A565" s="2"/>
      <c r="B565" s="12"/>
      <c r="C565" s="1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4.25" hidden="false" customHeight="true" outlineLevel="0" collapsed="false">
      <c r="A566" s="2"/>
      <c r="B566" s="12"/>
      <c r="C566" s="1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4.25" hidden="false" customHeight="true" outlineLevel="0" collapsed="false">
      <c r="A567" s="2"/>
      <c r="B567" s="12"/>
      <c r="C567" s="1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4.25" hidden="false" customHeight="true" outlineLevel="0" collapsed="false">
      <c r="A568" s="2"/>
      <c r="B568" s="12"/>
      <c r="C568" s="1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4.25" hidden="false" customHeight="true" outlineLevel="0" collapsed="false">
      <c r="A569" s="2"/>
      <c r="B569" s="12"/>
      <c r="C569" s="1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4.25" hidden="false" customHeight="true" outlineLevel="0" collapsed="false">
      <c r="A570" s="2"/>
      <c r="B570" s="12"/>
      <c r="C570" s="1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4.25" hidden="false" customHeight="true" outlineLevel="0" collapsed="false">
      <c r="A571" s="2"/>
      <c r="B571" s="12"/>
      <c r="C571" s="1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4.25" hidden="false" customHeight="true" outlineLevel="0" collapsed="false">
      <c r="A572" s="2"/>
      <c r="B572" s="12"/>
      <c r="C572" s="1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4.25" hidden="false" customHeight="true" outlineLevel="0" collapsed="false">
      <c r="A573" s="2"/>
      <c r="B573" s="12"/>
      <c r="C573" s="1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4.25" hidden="false" customHeight="true" outlineLevel="0" collapsed="false">
      <c r="A574" s="2"/>
      <c r="B574" s="12"/>
      <c r="C574" s="1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4.25" hidden="false" customHeight="true" outlineLevel="0" collapsed="false">
      <c r="A575" s="2"/>
      <c r="B575" s="12"/>
      <c r="C575" s="1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4.25" hidden="false" customHeight="true" outlineLevel="0" collapsed="false">
      <c r="A576" s="2"/>
      <c r="B576" s="12"/>
      <c r="C576" s="1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4.25" hidden="false" customHeight="true" outlineLevel="0" collapsed="false">
      <c r="A577" s="2"/>
      <c r="B577" s="12"/>
      <c r="C577" s="1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4.25" hidden="false" customHeight="true" outlineLevel="0" collapsed="false">
      <c r="A578" s="2"/>
      <c r="B578" s="12"/>
      <c r="C578" s="1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4.25" hidden="false" customHeight="true" outlineLevel="0" collapsed="false">
      <c r="A579" s="2"/>
      <c r="B579" s="12"/>
      <c r="C579" s="1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4.25" hidden="false" customHeight="true" outlineLevel="0" collapsed="false">
      <c r="A580" s="2"/>
      <c r="B580" s="12"/>
      <c r="C580" s="1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4.25" hidden="false" customHeight="true" outlineLevel="0" collapsed="false">
      <c r="A581" s="2"/>
      <c r="B581" s="12"/>
      <c r="C581" s="1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4.25" hidden="false" customHeight="true" outlineLevel="0" collapsed="false">
      <c r="A582" s="2"/>
      <c r="B582" s="12"/>
      <c r="C582" s="1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4.25" hidden="false" customHeight="true" outlineLevel="0" collapsed="false">
      <c r="A583" s="2"/>
      <c r="B583" s="12"/>
      <c r="C583" s="1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4.25" hidden="false" customHeight="true" outlineLevel="0" collapsed="false">
      <c r="A584" s="2"/>
      <c r="B584" s="12"/>
      <c r="C584" s="1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4.25" hidden="false" customHeight="true" outlineLevel="0" collapsed="false">
      <c r="A585" s="2"/>
      <c r="B585" s="12"/>
      <c r="C585" s="1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4.25" hidden="false" customHeight="true" outlineLevel="0" collapsed="false">
      <c r="A586" s="2"/>
      <c r="B586" s="12"/>
      <c r="C586" s="1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4.25" hidden="false" customHeight="true" outlineLevel="0" collapsed="false">
      <c r="A587" s="2"/>
      <c r="B587" s="12"/>
      <c r="C587" s="1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4.25" hidden="false" customHeight="true" outlineLevel="0" collapsed="false">
      <c r="A588" s="2"/>
      <c r="B588" s="12"/>
      <c r="C588" s="1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4.25" hidden="false" customHeight="true" outlineLevel="0" collapsed="false">
      <c r="A589" s="2"/>
      <c r="B589" s="12"/>
      <c r="C589" s="1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4.25" hidden="false" customHeight="true" outlineLevel="0" collapsed="false">
      <c r="A590" s="2"/>
      <c r="B590" s="12"/>
      <c r="C590" s="1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4.25" hidden="false" customHeight="true" outlineLevel="0" collapsed="false">
      <c r="A591" s="2"/>
      <c r="B591" s="12"/>
      <c r="C591" s="1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4.25" hidden="false" customHeight="true" outlineLevel="0" collapsed="false">
      <c r="A592" s="2"/>
      <c r="B592" s="12"/>
      <c r="C592" s="1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4.25" hidden="false" customHeight="true" outlineLevel="0" collapsed="false">
      <c r="A593" s="2"/>
      <c r="B593" s="12"/>
      <c r="C593" s="1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4.25" hidden="false" customHeight="true" outlineLevel="0" collapsed="false">
      <c r="A594" s="2"/>
      <c r="B594" s="12"/>
      <c r="C594" s="1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4.25" hidden="false" customHeight="true" outlineLevel="0" collapsed="false">
      <c r="A595" s="2"/>
      <c r="B595" s="12"/>
      <c r="C595" s="1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4.25" hidden="false" customHeight="true" outlineLevel="0" collapsed="false">
      <c r="A596" s="2"/>
      <c r="B596" s="12"/>
      <c r="C596" s="1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4.25" hidden="false" customHeight="true" outlineLevel="0" collapsed="false">
      <c r="A597" s="2"/>
      <c r="B597" s="12"/>
      <c r="C597" s="1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4.25" hidden="false" customHeight="true" outlineLevel="0" collapsed="false">
      <c r="A598" s="2"/>
      <c r="B598" s="12"/>
      <c r="C598" s="1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4.25" hidden="false" customHeight="true" outlineLevel="0" collapsed="false">
      <c r="A599" s="2"/>
      <c r="B599" s="12"/>
      <c r="C599" s="1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4.25" hidden="false" customHeight="true" outlineLevel="0" collapsed="false">
      <c r="A600" s="2"/>
      <c r="B600" s="12"/>
      <c r="C600" s="1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4.25" hidden="false" customHeight="true" outlineLevel="0" collapsed="false">
      <c r="A601" s="2"/>
      <c r="B601" s="12"/>
      <c r="C601" s="1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4.25" hidden="false" customHeight="true" outlineLevel="0" collapsed="false">
      <c r="A602" s="2"/>
      <c r="B602" s="12"/>
      <c r="C602" s="1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4.25" hidden="false" customHeight="true" outlineLevel="0" collapsed="false">
      <c r="A603" s="2"/>
      <c r="B603" s="12"/>
      <c r="C603" s="1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4.25" hidden="false" customHeight="true" outlineLevel="0" collapsed="false">
      <c r="A604" s="2"/>
      <c r="B604" s="12"/>
      <c r="C604" s="1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4.25" hidden="false" customHeight="true" outlineLevel="0" collapsed="false">
      <c r="A605" s="2"/>
      <c r="B605" s="12"/>
      <c r="C605" s="1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4.25" hidden="false" customHeight="true" outlineLevel="0" collapsed="false">
      <c r="A606" s="2"/>
      <c r="B606" s="12"/>
      <c r="C606" s="1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4.25" hidden="false" customHeight="true" outlineLevel="0" collapsed="false">
      <c r="A607" s="2"/>
      <c r="B607" s="12"/>
      <c r="C607" s="1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4.25" hidden="false" customHeight="true" outlineLevel="0" collapsed="false">
      <c r="A608" s="2"/>
      <c r="B608" s="12"/>
      <c r="C608" s="1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4.25" hidden="false" customHeight="true" outlineLevel="0" collapsed="false">
      <c r="A609" s="2"/>
      <c r="B609" s="12"/>
      <c r="C609" s="1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4.25" hidden="false" customHeight="true" outlineLevel="0" collapsed="false">
      <c r="A610" s="2"/>
      <c r="B610" s="12"/>
      <c r="C610" s="1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4.25" hidden="false" customHeight="true" outlineLevel="0" collapsed="false">
      <c r="A611" s="2"/>
      <c r="B611" s="12"/>
      <c r="C611" s="1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4.25" hidden="false" customHeight="true" outlineLevel="0" collapsed="false">
      <c r="A612" s="2"/>
      <c r="B612" s="12"/>
      <c r="C612" s="1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4.25" hidden="false" customHeight="true" outlineLevel="0" collapsed="false">
      <c r="A613" s="2"/>
      <c r="B613" s="12"/>
      <c r="C613" s="1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4.25" hidden="false" customHeight="true" outlineLevel="0" collapsed="false">
      <c r="A614" s="2"/>
      <c r="B614" s="12"/>
      <c r="C614" s="1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4.25" hidden="false" customHeight="true" outlineLevel="0" collapsed="false">
      <c r="A615" s="2"/>
      <c r="B615" s="12"/>
      <c r="C615" s="1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4.25" hidden="false" customHeight="true" outlineLevel="0" collapsed="false">
      <c r="A616" s="2"/>
      <c r="B616" s="12"/>
      <c r="C616" s="1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4.25" hidden="false" customHeight="true" outlineLevel="0" collapsed="false">
      <c r="A617" s="2"/>
      <c r="B617" s="12"/>
      <c r="C617" s="1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4.25" hidden="false" customHeight="true" outlineLevel="0" collapsed="false">
      <c r="A618" s="2"/>
      <c r="B618" s="12"/>
      <c r="C618" s="1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4.25" hidden="false" customHeight="true" outlineLevel="0" collapsed="false">
      <c r="A619" s="2"/>
      <c r="B619" s="12"/>
      <c r="C619" s="1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4.25" hidden="false" customHeight="true" outlineLevel="0" collapsed="false">
      <c r="A620" s="2"/>
      <c r="B620" s="12"/>
      <c r="C620" s="1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4.25" hidden="false" customHeight="true" outlineLevel="0" collapsed="false">
      <c r="A621" s="2"/>
      <c r="B621" s="12"/>
      <c r="C621" s="1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4.25" hidden="false" customHeight="true" outlineLevel="0" collapsed="false">
      <c r="A622" s="2"/>
      <c r="B622" s="12"/>
      <c r="C622" s="1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4.25" hidden="false" customHeight="true" outlineLevel="0" collapsed="false">
      <c r="A623" s="2"/>
      <c r="B623" s="12"/>
      <c r="C623" s="1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4.25" hidden="false" customHeight="true" outlineLevel="0" collapsed="false">
      <c r="A624" s="2"/>
      <c r="B624" s="12"/>
      <c r="C624" s="1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4.25" hidden="false" customHeight="true" outlineLevel="0" collapsed="false">
      <c r="A625" s="2"/>
      <c r="B625" s="12"/>
      <c r="C625" s="1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4.25" hidden="false" customHeight="true" outlineLevel="0" collapsed="false">
      <c r="A626" s="2"/>
      <c r="B626" s="12"/>
      <c r="C626" s="1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4.25" hidden="false" customHeight="true" outlineLevel="0" collapsed="false">
      <c r="A627" s="2"/>
      <c r="B627" s="12"/>
      <c r="C627" s="1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4.25" hidden="false" customHeight="true" outlineLevel="0" collapsed="false">
      <c r="A628" s="2"/>
      <c r="B628" s="12"/>
      <c r="C628" s="1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4.25" hidden="false" customHeight="true" outlineLevel="0" collapsed="false">
      <c r="A629" s="2"/>
      <c r="B629" s="12"/>
      <c r="C629" s="1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4.25" hidden="false" customHeight="true" outlineLevel="0" collapsed="false">
      <c r="A630" s="2"/>
      <c r="B630" s="12"/>
      <c r="C630" s="1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4.25" hidden="false" customHeight="true" outlineLevel="0" collapsed="false">
      <c r="A631" s="2"/>
      <c r="B631" s="12"/>
      <c r="C631" s="1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4.25" hidden="false" customHeight="true" outlineLevel="0" collapsed="false">
      <c r="A632" s="2"/>
      <c r="B632" s="12"/>
      <c r="C632" s="1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4.25" hidden="false" customHeight="true" outlineLevel="0" collapsed="false">
      <c r="A633" s="2"/>
      <c r="B633" s="12"/>
      <c r="C633" s="1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4.25" hidden="false" customHeight="true" outlineLevel="0" collapsed="false">
      <c r="A634" s="2"/>
      <c r="B634" s="12"/>
      <c r="C634" s="1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4.25" hidden="false" customHeight="true" outlineLevel="0" collapsed="false">
      <c r="A635" s="2"/>
      <c r="B635" s="12"/>
      <c r="C635" s="1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4.25" hidden="false" customHeight="true" outlineLevel="0" collapsed="false">
      <c r="A636" s="2"/>
      <c r="B636" s="12"/>
      <c r="C636" s="1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4.25" hidden="false" customHeight="true" outlineLevel="0" collapsed="false">
      <c r="A637" s="2"/>
      <c r="B637" s="12"/>
      <c r="C637" s="1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4.25" hidden="false" customHeight="true" outlineLevel="0" collapsed="false">
      <c r="A638" s="2"/>
      <c r="B638" s="12"/>
      <c r="C638" s="1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4.25" hidden="false" customHeight="true" outlineLevel="0" collapsed="false">
      <c r="A639" s="2"/>
      <c r="B639" s="12"/>
      <c r="C639" s="1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4.25" hidden="false" customHeight="true" outlineLevel="0" collapsed="false">
      <c r="A640" s="2"/>
      <c r="B640" s="12"/>
      <c r="C640" s="1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4.25" hidden="false" customHeight="true" outlineLevel="0" collapsed="false">
      <c r="A641" s="2"/>
      <c r="B641" s="12"/>
      <c r="C641" s="1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4.25" hidden="false" customHeight="true" outlineLevel="0" collapsed="false">
      <c r="A642" s="2"/>
      <c r="B642" s="12"/>
      <c r="C642" s="1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4.25" hidden="false" customHeight="true" outlineLevel="0" collapsed="false">
      <c r="A643" s="2"/>
      <c r="B643" s="12"/>
      <c r="C643" s="1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4.25" hidden="false" customHeight="true" outlineLevel="0" collapsed="false">
      <c r="A644" s="2"/>
      <c r="B644" s="12"/>
      <c r="C644" s="1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4.25" hidden="false" customHeight="true" outlineLevel="0" collapsed="false">
      <c r="A645" s="2"/>
      <c r="B645" s="12"/>
      <c r="C645" s="1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4.25" hidden="false" customHeight="true" outlineLevel="0" collapsed="false">
      <c r="A646" s="2"/>
      <c r="B646" s="12"/>
      <c r="C646" s="1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4.25" hidden="false" customHeight="true" outlineLevel="0" collapsed="false">
      <c r="A647" s="2"/>
      <c r="B647" s="12"/>
      <c r="C647" s="1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4.25" hidden="false" customHeight="true" outlineLevel="0" collapsed="false">
      <c r="A648" s="2"/>
      <c r="B648" s="12"/>
      <c r="C648" s="1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4.25" hidden="false" customHeight="true" outlineLevel="0" collapsed="false">
      <c r="A649" s="2"/>
      <c r="B649" s="12"/>
      <c r="C649" s="1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4.25" hidden="false" customHeight="true" outlineLevel="0" collapsed="false">
      <c r="A650" s="2"/>
      <c r="B650" s="12"/>
      <c r="C650" s="1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4.25" hidden="false" customHeight="true" outlineLevel="0" collapsed="false">
      <c r="A651" s="2"/>
      <c r="B651" s="12"/>
      <c r="C651" s="1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4.25" hidden="false" customHeight="true" outlineLevel="0" collapsed="false">
      <c r="A652" s="2"/>
      <c r="B652" s="12"/>
      <c r="C652" s="1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4.25" hidden="false" customHeight="true" outlineLevel="0" collapsed="false">
      <c r="A653" s="2"/>
      <c r="B653" s="12"/>
      <c r="C653" s="1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4.25" hidden="false" customHeight="true" outlineLevel="0" collapsed="false">
      <c r="A654" s="2"/>
      <c r="B654" s="12"/>
      <c r="C654" s="1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4.25" hidden="false" customHeight="true" outlineLevel="0" collapsed="false">
      <c r="A655" s="2"/>
      <c r="B655" s="12"/>
      <c r="C655" s="1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4.25" hidden="false" customHeight="true" outlineLevel="0" collapsed="false">
      <c r="A656" s="2"/>
      <c r="B656" s="12"/>
      <c r="C656" s="1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4.25" hidden="false" customHeight="true" outlineLevel="0" collapsed="false">
      <c r="A657" s="2"/>
      <c r="B657" s="12"/>
      <c r="C657" s="1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4.25" hidden="false" customHeight="true" outlineLevel="0" collapsed="false">
      <c r="A658" s="2"/>
      <c r="B658" s="12"/>
      <c r="C658" s="1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4.25" hidden="false" customHeight="true" outlineLevel="0" collapsed="false">
      <c r="A659" s="2"/>
      <c r="B659" s="12"/>
      <c r="C659" s="1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4.25" hidden="false" customHeight="true" outlineLevel="0" collapsed="false">
      <c r="A660" s="2"/>
      <c r="B660" s="12"/>
      <c r="C660" s="1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4.25" hidden="false" customHeight="true" outlineLevel="0" collapsed="false">
      <c r="A661" s="2"/>
      <c r="B661" s="12"/>
      <c r="C661" s="1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4.25" hidden="false" customHeight="true" outlineLevel="0" collapsed="false">
      <c r="A662" s="2"/>
      <c r="B662" s="12"/>
      <c r="C662" s="1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4.25" hidden="false" customHeight="true" outlineLevel="0" collapsed="false">
      <c r="A663" s="2"/>
      <c r="B663" s="12"/>
      <c r="C663" s="1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4.25" hidden="false" customHeight="true" outlineLevel="0" collapsed="false">
      <c r="A664" s="2"/>
      <c r="B664" s="12"/>
      <c r="C664" s="1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4.25" hidden="false" customHeight="true" outlineLevel="0" collapsed="false">
      <c r="A665" s="2"/>
      <c r="B665" s="12"/>
      <c r="C665" s="1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4.25" hidden="false" customHeight="true" outlineLevel="0" collapsed="false">
      <c r="A666" s="2"/>
      <c r="B666" s="12"/>
      <c r="C666" s="1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4.25" hidden="false" customHeight="true" outlineLevel="0" collapsed="false">
      <c r="A667" s="2"/>
      <c r="B667" s="12"/>
      <c r="C667" s="1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4.25" hidden="false" customHeight="true" outlineLevel="0" collapsed="false">
      <c r="A668" s="2"/>
      <c r="B668" s="12"/>
      <c r="C668" s="1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4.25" hidden="false" customHeight="true" outlineLevel="0" collapsed="false">
      <c r="A669" s="2"/>
      <c r="B669" s="12"/>
      <c r="C669" s="1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4.25" hidden="false" customHeight="true" outlineLevel="0" collapsed="false">
      <c r="A670" s="2"/>
      <c r="B670" s="12"/>
      <c r="C670" s="1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4.25" hidden="false" customHeight="true" outlineLevel="0" collapsed="false">
      <c r="A671" s="2"/>
      <c r="B671" s="12"/>
      <c r="C671" s="1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4.25" hidden="false" customHeight="true" outlineLevel="0" collapsed="false">
      <c r="A672" s="2"/>
      <c r="B672" s="12"/>
      <c r="C672" s="1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4.25" hidden="false" customHeight="true" outlineLevel="0" collapsed="false">
      <c r="A673" s="2"/>
      <c r="B673" s="12"/>
      <c r="C673" s="1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4.25" hidden="false" customHeight="true" outlineLevel="0" collapsed="false">
      <c r="A674" s="2"/>
      <c r="B674" s="12"/>
      <c r="C674" s="1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4.25" hidden="false" customHeight="true" outlineLevel="0" collapsed="false">
      <c r="A675" s="2"/>
      <c r="B675" s="12"/>
      <c r="C675" s="1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4.25" hidden="false" customHeight="true" outlineLevel="0" collapsed="false">
      <c r="A676" s="2"/>
      <c r="B676" s="12"/>
      <c r="C676" s="1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4.25" hidden="false" customHeight="true" outlineLevel="0" collapsed="false">
      <c r="A677" s="2"/>
      <c r="B677" s="12"/>
      <c r="C677" s="1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4.25" hidden="false" customHeight="true" outlineLevel="0" collapsed="false">
      <c r="A678" s="2"/>
      <c r="B678" s="12"/>
      <c r="C678" s="1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4.25" hidden="false" customHeight="true" outlineLevel="0" collapsed="false">
      <c r="A679" s="2"/>
      <c r="B679" s="12"/>
      <c r="C679" s="1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4.25" hidden="false" customHeight="true" outlineLevel="0" collapsed="false">
      <c r="A680" s="2"/>
      <c r="B680" s="12"/>
      <c r="C680" s="1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4.25" hidden="false" customHeight="true" outlineLevel="0" collapsed="false">
      <c r="A681" s="2"/>
      <c r="B681" s="12"/>
      <c r="C681" s="1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4.25" hidden="false" customHeight="true" outlineLevel="0" collapsed="false">
      <c r="A682" s="2"/>
      <c r="B682" s="12"/>
      <c r="C682" s="1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4.25" hidden="false" customHeight="true" outlineLevel="0" collapsed="false">
      <c r="A683" s="2"/>
      <c r="B683" s="12"/>
      <c r="C683" s="1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4.25" hidden="false" customHeight="true" outlineLevel="0" collapsed="false">
      <c r="A684" s="2"/>
      <c r="B684" s="12"/>
      <c r="C684" s="1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4.25" hidden="false" customHeight="true" outlineLevel="0" collapsed="false">
      <c r="A685" s="2"/>
      <c r="B685" s="12"/>
      <c r="C685" s="1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4.25" hidden="false" customHeight="true" outlineLevel="0" collapsed="false">
      <c r="A686" s="2"/>
      <c r="B686" s="12"/>
      <c r="C686" s="1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4.25" hidden="false" customHeight="true" outlineLevel="0" collapsed="false">
      <c r="A687" s="2"/>
      <c r="B687" s="12"/>
      <c r="C687" s="1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4.25" hidden="false" customHeight="true" outlineLevel="0" collapsed="false">
      <c r="A688" s="2"/>
      <c r="B688" s="12"/>
      <c r="C688" s="1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4.25" hidden="false" customHeight="true" outlineLevel="0" collapsed="false">
      <c r="A689" s="2"/>
      <c r="B689" s="12"/>
      <c r="C689" s="1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4.25" hidden="false" customHeight="true" outlineLevel="0" collapsed="false">
      <c r="A690" s="2"/>
      <c r="B690" s="12"/>
      <c r="C690" s="1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4.25" hidden="false" customHeight="true" outlineLevel="0" collapsed="false">
      <c r="A691" s="2"/>
      <c r="B691" s="12"/>
      <c r="C691" s="1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4.25" hidden="false" customHeight="true" outlineLevel="0" collapsed="false">
      <c r="A692" s="2"/>
      <c r="B692" s="12"/>
      <c r="C692" s="1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4.25" hidden="false" customHeight="true" outlineLevel="0" collapsed="false">
      <c r="A693" s="2"/>
      <c r="B693" s="12"/>
      <c r="C693" s="1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4.25" hidden="false" customHeight="true" outlineLevel="0" collapsed="false">
      <c r="A694" s="2"/>
      <c r="B694" s="12"/>
      <c r="C694" s="1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4.25" hidden="false" customHeight="true" outlineLevel="0" collapsed="false">
      <c r="A695" s="2"/>
      <c r="B695" s="12"/>
      <c r="C695" s="1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4.25" hidden="false" customHeight="true" outlineLevel="0" collapsed="false">
      <c r="A696" s="2"/>
      <c r="B696" s="12"/>
      <c r="C696" s="1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4.25" hidden="false" customHeight="true" outlineLevel="0" collapsed="false">
      <c r="A697" s="2"/>
      <c r="B697" s="12"/>
      <c r="C697" s="1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4.25" hidden="false" customHeight="true" outlineLevel="0" collapsed="false">
      <c r="A698" s="2"/>
      <c r="B698" s="12"/>
      <c r="C698" s="1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4.25" hidden="false" customHeight="true" outlineLevel="0" collapsed="false">
      <c r="A699" s="2"/>
      <c r="B699" s="12"/>
      <c r="C699" s="1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4.25" hidden="false" customHeight="true" outlineLevel="0" collapsed="false">
      <c r="A700" s="2"/>
      <c r="B700" s="12"/>
      <c r="C700" s="1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4.25" hidden="false" customHeight="true" outlineLevel="0" collapsed="false">
      <c r="A701" s="2"/>
      <c r="B701" s="12"/>
      <c r="C701" s="1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4.25" hidden="false" customHeight="true" outlineLevel="0" collapsed="false">
      <c r="A702" s="2"/>
      <c r="B702" s="12"/>
      <c r="C702" s="1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4.25" hidden="false" customHeight="true" outlineLevel="0" collapsed="false">
      <c r="A703" s="2"/>
      <c r="B703" s="12"/>
      <c r="C703" s="1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4.25" hidden="false" customHeight="true" outlineLevel="0" collapsed="false">
      <c r="A704" s="2"/>
      <c r="B704" s="12"/>
      <c r="C704" s="1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4.25" hidden="false" customHeight="true" outlineLevel="0" collapsed="false">
      <c r="A705" s="2"/>
      <c r="B705" s="12"/>
      <c r="C705" s="1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4.25" hidden="false" customHeight="true" outlineLevel="0" collapsed="false">
      <c r="A706" s="2"/>
      <c r="B706" s="12"/>
      <c r="C706" s="1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4.25" hidden="false" customHeight="true" outlineLevel="0" collapsed="false">
      <c r="A707" s="2"/>
      <c r="B707" s="12"/>
      <c r="C707" s="1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4.25" hidden="false" customHeight="true" outlineLevel="0" collapsed="false">
      <c r="A708" s="2"/>
      <c r="B708" s="12"/>
      <c r="C708" s="1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4.25" hidden="false" customHeight="true" outlineLevel="0" collapsed="false">
      <c r="A709" s="2"/>
      <c r="B709" s="12"/>
      <c r="C709" s="1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4.25" hidden="false" customHeight="true" outlineLevel="0" collapsed="false">
      <c r="A710" s="2"/>
      <c r="B710" s="12"/>
      <c r="C710" s="1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4.25" hidden="false" customHeight="true" outlineLevel="0" collapsed="false">
      <c r="A711" s="2"/>
      <c r="B711" s="12"/>
      <c r="C711" s="1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4.25" hidden="false" customHeight="true" outlineLevel="0" collapsed="false">
      <c r="A712" s="2"/>
      <c r="B712" s="12"/>
      <c r="C712" s="1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4.25" hidden="false" customHeight="true" outlineLevel="0" collapsed="false">
      <c r="A713" s="2"/>
      <c r="B713" s="12"/>
      <c r="C713" s="1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4.25" hidden="false" customHeight="true" outlineLevel="0" collapsed="false">
      <c r="A714" s="2"/>
      <c r="B714" s="12"/>
      <c r="C714" s="1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4.25" hidden="false" customHeight="true" outlineLevel="0" collapsed="false">
      <c r="A715" s="2"/>
      <c r="B715" s="12"/>
      <c r="C715" s="1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4.25" hidden="false" customHeight="true" outlineLevel="0" collapsed="false">
      <c r="A716" s="2"/>
      <c r="B716" s="12"/>
      <c r="C716" s="1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4.25" hidden="false" customHeight="true" outlineLevel="0" collapsed="false">
      <c r="A717" s="2"/>
      <c r="B717" s="12"/>
      <c r="C717" s="1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4.25" hidden="false" customHeight="true" outlineLevel="0" collapsed="false">
      <c r="A718" s="2"/>
      <c r="B718" s="12"/>
      <c r="C718" s="1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4.25" hidden="false" customHeight="true" outlineLevel="0" collapsed="false">
      <c r="A719" s="2"/>
      <c r="B719" s="12"/>
      <c r="C719" s="1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4.25" hidden="false" customHeight="true" outlineLevel="0" collapsed="false">
      <c r="A720" s="2"/>
      <c r="B720" s="12"/>
      <c r="C720" s="1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4.25" hidden="false" customHeight="true" outlineLevel="0" collapsed="false">
      <c r="A721" s="2"/>
      <c r="B721" s="12"/>
      <c r="C721" s="1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4.25" hidden="false" customHeight="true" outlineLevel="0" collapsed="false">
      <c r="A722" s="2"/>
      <c r="B722" s="12"/>
      <c r="C722" s="1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4.25" hidden="false" customHeight="true" outlineLevel="0" collapsed="false">
      <c r="A723" s="2"/>
      <c r="B723" s="12"/>
      <c r="C723" s="1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4.25" hidden="false" customHeight="true" outlineLevel="0" collapsed="false">
      <c r="A724" s="2"/>
      <c r="B724" s="12"/>
      <c r="C724" s="1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4.25" hidden="false" customHeight="true" outlineLevel="0" collapsed="false">
      <c r="A725" s="2"/>
      <c r="B725" s="12"/>
      <c r="C725" s="1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4.25" hidden="false" customHeight="true" outlineLevel="0" collapsed="false">
      <c r="A726" s="2"/>
      <c r="B726" s="12"/>
      <c r="C726" s="1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4.25" hidden="false" customHeight="true" outlineLevel="0" collapsed="false">
      <c r="A727" s="2"/>
      <c r="B727" s="12"/>
      <c r="C727" s="1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4.25" hidden="false" customHeight="true" outlineLevel="0" collapsed="false">
      <c r="A728" s="2"/>
      <c r="B728" s="12"/>
      <c r="C728" s="1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4.25" hidden="false" customHeight="true" outlineLevel="0" collapsed="false">
      <c r="A729" s="2"/>
      <c r="B729" s="12"/>
      <c r="C729" s="1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4.25" hidden="false" customHeight="true" outlineLevel="0" collapsed="false">
      <c r="A730" s="2"/>
      <c r="B730" s="12"/>
      <c r="C730" s="1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4.25" hidden="false" customHeight="true" outlineLevel="0" collapsed="false">
      <c r="A731" s="2"/>
      <c r="B731" s="12"/>
      <c r="C731" s="1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4.25" hidden="false" customHeight="true" outlineLevel="0" collapsed="false">
      <c r="A732" s="2"/>
      <c r="B732" s="12"/>
      <c r="C732" s="1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4.25" hidden="false" customHeight="true" outlineLevel="0" collapsed="false">
      <c r="A733" s="2"/>
      <c r="B733" s="12"/>
      <c r="C733" s="1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4.25" hidden="false" customHeight="true" outlineLevel="0" collapsed="false">
      <c r="A734" s="2"/>
      <c r="B734" s="12"/>
      <c r="C734" s="1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4.25" hidden="false" customHeight="true" outlineLevel="0" collapsed="false">
      <c r="A735" s="2"/>
      <c r="B735" s="12"/>
      <c r="C735" s="1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4.25" hidden="false" customHeight="true" outlineLevel="0" collapsed="false">
      <c r="A736" s="2"/>
      <c r="B736" s="12"/>
      <c r="C736" s="1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4.25" hidden="false" customHeight="true" outlineLevel="0" collapsed="false">
      <c r="A737" s="2"/>
      <c r="B737" s="12"/>
      <c r="C737" s="1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4.25" hidden="false" customHeight="true" outlineLevel="0" collapsed="false">
      <c r="A738" s="2"/>
      <c r="B738" s="12"/>
      <c r="C738" s="1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4.25" hidden="false" customHeight="true" outlineLevel="0" collapsed="false">
      <c r="A739" s="2"/>
      <c r="B739" s="12"/>
      <c r="C739" s="1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4.25" hidden="false" customHeight="true" outlineLevel="0" collapsed="false">
      <c r="A740" s="2"/>
      <c r="B740" s="12"/>
      <c r="C740" s="1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4.25" hidden="false" customHeight="true" outlineLevel="0" collapsed="false">
      <c r="A741" s="2"/>
      <c r="B741" s="12"/>
      <c r="C741" s="1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4.25" hidden="false" customHeight="true" outlineLevel="0" collapsed="false">
      <c r="A742" s="2"/>
      <c r="B742" s="12"/>
      <c r="C742" s="1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4.25" hidden="false" customHeight="true" outlineLevel="0" collapsed="false">
      <c r="A743" s="2"/>
      <c r="B743" s="12"/>
      <c r="C743" s="1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4.25" hidden="false" customHeight="true" outlineLevel="0" collapsed="false">
      <c r="A744" s="2"/>
      <c r="B744" s="12"/>
      <c r="C744" s="1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4.25" hidden="false" customHeight="true" outlineLevel="0" collapsed="false">
      <c r="A745" s="2"/>
      <c r="B745" s="12"/>
      <c r="C745" s="1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4.25" hidden="false" customHeight="true" outlineLevel="0" collapsed="false">
      <c r="A746" s="2"/>
      <c r="B746" s="12"/>
      <c r="C746" s="1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4.25" hidden="false" customHeight="true" outlineLevel="0" collapsed="false">
      <c r="A747" s="2"/>
      <c r="B747" s="12"/>
      <c r="C747" s="1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4.25" hidden="false" customHeight="true" outlineLevel="0" collapsed="false">
      <c r="A748" s="2"/>
      <c r="B748" s="12"/>
      <c r="C748" s="1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4.25" hidden="false" customHeight="true" outlineLevel="0" collapsed="false">
      <c r="A749" s="2"/>
      <c r="B749" s="12"/>
      <c r="C749" s="1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4.25" hidden="false" customHeight="true" outlineLevel="0" collapsed="false">
      <c r="A750" s="2"/>
      <c r="B750" s="12"/>
      <c r="C750" s="1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4.25" hidden="false" customHeight="true" outlineLevel="0" collapsed="false">
      <c r="A751" s="2"/>
      <c r="B751" s="12"/>
      <c r="C751" s="1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4.25" hidden="false" customHeight="true" outlineLevel="0" collapsed="false">
      <c r="A752" s="2"/>
      <c r="B752" s="12"/>
      <c r="C752" s="1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4.25" hidden="false" customHeight="true" outlineLevel="0" collapsed="false">
      <c r="A753" s="2"/>
      <c r="B753" s="12"/>
      <c r="C753" s="1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4.25" hidden="false" customHeight="true" outlineLevel="0" collapsed="false">
      <c r="A754" s="2"/>
      <c r="B754" s="12"/>
      <c r="C754" s="1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4.25" hidden="false" customHeight="true" outlineLevel="0" collapsed="false">
      <c r="A755" s="2"/>
      <c r="B755" s="12"/>
      <c r="C755" s="1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4.25" hidden="false" customHeight="true" outlineLevel="0" collapsed="false">
      <c r="A756" s="2"/>
      <c r="B756" s="12"/>
      <c r="C756" s="1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4.25" hidden="false" customHeight="true" outlineLevel="0" collapsed="false">
      <c r="A757" s="2"/>
      <c r="B757" s="12"/>
      <c r="C757" s="1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4.25" hidden="false" customHeight="true" outlineLevel="0" collapsed="false">
      <c r="A758" s="2"/>
      <c r="B758" s="12"/>
      <c r="C758" s="1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4.25" hidden="false" customHeight="true" outlineLevel="0" collapsed="false">
      <c r="A759" s="2"/>
      <c r="B759" s="12"/>
      <c r="C759" s="1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4.25" hidden="false" customHeight="true" outlineLevel="0" collapsed="false">
      <c r="A760" s="2"/>
      <c r="B760" s="12"/>
      <c r="C760" s="1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4.25" hidden="false" customHeight="true" outlineLevel="0" collapsed="false">
      <c r="A761" s="2"/>
      <c r="B761" s="12"/>
      <c r="C761" s="1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4.25" hidden="false" customHeight="true" outlineLevel="0" collapsed="false">
      <c r="A762" s="2"/>
      <c r="B762" s="12"/>
      <c r="C762" s="1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4.25" hidden="false" customHeight="true" outlineLevel="0" collapsed="false">
      <c r="A763" s="2"/>
      <c r="B763" s="12"/>
      <c r="C763" s="1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4.25" hidden="false" customHeight="true" outlineLevel="0" collapsed="false">
      <c r="A764" s="2"/>
      <c r="B764" s="12"/>
      <c r="C764" s="1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4.25" hidden="false" customHeight="true" outlineLevel="0" collapsed="false">
      <c r="A765" s="2"/>
      <c r="B765" s="12"/>
      <c r="C765" s="1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4.25" hidden="false" customHeight="true" outlineLevel="0" collapsed="false">
      <c r="A766" s="2"/>
      <c r="B766" s="12"/>
      <c r="C766" s="1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4.25" hidden="false" customHeight="true" outlineLevel="0" collapsed="false">
      <c r="A767" s="2"/>
      <c r="B767" s="12"/>
      <c r="C767" s="1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4.25" hidden="false" customHeight="true" outlineLevel="0" collapsed="false">
      <c r="A768" s="2"/>
      <c r="B768" s="12"/>
      <c r="C768" s="1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4.25" hidden="false" customHeight="true" outlineLevel="0" collapsed="false">
      <c r="A769" s="2"/>
      <c r="B769" s="12"/>
      <c r="C769" s="1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4.25" hidden="false" customHeight="true" outlineLevel="0" collapsed="false">
      <c r="A770" s="2"/>
      <c r="B770" s="12"/>
      <c r="C770" s="1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4.25" hidden="false" customHeight="true" outlineLevel="0" collapsed="false">
      <c r="A771" s="2"/>
      <c r="B771" s="12"/>
      <c r="C771" s="1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4.25" hidden="false" customHeight="true" outlineLevel="0" collapsed="false">
      <c r="A772" s="2"/>
      <c r="B772" s="12"/>
      <c r="C772" s="1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4.25" hidden="false" customHeight="true" outlineLevel="0" collapsed="false">
      <c r="A773" s="2"/>
      <c r="B773" s="12"/>
      <c r="C773" s="1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4.25" hidden="false" customHeight="true" outlineLevel="0" collapsed="false">
      <c r="A774" s="2"/>
      <c r="B774" s="12"/>
      <c r="C774" s="1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4.25" hidden="false" customHeight="true" outlineLevel="0" collapsed="false">
      <c r="A775" s="2"/>
      <c r="B775" s="12"/>
      <c r="C775" s="1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4.25" hidden="false" customHeight="true" outlineLevel="0" collapsed="false">
      <c r="A776" s="2"/>
      <c r="B776" s="12"/>
      <c r="C776" s="1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4.25" hidden="false" customHeight="true" outlineLevel="0" collapsed="false">
      <c r="A777" s="2"/>
      <c r="B777" s="12"/>
      <c r="C777" s="1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4.25" hidden="false" customHeight="true" outlineLevel="0" collapsed="false">
      <c r="A778" s="2"/>
      <c r="B778" s="12"/>
      <c r="C778" s="1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4.25" hidden="false" customHeight="true" outlineLevel="0" collapsed="false">
      <c r="A779" s="2"/>
      <c r="B779" s="12"/>
      <c r="C779" s="1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4.25" hidden="false" customHeight="true" outlineLevel="0" collapsed="false">
      <c r="A780" s="2"/>
      <c r="B780" s="12"/>
      <c r="C780" s="1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4.25" hidden="false" customHeight="true" outlineLevel="0" collapsed="false">
      <c r="A781" s="2"/>
      <c r="B781" s="12"/>
      <c r="C781" s="1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4.25" hidden="false" customHeight="true" outlineLevel="0" collapsed="false">
      <c r="A782" s="2"/>
      <c r="B782" s="12"/>
      <c r="C782" s="1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4.25" hidden="false" customHeight="true" outlineLevel="0" collapsed="false">
      <c r="A783" s="2"/>
      <c r="B783" s="12"/>
      <c r="C783" s="1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4.25" hidden="false" customHeight="true" outlineLevel="0" collapsed="false">
      <c r="A784" s="2"/>
      <c r="B784" s="12"/>
      <c r="C784" s="1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4.25" hidden="false" customHeight="true" outlineLevel="0" collapsed="false">
      <c r="A785" s="2"/>
      <c r="B785" s="12"/>
      <c r="C785" s="1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4.25" hidden="false" customHeight="true" outlineLevel="0" collapsed="false">
      <c r="A786" s="2"/>
      <c r="B786" s="12"/>
      <c r="C786" s="1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4.25" hidden="false" customHeight="true" outlineLevel="0" collapsed="false">
      <c r="A787" s="2"/>
      <c r="B787" s="12"/>
      <c r="C787" s="1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4.25" hidden="false" customHeight="true" outlineLevel="0" collapsed="false">
      <c r="A788" s="2"/>
      <c r="B788" s="12"/>
      <c r="C788" s="1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4.25" hidden="false" customHeight="true" outlineLevel="0" collapsed="false">
      <c r="A789" s="2"/>
      <c r="B789" s="12"/>
      <c r="C789" s="1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4.25" hidden="false" customHeight="true" outlineLevel="0" collapsed="false">
      <c r="A790" s="2"/>
      <c r="B790" s="12"/>
      <c r="C790" s="1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4.25" hidden="false" customHeight="true" outlineLevel="0" collapsed="false">
      <c r="A791" s="2"/>
      <c r="B791" s="12"/>
      <c r="C791" s="1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4.25" hidden="false" customHeight="true" outlineLevel="0" collapsed="false">
      <c r="A792" s="2"/>
      <c r="B792" s="12"/>
      <c r="C792" s="1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4.25" hidden="false" customHeight="true" outlineLevel="0" collapsed="false">
      <c r="A793" s="2"/>
      <c r="B793" s="12"/>
      <c r="C793" s="1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4.25" hidden="false" customHeight="true" outlineLevel="0" collapsed="false">
      <c r="A794" s="2"/>
      <c r="B794" s="12"/>
      <c r="C794" s="1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4.25" hidden="false" customHeight="true" outlineLevel="0" collapsed="false">
      <c r="A795" s="2"/>
      <c r="B795" s="12"/>
      <c r="C795" s="1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4.25" hidden="false" customHeight="true" outlineLevel="0" collapsed="false">
      <c r="A796" s="2"/>
      <c r="B796" s="12"/>
      <c r="C796" s="1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4.25" hidden="false" customHeight="true" outlineLevel="0" collapsed="false">
      <c r="A797" s="2"/>
      <c r="B797" s="12"/>
      <c r="C797" s="1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4.25" hidden="false" customHeight="true" outlineLevel="0" collapsed="false">
      <c r="A798" s="2"/>
      <c r="B798" s="12"/>
      <c r="C798" s="1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4.25" hidden="false" customHeight="true" outlineLevel="0" collapsed="false">
      <c r="A799" s="2"/>
      <c r="B799" s="12"/>
      <c r="C799" s="1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4.25" hidden="false" customHeight="true" outlineLevel="0" collapsed="false">
      <c r="A800" s="2"/>
      <c r="B800" s="12"/>
      <c r="C800" s="1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4.25" hidden="false" customHeight="true" outlineLevel="0" collapsed="false">
      <c r="A801" s="2"/>
      <c r="B801" s="12"/>
      <c r="C801" s="1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4.25" hidden="false" customHeight="true" outlineLevel="0" collapsed="false">
      <c r="A802" s="2"/>
      <c r="B802" s="12"/>
      <c r="C802" s="1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4.25" hidden="false" customHeight="true" outlineLevel="0" collapsed="false">
      <c r="A803" s="2"/>
      <c r="B803" s="12"/>
      <c r="C803" s="1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4.25" hidden="false" customHeight="true" outlineLevel="0" collapsed="false">
      <c r="A804" s="2"/>
      <c r="B804" s="12"/>
      <c r="C804" s="1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4.25" hidden="false" customHeight="true" outlineLevel="0" collapsed="false">
      <c r="A805" s="2"/>
      <c r="B805" s="12"/>
      <c r="C805" s="1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4.25" hidden="false" customHeight="true" outlineLevel="0" collapsed="false">
      <c r="A806" s="2"/>
      <c r="B806" s="12"/>
      <c r="C806" s="1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4.25" hidden="false" customHeight="true" outlineLevel="0" collapsed="false">
      <c r="A807" s="2"/>
      <c r="B807" s="12"/>
      <c r="C807" s="1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4.25" hidden="false" customHeight="true" outlineLevel="0" collapsed="false">
      <c r="A808" s="2"/>
      <c r="B808" s="12"/>
      <c r="C808" s="1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4.25" hidden="false" customHeight="true" outlineLevel="0" collapsed="false">
      <c r="A809" s="2"/>
      <c r="B809" s="12"/>
      <c r="C809" s="1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4.25" hidden="false" customHeight="true" outlineLevel="0" collapsed="false">
      <c r="A810" s="2"/>
      <c r="B810" s="12"/>
      <c r="C810" s="1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4.25" hidden="false" customHeight="true" outlineLevel="0" collapsed="false">
      <c r="A811" s="2"/>
      <c r="B811" s="12"/>
      <c r="C811" s="1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4.25" hidden="false" customHeight="true" outlineLevel="0" collapsed="false">
      <c r="A812" s="2"/>
      <c r="B812" s="12"/>
      <c r="C812" s="1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4.25" hidden="false" customHeight="true" outlineLevel="0" collapsed="false">
      <c r="A813" s="2"/>
      <c r="B813" s="12"/>
      <c r="C813" s="1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4.25" hidden="false" customHeight="true" outlineLevel="0" collapsed="false">
      <c r="A814" s="2"/>
      <c r="B814" s="12"/>
      <c r="C814" s="1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4.25" hidden="false" customHeight="true" outlineLevel="0" collapsed="false">
      <c r="A815" s="2"/>
      <c r="B815" s="12"/>
      <c r="C815" s="1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4.25" hidden="false" customHeight="true" outlineLevel="0" collapsed="false">
      <c r="A816" s="2"/>
      <c r="B816" s="12"/>
      <c r="C816" s="1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4.25" hidden="false" customHeight="true" outlineLevel="0" collapsed="false">
      <c r="A817" s="2"/>
      <c r="B817" s="12"/>
      <c r="C817" s="1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4.25" hidden="false" customHeight="true" outlineLevel="0" collapsed="false">
      <c r="A818" s="2"/>
      <c r="B818" s="12"/>
      <c r="C818" s="1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4.25" hidden="false" customHeight="true" outlineLevel="0" collapsed="false">
      <c r="A819" s="2"/>
      <c r="B819" s="12"/>
      <c r="C819" s="1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4.25" hidden="false" customHeight="true" outlineLevel="0" collapsed="false">
      <c r="A820" s="2"/>
      <c r="B820" s="12"/>
      <c r="C820" s="1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4.25" hidden="false" customHeight="true" outlineLevel="0" collapsed="false">
      <c r="A821" s="2"/>
      <c r="B821" s="12"/>
      <c r="C821" s="1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4.25" hidden="false" customHeight="true" outlineLevel="0" collapsed="false">
      <c r="A822" s="2"/>
      <c r="B822" s="12"/>
      <c r="C822" s="1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4.25" hidden="false" customHeight="true" outlineLevel="0" collapsed="false">
      <c r="A823" s="2"/>
      <c r="B823" s="12"/>
      <c r="C823" s="1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4.25" hidden="false" customHeight="true" outlineLevel="0" collapsed="false">
      <c r="A824" s="2"/>
      <c r="B824" s="12"/>
      <c r="C824" s="1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4.25" hidden="false" customHeight="true" outlineLevel="0" collapsed="false">
      <c r="A825" s="2"/>
      <c r="B825" s="12"/>
      <c r="C825" s="1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4.25" hidden="false" customHeight="true" outlineLevel="0" collapsed="false">
      <c r="A826" s="2"/>
      <c r="B826" s="12"/>
      <c r="C826" s="1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4.25" hidden="false" customHeight="true" outlineLevel="0" collapsed="false">
      <c r="A827" s="2"/>
      <c r="B827" s="12"/>
      <c r="C827" s="1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4.25" hidden="false" customHeight="true" outlineLevel="0" collapsed="false">
      <c r="A828" s="2"/>
      <c r="B828" s="12"/>
      <c r="C828" s="1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4.25" hidden="false" customHeight="true" outlineLevel="0" collapsed="false">
      <c r="A829" s="2"/>
      <c r="B829" s="12"/>
      <c r="C829" s="1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4.25" hidden="false" customHeight="true" outlineLevel="0" collapsed="false">
      <c r="A830" s="2"/>
      <c r="B830" s="12"/>
      <c r="C830" s="1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4.25" hidden="false" customHeight="true" outlineLevel="0" collapsed="false">
      <c r="A831" s="2"/>
      <c r="B831" s="12"/>
      <c r="C831" s="1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4.25" hidden="false" customHeight="true" outlineLevel="0" collapsed="false">
      <c r="A832" s="2"/>
      <c r="B832" s="12"/>
      <c r="C832" s="1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4.25" hidden="false" customHeight="true" outlineLevel="0" collapsed="false">
      <c r="A833" s="2"/>
      <c r="B833" s="12"/>
      <c r="C833" s="1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4.25" hidden="false" customHeight="true" outlineLevel="0" collapsed="false">
      <c r="A834" s="2"/>
      <c r="B834" s="12"/>
      <c r="C834" s="1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4.25" hidden="false" customHeight="true" outlineLevel="0" collapsed="false">
      <c r="A835" s="2"/>
      <c r="B835" s="12"/>
      <c r="C835" s="1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4.25" hidden="false" customHeight="true" outlineLevel="0" collapsed="false">
      <c r="A836" s="2"/>
      <c r="B836" s="12"/>
      <c r="C836" s="1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4.25" hidden="false" customHeight="true" outlineLevel="0" collapsed="false">
      <c r="A837" s="2"/>
      <c r="B837" s="12"/>
      <c r="C837" s="1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4.25" hidden="false" customHeight="true" outlineLevel="0" collapsed="false">
      <c r="A838" s="2"/>
      <c r="B838" s="12"/>
      <c r="C838" s="1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4.25" hidden="false" customHeight="true" outlineLevel="0" collapsed="false">
      <c r="A839" s="2"/>
      <c r="B839" s="12"/>
      <c r="C839" s="1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4.25" hidden="false" customHeight="true" outlineLevel="0" collapsed="false">
      <c r="A840" s="2"/>
      <c r="B840" s="12"/>
      <c r="C840" s="1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4.25" hidden="false" customHeight="true" outlineLevel="0" collapsed="false">
      <c r="A841" s="2"/>
      <c r="B841" s="12"/>
      <c r="C841" s="1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4.25" hidden="false" customHeight="true" outlineLevel="0" collapsed="false">
      <c r="A842" s="2"/>
      <c r="B842" s="12"/>
      <c r="C842" s="1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4.25" hidden="false" customHeight="true" outlineLevel="0" collapsed="false">
      <c r="A843" s="2"/>
      <c r="B843" s="12"/>
      <c r="C843" s="1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4.25" hidden="false" customHeight="true" outlineLevel="0" collapsed="false">
      <c r="A844" s="2"/>
      <c r="B844" s="12"/>
      <c r="C844" s="1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4.25" hidden="false" customHeight="true" outlineLevel="0" collapsed="false">
      <c r="A845" s="2"/>
      <c r="B845" s="12"/>
      <c r="C845" s="1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4.25" hidden="false" customHeight="true" outlineLevel="0" collapsed="false">
      <c r="A846" s="2"/>
      <c r="B846" s="12"/>
      <c r="C846" s="1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4.25" hidden="false" customHeight="true" outlineLevel="0" collapsed="false">
      <c r="A847" s="2"/>
      <c r="B847" s="12"/>
      <c r="C847" s="1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4.25" hidden="false" customHeight="true" outlineLevel="0" collapsed="false">
      <c r="A848" s="2"/>
      <c r="B848" s="12"/>
      <c r="C848" s="1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4.25" hidden="false" customHeight="true" outlineLevel="0" collapsed="false">
      <c r="A849" s="2"/>
      <c r="B849" s="12"/>
      <c r="C849" s="1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4.25" hidden="false" customHeight="true" outlineLevel="0" collapsed="false">
      <c r="A850" s="2"/>
      <c r="B850" s="12"/>
      <c r="C850" s="1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4.25" hidden="false" customHeight="true" outlineLevel="0" collapsed="false">
      <c r="A851" s="2"/>
      <c r="B851" s="12"/>
      <c r="C851" s="1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4.25" hidden="false" customHeight="true" outlineLevel="0" collapsed="false">
      <c r="A852" s="2"/>
      <c r="B852" s="12"/>
      <c r="C852" s="1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4.25" hidden="false" customHeight="true" outlineLevel="0" collapsed="false">
      <c r="A853" s="2"/>
      <c r="B853" s="12"/>
      <c r="C853" s="1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4.25" hidden="false" customHeight="true" outlineLevel="0" collapsed="false">
      <c r="A854" s="2"/>
      <c r="B854" s="12"/>
      <c r="C854" s="1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4.25" hidden="false" customHeight="true" outlineLevel="0" collapsed="false">
      <c r="A855" s="2"/>
      <c r="B855" s="12"/>
      <c r="C855" s="1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4.25" hidden="false" customHeight="true" outlineLevel="0" collapsed="false">
      <c r="A856" s="2"/>
      <c r="B856" s="12"/>
      <c r="C856" s="1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4.25" hidden="false" customHeight="true" outlineLevel="0" collapsed="false">
      <c r="A857" s="2"/>
      <c r="B857" s="12"/>
      <c r="C857" s="1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4.25" hidden="false" customHeight="true" outlineLevel="0" collapsed="false">
      <c r="A858" s="2"/>
      <c r="B858" s="12"/>
      <c r="C858" s="1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4.25" hidden="false" customHeight="true" outlineLevel="0" collapsed="false">
      <c r="A859" s="2"/>
      <c r="B859" s="12"/>
      <c r="C859" s="1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4.25" hidden="false" customHeight="true" outlineLevel="0" collapsed="false">
      <c r="A860" s="2"/>
      <c r="B860" s="12"/>
      <c r="C860" s="1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4.25" hidden="false" customHeight="true" outlineLevel="0" collapsed="false">
      <c r="A861" s="2"/>
      <c r="B861" s="12"/>
      <c r="C861" s="1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4.25" hidden="false" customHeight="true" outlineLevel="0" collapsed="false">
      <c r="A862" s="2"/>
      <c r="B862" s="12"/>
      <c r="C862" s="1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4.25" hidden="false" customHeight="true" outlineLevel="0" collapsed="false">
      <c r="A863" s="2"/>
      <c r="B863" s="12"/>
      <c r="C863" s="1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4.25" hidden="false" customHeight="true" outlineLevel="0" collapsed="false">
      <c r="A864" s="2"/>
      <c r="B864" s="12"/>
      <c r="C864" s="1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4.25" hidden="false" customHeight="true" outlineLevel="0" collapsed="false">
      <c r="A865" s="2"/>
      <c r="B865" s="12"/>
      <c r="C865" s="1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4.25" hidden="false" customHeight="true" outlineLevel="0" collapsed="false">
      <c r="A866" s="2"/>
      <c r="B866" s="12"/>
      <c r="C866" s="1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4.25" hidden="false" customHeight="true" outlineLevel="0" collapsed="false">
      <c r="A867" s="2"/>
      <c r="B867" s="12"/>
      <c r="C867" s="1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4.25" hidden="false" customHeight="true" outlineLevel="0" collapsed="false">
      <c r="A868" s="2"/>
      <c r="B868" s="12"/>
      <c r="C868" s="1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4.25" hidden="false" customHeight="true" outlineLevel="0" collapsed="false">
      <c r="A869" s="2"/>
      <c r="B869" s="12"/>
      <c r="C869" s="1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4.25" hidden="false" customHeight="true" outlineLevel="0" collapsed="false">
      <c r="A870" s="2"/>
      <c r="B870" s="12"/>
      <c r="C870" s="1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4.25" hidden="false" customHeight="true" outlineLevel="0" collapsed="false">
      <c r="A871" s="2"/>
      <c r="B871" s="12"/>
      <c r="C871" s="1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4.25" hidden="false" customHeight="true" outlineLevel="0" collapsed="false">
      <c r="A872" s="2"/>
      <c r="B872" s="12"/>
      <c r="C872" s="1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4.25" hidden="false" customHeight="true" outlineLevel="0" collapsed="false">
      <c r="A873" s="2"/>
      <c r="B873" s="12"/>
      <c r="C873" s="1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4.25" hidden="false" customHeight="true" outlineLevel="0" collapsed="false">
      <c r="A874" s="2"/>
      <c r="B874" s="12"/>
      <c r="C874" s="1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4.25" hidden="false" customHeight="true" outlineLevel="0" collapsed="false">
      <c r="A875" s="2"/>
      <c r="B875" s="12"/>
      <c r="C875" s="1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4.25" hidden="false" customHeight="true" outlineLevel="0" collapsed="false">
      <c r="A876" s="2"/>
      <c r="B876" s="12"/>
      <c r="C876" s="1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4.25" hidden="false" customHeight="true" outlineLevel="0" collapsed="false">
      <c r="A877" s="2"/>
      <c r="B877" s="12"/>
      <c r="C877" s="1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4.25" hidden="false" customHeight="true" outlineLevel="0" collapsed="false">
      <c r="A878" s="2"/>
      <c r="B878" s="12"/>
      <c r="C878" s="1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4.25" hidden="false" customHeight="true" outlineLevel="0" collapsed="false">
      <c r="A879" s="2"/>
      <c r="B879" s="12"/>
      <c r="C879" s="1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4.25" hidden="false" customHeight="true" outlineLevel="0" collapsed="false">
      <c r="A880" s="2"/>
      <c r="B880" s="12"/>
      <c r="C880" s="1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4.25" hidden="false" customHeight="true" outlineLevel="0" collapsed="false">
      <c r="A881" s="2"/>
      <c r="B881" s="12"/>
      <c r="C881" s="1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4.25" hidden="false" customHeight="true" outlineLevel="0" collapsed="false">
      <c r="A882" s="2"/>
      <c r="B882" s="12"/>
      <c r="C882" s="1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4.25" hidden="false" customHeight="true" outlineLevel="0" collapsed="false">
      <c r="A883" s="2"/>
      <c r="B883" s="12"/>
      <c r="C883" s="1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4.25" hidden="false" customHeight="true" outlineLevel="0" collapsed="false">
      <c r="A884" s="2"/>
      <c r="B884" s="12"/>
      <c r="C884" s="1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4.25" hidden="false" customHeight="true" outlineLevel="0" collapsed="false">
      <c r="A885" s="2"/>
      <c r="B885" s="12"/>
      <c r="C885" s="1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4.25" hidden="false" customHeight="true" outlineLevel="0" collapsed="false">
      <c r="A886" s="2"/>
      <c r="B886" s="12"/>
      <c r="C886" s="1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4.25" hidden="false" customHeight="true" outlineLevel="0" collapsed="false">
      <c r="A887" s="2"/>
      <c r="B887" s="12"/>
      <c r="C887" s="1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4.25" hidden="false" customHeight="true" outlineLevel="0" collapsed="false">
      <c r="A888" s="2"/>
      <c r="B888" s="12"/>
      <c r="C888" s="1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4.25" hidden="false" customHeight="true" outlineLevel="0" collapsed="false">
      <c r="A889" s="2"/>
      <c r="B889" s="12"/>
      <c r="C889" s="1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4.25" hidden="false" customHeight="true" outlineLevel="0" collapsed="false">
      <c r="A890" s="2"/>
      <c r="B890" s="12"/>
      <c r="C890" s="1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4.25" hidden="false" customHeight="true" outlineLevel="0" collapsed="false">
      <c r="A891" s="2"/>
      <c r="B891" s="12"/>
      <c r="C891" s="1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4.25" hidden="false" customHeight="true" outlineLevel="0" collapsed="false">
      <c r="A892" s="2"/>
      <c r="B892" s="12"/>
      <c r="C892" s="1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4.25" hidden="false" customHeight="true" outlineLevel="0" collapsed="false">
      <c r="A893" s="2"/>
      <c r="B893" s="12"/>
      <c r="C893" s="1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4.25" hidden="false" customHeight="true" outlineLevel="0" collapsed="false">
      <c r="A894" s="2"/>
      <c r="B894" s="12"/>
      <c r="C894" s="1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4.25" hidden="false" customHeight="true" outlineLevel="0" collapsed="false">
      <c r="A895" s="2"/>
      <c r="B895" s="12"/>
      <c r="C895" s="1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4.25" hidden="false" customHeight="true" outlineLevel="0" collapsed="false">
      <c r="A896" s="2"/>
      <c r="B896" s="12"/>
      <c r="C896" s="1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4.25" hidden="false" customHeight="true" outlineLevel="0" collapsed="false">
      <c r="A897" s="2"/>
      <c r="B897" s="12"/>
      <c r="C897" s="1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4.25" hidden="false" customHeight="true" outlineLevel="0" collapsed="false">
      <c r="A898" s="2"/>
      <c r="B898" s="12"/>
      <c r="C898" s="1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4.25" hidden="false" customHeight="true" outlineLevel="0" collapsed="false">
      <c r="A899" s="2"/>
      <c r="B899" s="12"/>
      <c r="C899" s="1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4.25" hidden="false" customHeight="true" outlineLevel="0" collapsed="false">
      <c r="A900" s="2"/>
      <c r="B900" s="12"/>
      <c r="C900" s="1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4.25" hidden="false" customHeight="true" outlineLevel="0" collapsed="false">
      <c r="A901" s="2"/>
      <c r="B901" s="12"/>
      <c r="C901" s="1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4.25" hidden="false" customHeight="true" outlineLevel="0" collapsed="false">
      <c r="A902" s="2"/>
      <c r="B902" s="12"/>
      <c r="C902" s="1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4.25" hidden="false" customHeight="true" outlineLevel="0" collapsed="false">
      <c r="A903" s="2"/>
      <c r="B903" s="12"/>
      <c r="C903" s="1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4.25" hidden="false" customHeight="true" outlineLevel="0" collapsed="false">
      <c r="A904" s="2"/>
      <c r="B904" s="12"/>
      <c r="C904" s="1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4.25" hidden="false" customHeight="true" outlineLevel="0" collapsed="false">
      <c r="A905" s="2"/>
      <c r="B905" s="12"/>
      <c r="C905" s="1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4.25" hidden="false" customHeight="true" outlineLevel="0" collapsed="false">
      <c r="A906" s="2"/>
      <c r="B906" s="12"/>
      <c r="C906" s="1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4.25" hidden="false" customHeight="true" outlineLevel="0" collapsed="false">
      <c r="A907" s="2"/>
      <c r="B907" s="12"/>
      <c r="C907" s="1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4.25" hidden="false" customHeight="true" outlineLevel="0" collapsed="false">
      <c r="A908" s="2"/>
      <c r="B908" s="12"/>
      <c r="C908" s="1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4.25" hidden="false" customHeight="true" outlineLevel="0" collapsed="false">
      <c r="A909" s="2"/>
      <c r="B909" s="12"/>
      <c r="C909" s="1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4.25" hidden="false" customHeight="true" outlineLevel="0" collapsed="false">
      <c r="A910" s="2"/>
      <c r="B910" s="12"/>
      <c r="C910" s="1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4.25" hidden="false" customHeight="true" outlineLevel="0" collapsed="false">
      <c r="A911" s="2"/>
      <c r="B911" s="12"/>
      <c r="C911" s="1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4.25" hidden="false" customHeight="true" outlineLevel="0" collapsed="false">
      <c r="A912" s="2"/>
      <c r="B912" s="12"/>
      <c r="C912" s="1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4.25" hidden="false" customHeight="true" outlineLevel="0" collapsed="false">
      <c r="A913" s="2"/>
      <c r="B913" s="12"/>
      <c r="C913" s="1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4.25" hidden="false" customHeight="true" outlineLevel="0" collapsed="false">
      <c r="A914" s="2"/>
      <c r="B914" s="12"/>
      <c r="C914" s="1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4.25" hidden="false" customHeight="true" outlineLevel="0" collapsed="false">
      <c r="A915" s="2"/>
      <c r="B915" s="12"/>
      <c r="C915" s="1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4.25" hidden="false" customHeight="true" outlineLevel="0" collapsed="false">
      <c r="A916" s="2"/>
      <c r="B916" s="12"/>
      <c r="C916" s="1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4.25" hidden="false" customHeight="true" outlineLevel="0" collapsed="false">
      <c r="A917" s="2"/>
      <c r="B917" s="12"/>
      <c r="C917" s="1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4.25" hidden="false" customHeight="true" outlineLevel="0" collapsed="false">
      <c r="A918" s="2"/>
      <c r="B918" s="12"/>
      <c r="C918" s="1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4.25" hidden="false" customHeight="true" outlineLevel="0" collapsed="false">
      <c r="A919" s="2"/>
      <c r="B919" s="12"/>
      <c r="C919" s="1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4.25" hidden="false" customHeight="true" outlineLevel="0" collapsed="false">
      <c r="A920" s="2"/>
      <c r="B920" s="12"/>
      <c r="C920" s="1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4.25" hidden="false" customHeight="true" outlineLevel="0" collapsed="false">
      <c r="A921" s="2"/>
      <c r="B921" s="12"/>
      <c r="C921" s="1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4.25" hidden="false" customHeight="true" outlineLevel="0" collapsed="false">
      <c r="A922" s="2"/>
      <c r="B922" s="12"/>
      <c r="C922" s="1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4.25" hidden="false" customHeight="true" outlineLevel="0" collapsed="false">
      <c r="A923" s="2"/>
      <c r="B923" s="12"/>
      <c r="C923" s="1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4.25" hidden="false" customHeight="true" outlineLevel="0" collapsed="false">
      <c r="A924" s="2"/>
      <c r="B924" s="12"/>
      <c r="C924" s="1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4.25" hidden="false" customHeight="true" outlineLevel="0" collapsed="false">
      <c r="A925" s="2"/>
      <c r="B925" s="12"/>
      <c r="C925" s="1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4.25" hidden="false" customHeight="true" outlineLevel="0" collapsed="false">
      <c r="A926" s="2"/>
      <c r="B926" s="12"/>
      <c r="C926" s="1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4.25" hidden="false" customHeight="true" outlineLevel="0" collapsed="false">
      <c r="A927" s="2"/>
      <c r="B927" s="12"/>
      <c r="C927" s="1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4.25" hidden="false" customHeight="true" outlineLevel="0" collapsed="false">
      <c r="A928" s="2"/>
      <c r="B928" s="12"/>
      <c r="C928" s="1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4.25" hidden="false" customHeight="true" outlineLevel="0" collapsed="false">
      <c r="A929" s="2"/>
      <c r="B929" s="12"/>
      <c r="C929" s="1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4.25" hidden="false" customHeight="true" outlineLevel="0" collapsed="false">
      <c r="A930" s="2"/>
      <c r="B930" s="12"/>
      <c r="C930" s="1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4.25" hidden="false" customHeight="true" outlineLevel="0" collapsed="false">
      <c r="A931" s="2"/>
      <c r="B931" s="12"/>
      <c r="C931" s="1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4.25" hidden="false" customHeight="true" outlineLevel="0" collapsed="false">
      <c r="A932" s="2"/>
      <c r="B932" s="12"/>
      <c r="C932" s="1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4.25" hidden="false" customHeight="true" outlineLevel="0" collapsed="false">
      <c r="A933" s="2"/>
      <c r="B933" s="12"/>
      <c r="C933" s="1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4.25" hidden="false" customHeight="true" outlineLevel="0" collapsed="false">
      <c r="A934" s="2"/>
      <c r="B934" s="12"/>
      <c r="C934" s="1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4.25" hidden="false" customHeight="true" outlineLevel="0" collapsed="false">
      <c r="A935" s="2"/>
      <c r="B935" s="12"/>
      <c r="C935" s="1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4.25" hidden="false" customHeight="true" outlineLevel="0" collapsed="false">
      <c r="A936" s="2"/>
      <c r="B936" s="12"/>
      <c r="C936" s="1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4.25" hidden="false" customHeight="true" outlineLevel="0" collapsed="false">
      <c r="A937" s="2"/>
      <c r="B937" s="12"/>
      <c r="C937" s="1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4.25" hidden="false" customHeight="true" outlineLevel="0" collapsed="false">
      <c r="A938" s="2"/>
      <c r="B938" s="12"/>
      <c r="C938" s="1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4.25" hidden="false" customHeight="true" outlineLevel="0" collapsed="false">
      <c r="A939" s="2"/>
      <c r="B939" s="12"/>
      <c r="C939" s="1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4.25" hidden="false" customHeight="true" outlineLevel="0" collapsed="false">
      <c r="A940" s="2"/>
      <c r="B940" s="12"/>
      <c r="C940" s="1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4.25" hidden="false" customHeight="true" outlineLevel="0" collapsed="false">
      <c r="A941" s="2"/>
      <c r="B941" s="12"/>
      <c r="C941" s="1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4.25" hidden="false" customHeight="true" outlineLevel="0" collapsed="false">
      <c r="A942" s="2"/>
      <c r="B942" s="12"/>
      <c r="C942" s="1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4.25" hidden="false" customHeight="true" outlineLevel="0" collapsed="false">
      <c r="A943" s="2"/>
      <c r="B943" s="12"/>
      <c r="C943" s="1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4.25" hidden="false" customHeight="true" outlineLevel="0" collapsed="false">
      <c r="A944" s="2"/>
      <c r="B944" s="12"/>
      <c r="C944" s="1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4.25" hidden="false" customHeight="true" outlineLevel="0" collapsed="false">
      <c r="A945" s="2"/>
      <c r="B945" s="12"/>
      <c r="C945" s="1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4.25" hidden="false" customHeight="true" outlineLevel="0" collapsed="false">
      <c r="A946" s="2"/>
      <c r="B946" s="12"/>
      <c r="C946" s="1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4.25" hidden="false" customHeight="true" outlineLevel="0" collapsed="false">
      <c r="A947" s="2"/>
      <c r="B947" s="12"/>
      <c r="C947" s="1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4.25" hidden="false" customHeight="true" outlineLevel="0" collapsed="false">
      <c r="A948" s="2"/>
      <c r="B948" s="12"/>
      <c r="C948" s="1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4.25" hidden="false" customHeight="true" outlineLevel="0" collapsed="false">
      <c r="A949" s="2"/>
      <c r="B949" s="12"/>
      <c r="C949" s="1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4.25" hidden="false" customHeight="true" outlineLevel="0" collapsed="false">
      <c r="A950" s="2"/>
      <c r="B950" s="12"/>
      <c r="C950" s="1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4.25" hidden="false" customHeight="true" outlineLevel="0" collapsed="false">
      <c r="A951" s="2"/>
      <c r="B951" s="12"/>
      <c r="C951" s="1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4.25" hidden="false" customHeight="true" outlineLevel="0" collapsed="false">
      <c r="A952" s="2"/>
      <c r="B952" s="12"/>
      <c r="C952" s="1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4.25" hidden="false" customHeight="true" outlineLevel="0" collapsed="false">
      <c r="A953" s="2"/>
      <c r="B953" s="12"/>
      <c r="C953" s="1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4.25" hidden="false" customHeight="true" outlineLevel="0" collapsed="false">
      <c r="A954" s="2"/>
      <c r="B954" s="12"/>
      <c r="C954" s="1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4.25" hidden="false" customHeight="true" outlineLevel="0" collapsed="false">
      <c r="A955" s="2"/>
      <c r="B955" s="12"/>
      <c r="C955" s="1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4.25" hidden="false" customHeight="true" outlineLevel="0" collapsed="false">
      <c r="A956" s="2"/>
      <c r="B956" s="12"/>
      <c r="C956" s="1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4.25" hidden="false" customHeight="true" outlineLevel="0" collapsed="false">
      <c r="A957" s="2"/>
      <c r="B957" s="12"/>
      <c r="C957" s="1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4.25" hidden="false" customHeight="true" outlineLevel="0" collapsed="false">
      <c r="A958" s="2"/>
      <c r="B958" s="12"/>
      <c r="C958" s="1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4.25" hidden="false" customHeight="true" outlineLevel="0" collapsed="false">
      <c r="A959" s="2"/>
      <c r="B959" s="12"/>
      <c r="C959" s="1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4.25" hidden="false" customHeight="true" outlineLevel="0" collapsed="false">
      <c r="A960" s="2"/>
      <c r="B960" s="12"/>
      <c r="C960" s="1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4.25" hidden="false" customHeight="true" outlineLevel="0" collapsed="false">
      <c r="A961" s="2"/>
      <c r="B961" s="12"/>
      <c r="C961" s="1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4.25" hidden="false" customHeight="true" outlineLevel="0" collapsed="false">
      <c r="A962" s="2"/>
      <c r="B962" s="12"/>
      <c r="C962" s="1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4.25" hidden="false" customHeight="true" outlineLevel="0" collapsed="false">
      <c r="A963" s="2"/>
      <c r="B963" s="12"/>
      <c r="C963" s="1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4.25" hidden="false" customHeight="true" outlineLevel="0" collapsed="false">
      <c r="A964" s="2"/>
      <c r="B964" s="12"/>
      <c r="C964" s="1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4.25" hidden="false" customHeight="true" outlineLevel="0" collapsed="false">
      <c r="A965" s="2"/>
      <c r="B965" s="12"/>
      <c r="C965" s="1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4.25" hidden="false" customHeight="true" outlineLevel="0" collapsed="false">
      <c r="A966" s="2"/>
      <c r="B966" s="12"/>
      <c r="C966" s="1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4.25" hidden="false" customHeight="true" outlineLevel="0" collapsed="false">
      <c r="A967" s="2"/>
      <c r="B967" s="12"/>
      <c r="C967" s="1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4.25" hidden="false" customHeight="true" outlineLevel="0" collapsed="false">
      <c r="A968" s="2"/>
      <c r="B968" s="12"/>
      <c r="C968" s="1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4.25" hidden="false" customHeight="true" outlineLevel="0" collapsed="false">
      <c r="A969" s="2"/>
      <c r="B969" s="12"/>
      <c r="C969" s="1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4.25" hidden="false" customHeight="true" outlineLevel="0" collapsed="false">
      <c r="A970" s="2"/>
      <c r="B970" s="12"/>
      <c r="C970" s="1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4.25" hidden="false" customHeight="true" outlineLevel="0" collapsed="false">
      <c r="A971" s="2"/>
      <c r="B971" s="12"/>
      <c r="C971" s="1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4.25" hidden="false" customHeight="true" outlineLevel="0" collapsed="false">
      <c r="A972" s="2"/>
      <c r="B972" s="12"/>
      <c r="C972" s="1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4.25" hidden="false" customHeight="true" outlineLevel="0" collapsed="false">
      <c r="A973" s="2"/>
      <c r="B973" s="12"/>
      <c r="C973" s="1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4.25" hidden="false" customHeight="true" outlineLevel="0" collapsed="false">
      <c r="A974" s="2"/>
      <c r="B974" s="12"/>
      <c r="C974" s="1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4.25" hidden="false" customHeight="true" outlineLevel="0" collapsed="false">
      <c r="A975" s="2"/>
      <c r="B975" s="12"/>
      <c r="C975" s="1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4.25" hidden="false" customHeight="true" outlineLevel="0" collapsed="false">
      <c r="A976" s="2"/>
      <c r="B976" s="12"/>
      <c r="C976" s="1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4.25" hidden="false" customHeight="true" outlineLevel="0" collapsed="false">
      <c r="A977" s="2"/>
      <c r="B977" s="12"/>
      <c r="C977" s="1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4.25" hidden="false" customHeight="true" outlineLevel="0" collapsed="false">
      <c r="A978" s="2"/>
      <c r="B978" s="12"/>
      <c r="C978" s="1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4.25" hidden="false" customHeight="true" outlineLevel="0" collapsed="false">
      <c r="A979" s="2"/>
      <c r="B979" s="12"/>
      <c r="C979" s="1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4.25" hidden="false" customHeight="true" outlineLevel="0" collapsed="false">
      <c r="A980" s="2"/>
      <c r="B980" s="12"/>
      <c r="C980" s="1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4.25" hidden="false" customHeight="true" outlineLevel="0" collapsed="false">
      <c r="A981" s="2"/>
      <c r="B981" s="12"/>
      <c r="C981" s="1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4.25" hidden="false" customHeight="true" outlineLevel="0" collapsed="false">
      <c r="A982" s="2"/>
      <c r="B982" s="12"/>
      <c r="C982" s="1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4.25" hidden="false" customHeight="true" outlineLevel="0" collapsed="false">
      <c r="A983" s="2"/>
      <c r="B983" s="12"/>
      <c r="C983" s="1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4.25" hidden="false" customHeight="true" outlineLevel="0" collapsed="false">
      <c r="A984" s="2"/>
      <c r="B984" s="12"/>
      <c r="C984" s="1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4.25" hidden="false" customHeight="true" outlineLevel="0" collapsed="false">
      <c r="A985" s="2"/>
      <c r="B985" s="12"/>
      <c r="C985" s="1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4.25" hidden="false" customHeight="true" outlineLevel="0" collapsed="false">
      <c r="A986" s="2"/>
      <c r="B986" s="12"/>
      <c r="C986" s="1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4.25" hidden="false" customHeight="true" outlineLevel="0" collapsed="false">
      <c r="A987" s="2"/>
      <c r="B987" s="12"/>
      <c r="C987" s="1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4.25" hidden="false" customHeight="true" outlineLevel="0" collapsed="false">
      <c r="A988" s="2"/>
      <c r="B988" s="12"/>
      <c r="C988" s="1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4.25" hidden="false" customHeight="true" outlineLevel="0" collapsed="false">
      <c r="A989" s="2"/>
      <c r="B989" s="12"/>
      <c r="C989" s="1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4.25" hidden="false" customHeight="true" outlineLevel="0" collapsed="false">
      <c r="A990" s="2"/>
      <c r="B990" s="12"/>
      <c r="C990" s="1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4.25" hidden="false" customHeight="true" outlineLevel="0" collapsed="false">
      <c r="A991" s="2"/>
      <c r="B991" s="12"/>
      <c r="C991" s="1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4.25" hidden="false" customHeight="true" outlineLevel="0" collapsed="false">
      <c r="A992" s="2"/>
      <c r="B992" s="12"/>
      <c r="C992" s="1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4.25" hidden="false" customHeight="true" outlineLevel="0" collapsed="false">
      <c r="A993" s="2"/>
      <c r="B993" s="12"/>
      <c r="C993" s="1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4.25" hidden="false" customHeight="true" outlineLevel="0" collapsed="false">
      <c r="A994" s="2"/>
      <c r="B994" s="12"/>
      <c r="C994" s="1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4.25" hidden="false" customHeight="true" outlineLevel="0" collapsed="false">
      <c r="A995" s="2"/>
      <c r="B995" s="12"/>
      <c r="C995" s="1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4.25" hidden="false" customHeight="true" outlineLevel="0" collapsed="false">
      <c r="A996" s="2"/>
      <c r="B996" s="12"/>
      <c r="C996" s="1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4.25" hidden="false" customHeight="true" outlineLevel="0" collapsed="false">
      <c r="A997" s="2"/>
      <c r="B997" s="12"/>
      <c r="C997" s="1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4.25" hidden="false" customHeight="true" outlineLevel="0" collapsed="false">
      <c r="A998" s="2"/>
      <c r="B998" s="12"/>
      <c r="C998" s="1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4.25" hidden="false" customHeight="true" outlineLevel="0" collapsed="false">
      <c r="A999" s="2"/>
      <c r="B999" s="12"/>
      <c r="C999" s="1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4.25" hidden="false" customHeight="true" outlineLevel="0" collapsed="false">
      <c r="A1000" s="2"/>
      <c r="B1000" s="12"/>
      <c r="C1000" s="1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6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102</v>
      </c>
      <c r="C1" s="0" t="s">
        <v>103</v>
      </c>
      <c r="D1" s="0" t="s">
        <v>72</v>
      </c>
    </row>
    <row r="2" customFormat="false" ht="15" hidden="false" customHeight="false" outlineLevel="0" collapsed="false">
      <c r="B2" s="0" t="s">
        <v>104</v>
      </c>
      <c r="C2" s="0" t="s">
        <v>105</v>
      </c>
    </row>
    <row r="3" customFormat="false" ht="15" hidden="false" customHeight="false" outlineLevel="0" collapsed="false">
      <c r="B3" s="0" t="s">
        <v>106</v>
      </c>
      <c r="C3" s="0" t="s">
        <v>107</v>
      </c>
    </row>
    <row r="5" customFormat="false" ht="15" hidden="false" customHeight="false" outlineLevel="0" collapsed="false">
      <c r="D5" s="0" t="s">
        <v>108</v>
      </c>
      <c r="H5" s="0" t="s">
        <v>109</v>
      </c>
    </row>
    <row r="6" customFormat="false" ht="35.05" hidden="false" customHeight="false" outlineLevel="0" collapsed="false">
      <c r="A6" s="55" t="s">
        <v>110</v>
      </c>
      <c r="B6" s="55" t="s">
        <v>111</v>
      </c>
      <c r="C6" s="55" t="s">
        <v>112</v>
      </c>
      <c r="D6" s="55" t="s">
        <v>113</v>
      </c>
      <c r="E6" s="55" t="s">
        <v>114</v>
      </c>
      <c r="F6" s="55" t="s">
        <v>115</v>
      </c>
      <c r="G6" s="55" t="s">
        <v>116</v>
      </c>
      <c r="H6" s="55" t="s">
        <v>113</v>
      </c>
      <c r="I6" s="55" t="s">
        <v>114</v>
      </c>
      <c r="J6" s="55" t="s">
        <v>115</v>
      </c>
    </row>
    <row r="7" customFormat="false" ht="15" hidden="false" customHeight="false" outlineLevel="0" collapsed="false">
      <c r="D7" s="56" t="n">
        <v>1</v>
      </c>
      <c r="E7" s="56" t="n">
        <v>3</v>
      </c>
      <c r="F7" s="56" t="n">
        <v>5</v>
      </c>
    </row>
    <row r="8" customFormat="false" ht="64.15" hidden="false" customHeight="false" outlineLevel="0" collapsed="false">
      <c r="A8" s="57" t="s">
        <v>117</v>
      </c>
      <c r="B8" s="57" t="s">
        <v>118</v>
      </c>
      <c r="C8" s="57" t="s">
        <v>119</v>
      </c>
      <c r="D8" s="58" t="n">
        <v>0</v>
      </c>
      <c r="E8" s="58" t="n">
        <v>2</v>
      </c>
      <c r="F8" s="58" t="n">
        <v>1</v>
      </c>
      <c r="G8" s="58" t="n">
        <f aca="false">D8*$D$7+E8*$E$7+F8*$F$7</f>
        <v>11</v>
      </c>
    </row>
    <row r="9" customFormat="false" ht="53.7" hidden="false" customHeight="false" outlineLevel="0" collapsed="false">
      <c r="A9" s="57" t="s">
        <v>120</v>
      </c>
      <c r="B9" s="57" t="s">
        <v>121</v>
      </c>
      <c r="C9" s="57" t="s">
        <v>122</v>
      </c>
      <c r="D9" s="58" t="n">
        <v>2</v>
      </c>
      <c r="E9" s="58" t="n">
        <v>1</v>
      </c>
      <c r="F9" s="58" t="n">
        <v>0</v>
      </c>
      <c r="G9" s="58" t="n">
        <f aca="false">D9*$D$7+E9*$E$7+F9*$F$7</f>
        <v>5</v>
      </c>
    </row>
    <row r="10" customFormat="false" ht="53.7" hidden="false" customHeight="false" outlineLevel="0" collapsed="false">
      <c r="A10" s="57" t="s">
        <v>123</v>
      </c>
      <c r="B10" s="57" t="s">
        <v>124</v>
      </c>
      <c r="C10" s="57" t="s">
        <v>125</v>
      </c>
      <c r="D10" s="58" t="n">
        <v>1</v>
      </c>
      <c r="E10" s="58" t="n">
        <v>1</v>
      </c>
      <c r="F10" s="58" t="n">
        <v>0</v>
      </c>
      <c r="G10" s="58" t="n">
        <f aca="false">D10*$D$7+E10*$E$7+F10*$F$7</f>
        <v>4</v>
      </c>
    </row>
    <row r="11" customFormat="false" ht="53.7" hidden="false" customHeight="false" outlineLevel="0" collapsed="false">
      <c r="A11" s="57" t="s">
        <v>117</v>
      </c>
      <c r="B11" s="57" t="s">
        <v>126</v>
      </c>
      <c r="C11" s="57" t="s">
        <v>127</v>
      </c>
      <c r="D11" s="58" t="n">
        <v>1</v>
      </c>
      <c r="E11" s="58" t="n">
        <v>2</v>
      </c>
      <c r="F11" s="58" t="n">
        <v>0</v>
      </c>
      <c r="G11" s="58" t="n">
        <f aca="false">D11*$D$7+E11*$E$7+F11*$F$7</f>
        <v>7</v>
      </c>
    </row>
    <row r="12" customFormat="false" ht="53.7" hidden="false" customHeight="false" outlineLevel="0" collapsed="false">
      <c r="A12" s="57" t="s">
        <v>117</v>
      </c>
      <c r="B12" s="57" t="s">
        <v>128</v>
      </c>
      <c r="C12" s="57" t="s">
        <v>129</v>
      </c>
      <c r="D12" s="58" t="n">
        <v>1</v>
      </c>
      <c r="E12" s="58" t="n">
        <v>1</v>
      </c>
      <c r="F12" s="58" t="n">
        <v>0</v>
      </c>
      <c r="G12" s="58" t="n">
        <f aca="false">D12*$D$7+E12*$E$7+F12*$F$7</f>
        <v>4</v>
      </c>
    </row>
    <row r="13" customFormat="false" ht="15" hidden="false" customHeight="true" outlineLevel="0" collapsed="false">
      <c r="A13" s="59" t="s">
        <v>130</v>
      </c>
      <c r="B13" s="59"/>
      <c r="C13" s="59"/>
      <c r="D13" s="59"/>
      <c r="E13" s="59"/>
      <c r="F13" s="59"/>
      <c r="G13" s="60" t="n">
        <f aca="false">SUM(G8:G12)</f>
        <v>31</v>
      </c>
    </row>
    <row r="15" customFormat="false" ht="15" hidden="false" customHeight="false" outlineLevel="0" collapsed="false">
      <c r="B15" s="0" t="s">
        <v>131</v>
      </c>
      <c r="G15" s="0" t="n">
        <f aca="false">G13</f>
        <v>31</v>
      </c>
    </row>
    <row r="17" customFormat="false" ht="15" hidden="false" customHeight="false" outlineLevel="0" collapsed="false">
      <c r="B17" s="0" t="s">
        <v>132</v>
      </c>
      <c r="C17" s="0" t="n">
        <v>0.16</v>
      </c>
    </row>
    <row r="18" customFormat="false" ht="15" hidden="false" customHeight="false" outlineLevel="0" collapsed="false">
      <c r="B18" s="0" t="s">
        <v>133</v>
      </c>
      <c r="C18" s="0" t="n">
        <f aca="false">G13</f>
        <v>31</v>
      </c>
      <c r="D18" s="0" t="s">
        <v>134</v>
      </c>
    </row>
    <row r="19" customFormat="false" ht="15" hidden="false" customHeight="false" outlineLevel="0" collapsed="false">
      <c r="B19" s="0" t="s">
        <v>135</v>
      </c>
      <c r="C19" s="0" t="n">
        <f aca="false">C18/C17</f>
        <v>193.75</v>
      </c>
      <c r="D19" s="0" t="s">
        <v>136</v>
      </c>
    </row>
    <row r="20" customFormat="false" ht="15" hidden="false" customHeight="false" outlineLevel="0" collapsed="false">
      <c r="B20" s="0" t="s">
        <v>137</v>
      </c>
      <c r="C20" s="0" t="n">
        <v>1.01</v>
      </c>
    </row>
    <row r="21" customFormat="false" ht="15" hidden="false" customHeight="false" outlineLevel="0" collapsed="false">
      <c r="B21" s="0" t="s">
        <v>138</v>
      </c>
      <c r="C21" s="0" t="n">
        <v>0.05</v>
      </c>
    </row>
    <row r="22" customFormat="false" ht="15" hidden="false" customHeight="false" outlineLevel="0" collapsed="false">
      <c r="B22" s="0" t="s">
        <v>139</v>
      </c>
      <c r="C22" s="0" t="n">
        <v>0.1</v>
      </c>
    </row>
    <row r="23" customFormat="false" ht="15" hidden="false" customHeight="false" outlineLevel="0" collapsed="false">
      <c r="B23" s="0" t="s">
        <v>140</v>
      </c>
      <c r="C23" s="0" t="n">
        <f aca="false">C19*C20*(1+C21+C22)</f>
        <v>225.040625</v>
      </c>
      <c r="D23" s="0" t="s">
        <v>136</v>
      </c>
    </row>
    <row r="25" customFormat="false" ht="15" hidden="false" customHeight="false" outlineLevel="0" collapsed="false">
      <c r="B25" s="0" t="s">
        <v>141</v>
      </c>
      <c r="C25" s="0" t="n">
        <f aca="false">C23*1.05</f>
        <v>236.29265625</v>
      </c>
      <c r="D25" s="0" t="n">
        <f aca="false">C23*0.95</f>
        <v>213.78859375</v>
      </c>
    </row>
  </sheetData>
  <mergeCells count="1"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6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102</v>
      </c>
      <c r="C1" s="0" t="s">
        <v>103</v>
      </c>
      <c r="D1" s="0" t="s">
        <v>72</v>
      </c>
    </row>
    <row r="2" customFormat="false" ht="15" hidden="false" customHeight="false" outlineLevel="0" collapsed="false">
      <c r="B2" s="0" t="s">
        <v>104</v>
      </c>
      <c r="C2" s="0" t="s">
        <v>105</v>
      </c>
    </row>
    <row r="3" customFormat="false" ht="15" hidden="false" customHeight="false" outlineLevel="0" collapsed="false">
      <c r="B3" s="0" t="s">
        <v>106</v>
      </c>
      <c r="C3" s="0" t="s">
        <v>142</v>
      </c>
    </row>
    <row r="5" customFormat="false" ht="15" hidden="false" customHeight="false" outlineLevel="0" collapsed="false">
      <c r="D5" s="0" t="s">
        <v>108</v>
      </c>
      <c r="H5" s="0" t="s">
        <v>109</v>
      </c>
    </row>
    <row r="6" customFormat="false" ht="35.05" hidden="false" customHeight="false" outlineLevel="0" collapsed="false">
      <c r="A6" s="55" t="s">
        <v>110</v>
      </c>
      <c r="B6" s="55" t="s">
        <v>111</v>
      </c>
      <c r="C6" s="55" t="s">
        <v>112</v>
      </c>
      <c r="D6" s="55" t="s">
        <v>113</v>
      </c>
      <c r="E6" s="55" t="s">
        <v>114</v>
      </c>
      <c r="F6" s="55" t="s">
        <v>115</v>
      </c>
      <c r="G6" s="55" t="s">
        <v>116</v>
      </c>
      <c r="H6" s="55" t="s">
        <v>113</v>
      </c>
      <c r="I6" s="55" t="s">
        <v>114</v>
      </c>
      <c r="J6" s="55" t="s">
        <v>115</v>
      </c>
    </row>
    <row r="7" customFormat="false" ht="15" hidden="false" customHeight="false" outlineLevel="0" collapsed="false">
      <c r="D7" s="56" t="n">
        <v>1</v>
      </c>
      <c r="E7" s="56" t="n">
        <v>3</v>
      </c>
      <c r="F7" s="56" t="n">
        <v>5</v>
      </c>
    </row>
    <row r="8" customFormat="false" ht="53.7" hidden="false" customHeight="false" outlineLevel="0" collapsed="false">
      <c r="A8" s="57" t="s">
        <v>143</v>
      </c>
      <c r="B8" s="57" t="s">
        <v>144</v>
      </c>
      <c r="C8" s="57" t="s">
        <v>145</v>
      </c>
      <c r="D8" s="58" t="n">
        <v>1</v>
      </c>
      <c r="E8" s="58" t="n">
        <v>1</v>
      </c>
      <c r="F8" s="58" t="n">
        <v>0</v>
      </c>
      <c r="G8" s="58" t="n">
        <f aca="false">D8*$D$7+E8*$E$7+F8*$F$7</f>
        <v>4</v>
      </c>
    </row>
    <row r="9" customFormat="false" ht="53.7" hidden="false" customHeight="false" outlineLevel="0" collapsed="false">
      <c r="A9" s="57" t="s">
        <v>146</v>
      </c>
      <c r="B9" s="57" t="s">
        <v>147</v>
      </c>
      <c r="C9" s="57" t="s">
        <v>148</v>
      </c>
      <c r="D9" s="58" t="n">
        <v>2</v>
      </c>
      <c r="E9" s="58" t="n">
        <v>1</v>
      </c>
      <c r="F9" s="58" t="n">
        <v>0</v>
      </c>
      <c r="G9" s="58" t="n">
        <f aca="false">D9*$D$7+E9*$E$7+F9*$F$7</f>
        <v>5</v>
      </c>
    </row>
    <row r="10" customFormat="false" ht="15" hidden="false" customHeight="true" outlineLevel="0" collapsed="false">
      <c r="A10" s="59" t="s">
        <v>149</v>
      </c>
      <c r="B10" s="59"/>
      <c r="C10" s="59"/>
      <c r="D10" s="59"/>
      <c r="E10" s="59"/>
      <c r="F10" s="59"/>
      <c r="G10" s="60" t="n">
        <f aca="false">SUM(G8:G9)</f>
        <v>9</v>
      </c>
    </row>
    <row r="12" customFormat="false" ht="15" hidden="false" customHeight="false" outlineLevel="0" collapsed="false">
      <c r="B12" s="0" t="s">
        <v>131</v>
      </c>
      <c r="G12" s="0" t="n">
        <f aca="false">G10</f>
        <v>9</v>
      </c>
    </row>
    <row r="14" customFormat="false" ht="15" hidden="false" customHeight="false" outlineLevel="0" collapsed="false">
      <c r="B14" s="0" t="s">
        <v>132</v>
      </c>
      <c r="C14" s="0" t="n">
        <v>0.16</v>
      </c>
    </row>
    <row r="15" customFormat="false" ht="15" hidden="false" customHeight="false" outlineLevel="0" collapsed="false">
      <c r="B15" s="0" t="s">
        <v>133</v>
      </c>
      <c r="C15" s="0" t="n">
        <f aca="false">G10</f>
        <v>9</v>
      </c>
      <c r="D15" s="0" t="s">
        <v>134</v>
      </c>
    </row>
    <row r="16" customFormat="false" ht="15" hidden="false" customHeight="false" outlineLevel="0" collapsed="false">
      <c r="B16" s="0" t="s">
        <v>135</v>
      </c>
      <c r="C16" s="0" t="n">
        <f aca="false">C15/C14</f>
        <v>56.25</v>
      </c>
      <c r="D16" s="0" t="s">
        <v>136</v>
      </c>
    </row>
    <row r="17" customFormat="false" ht="15" hidden="false" customHeight="false" outlineLevel="0" collapsed="false">
      <c r="B17" s="0" t="s">
        <v>137</v>
      </c>
      <c r="C17" s="0" t="n">
        <v>1.01</v>
      </c>
    </row>
    <row r="18" customFormat="false" ht="15" hidden="false" customHeight="false" outlineLevel="0" collapsed="false">
      <c r="B18" s="0" t="s">
        <v>138</v>
      </c>
      <c r="C18" s="0" t="n">
        <v>0.05</v>
      </c>
    </row>
    <row r="19" customFormat="false" ht="15" hidden="false" customHeight="false" outlineLevel="0" collapsed="false">
      <c r="B19" s="0" t="s">
        <v>139</v>
      </c>
      <c r="C19" s="0" t="n">
        <v>0.1</v>
      </c>
    </row>
    <row r="20" customFormat="false" ht="15" hidden="false" customHeight="false" outlineLevel="0" collapsed="false">
      <c r="B20" s="0" t="s">
        <v>140</v>
      </c>
      <c r="C20" s="0" t="n">
        <f aca="false">C16*C17*(1+C18+C19)</f>
        <v>65.334375</v>
      </c>
      <c r="D20" s="0" t="s">
        <v>136</v>
      </c>
    </row>
    <row r="22" customFormat="false" ht="15" hidden="false" customHeight="false" outlineLevel="0" collapsed="false">
      <c r="B22" s="0" t="s">
        <v>141</v>
      </c>
      <c r="C22" s="0" t="n">
        <f aca="false">C20*1.05</f>
        <v>68.60109375</v>
      </c>
      <c r="D22" s="0" t="n">
        <f aca="false">C20*0.95</f>
        <v>62.06765625</v>
      </c>
    </row>
  </sheetData>
  <mergeCells count="1"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6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102</v>
      </c>
      <c r="C1" s="0" t="s">
        <v>103</v>
      </c>
      <c r="D1" s="0" t="s">
        <v>72</v>
      </c>
    </row>
    <row r="2" customFormat="false" ht="15" hidden="false" customHeight="false" outlineLevel="0" collapsed="false">
      <c r="B2" s="0" t="s">
        <v>104</v>
      </c>
      <c r="C2" s="0" t="s">
        <v>105</v>
      </c>
    </row>
    <row r="3" customFormat="false" ht="15" hidden="false" customHeight="false" outlineLevel="0" collapsed="false">
      <c r="B3" s="0" t="s">
        <v>106</v>
      </c>
      <c r="C3" s="0" t="s">
        <v>150</v>
      </c>
    </row>
    <row r="5" customFormat="false" ht="15" hidden="false" customHeight="false" outlineLevel="0" collapsed="false">
      <c r="D5" s="0" t="s">
        <v>108</v>
      </c>
      <c r="H5" s="0" t="s">
        <v>109</v>
      </c>
    </row>
    <row r="6" customFormat="false" ht="35.05" hidden="false" customHeight="false" outlineLevel="0" collapsed="false">
      <c r="A6" s="55" t="s">
        <v>110</v>
      </c>
      <c r="B6" s="55" t="s">
        <v>111</v>
      </c>
      <c r="C6" s="55" t="s">
        <v>112</v>
      </c>
      <c r="D6" s="55" t="s">
        <v>113</v>
      </c>
      <c r="E6" s="55" t="s">
        <v>114</v>
      </c>
      <c r="F6" s="55" t="s">
        <v>115</v>
      </c>
      <c r="G6" s="55" t="s">
        <v>116</v>
      </c>
      <c r="H6" s="55" t="s">
        <v>113</v>
      </c>
      <c r="I6" s="55" t="s">
        <v>114</v>
      </c>
      <c r="J6" s="55" t="s">
        <v>115</v>
      </c>
    </row>
    <row r="7" customFormat="false" ht="15" hidden="false" customHeight="false" outlineLevel="0" collapsed="false">
      <c r="D7" s="56" t="n">
        <v>1</v>
      </c>
      <c r="E7" s="56" t="n">
        <v>3</v>
      </c>
      <c r="F7" s="56" t="n">
        <v>5</v>
      </c>
    </row>
    <row r="8" customFormat="false" ht="53.7" hidden="false" customHeight="false" outlineLevel="0" collapsed="false">
      <c r="A8" s="57" t="s">
        <v>151</v>
      </c>
      <c r="B8" s="57" t="s">
        <v>152</v>
      </c>
      <c r="C8" s="57" t="s">
        <v>153</v>
      </c>
      <c r="D8" s="58" t="n">
        <v>2</v>
      </c>
      <c r="E8" s="58" t="n">
        <v>1</v>
      </c>
      <c r="F8" s="58" t="n">
        <v>0</v>
      </c>
      <c r="G8" s="58" t="n">
        <f aca="false">D8*$D$7+E8*$E$7+F8*$F$7</f>
        <v>5</v>
      </c>
    </row>
    <row r="9" customFormat="false" ht="64.15" hidden="false" customHeight="false" outlineLevel="0" collapsed="false">
      <c r="A9" s="57" t="s">
        <v>151</v>
      </c>
      <c r="B9" s="57" t="s">
        <v>154</v>
      </c>
      <c r="C9" s="57" t="s">
        <v>155</v>
      </c>
      <c r="D9" s="58" t="n">
        <v>0</v>
      </c>
      <c r="E9" s="58" t="n">
        <v>2</v>
      </c>
      <c r="F9" s="58" t="n">
        <v>1</v>
      </c>
      <c r="G9" s="58" t="n">
        <f aca="false">D9*$D$7+E9*$E$7+F9*$F$7</f>
        <v>11</v>
      </c>
    </row>
    <row r="10" customFormat="false" ht="53.7" hidden="false" customHeight="false" outlineLevel="0" collapsed="false">
      <c r="A10" s="57" t="s">
        <v>156</v>
      </c>
      <c r="B10" s="57" t="s">
        <v>157</v>
      </c>
      <c r="C10" s="57" t="s">
        <v>158</v>
      </c>
      <c r="D10" s="58" t="n">
        <v>1</v>
      </c>
      <c r="E10" s="58" t="n">
        <v>2</v>
      </c>
      <c r="F10" s="58" t="n">
        <v>0</v>
      </c>
      <c r="G10" s="58" t="n">
        <f aca="false">D10*$D$7+E10*$E$7+F10*$F$7</f>
        <v>7</v>
      </c>
    </row>
    <row r="11" customFormat="false" ht="15" hidden="false" customHeight="true" outlineLevel="0" collapsed="false">
      <c r="A11" s="59" t="s">
        <v>159</v>
      </c>
      <c r="B11" s="59"/>
      <c r="C11" s="59"/>
      <c r="D11" s="59"/>
      <c r="E11" s="59"/>
      <c r="F11" s="59"/>
      <c r="G11" s="60" t="n">
        <f aca="false">SUM(G8:G10)</f>
        <v>23</v>
      </c>
    </row>
    <row r="13" customFormat="false" ht="15" hidden="false" customHeight="false" outlineLevel="0" collapsed="false">
      <c r="B13" s="0" t="s">
        <v>131</v>
      </c>
      <c r="G13" s="0" t="n">
        <f aca="false">G11</f>
        <v>23</v>
      </c>
    </row>
    <row r="15" customFormat="false" ht="15" hidden="false" customHeight="false" outlineLevel="0" collapsed="false">
      <c r="B15" s="0" t="s">
        <v>132</v>
      </c>
      <c r="C15" s="0" t="n">
        <v>0.16</v>
      </c>
    </row>
    <row r="16" customFormat="false" ht="15" hidden="false" customHeight="false" outlineLevel="0" collapsed="false">
      <c r="B16" s="0" t="s">
        <v>133</v>
      </c>
      <c r="C16" s="0" t="n">
        <f aca="false">G11</f>
        <v>23</v>
      </c>
      <c r="D16" s="0" t="s">
        <v>134</v>
      </c>
    </row>
    <row r="17" customFormat="false" ht="15" hidden="false" customHeight="false" outlineLevel="0" collapsed="false">
      <c r="B17" s="0" t="s">
        <v>135</v>
      </c>
      <c r="C17" s="0" t="n">
        <f aca="false">C16/C15</f>
        <v>143.75</v>
      </c>
      <c r="D17" s="0" t="s">
        <v>136</v>
      </c>
    </row>
    <row r="18" customFormat="false" ht="15" hidden="false" customHeight="false" outlineLevel="0" collapsed="false">
      <c r="B18" s="0" t="s">
        <v>137</v>
      </c>
      <c r="C18" s="0" t="n">
        <v>1.01</v>
      </c>
    </row>
    <row r="19" customFormat="false" ht="15" hidden="false" customHeight="false" outlineLevel="0" collapsed="false">
      <c r="B19" s="0" t="s">
        <v>138</v>
      </c>
      <c r="C19" s="0" t="n">
        <v>0.05</v>
      </c>
    </row>
    <row r="20" customFormat="false" ht="15" hidden="false" customHeight="false" outlineLevel="0" collapsed="false">
      <c r="B20" s="0" t="s">
        <v>139</v>
      </c>
      <c r="C20" s="0" t="n">
        <v>0.1</v>
      </c>
    </row>
    <row r="21" customFormat="false" ht="15" hidden="false" customHeight="false" outlineLevel="0" collapsed="false">
      <c r="B21" s="0" t="s">
        <v>140</v>
      </c>
      <c r="C21" s="0" t="n">
        <f aca="false">C17*C18*(1+C19+C20)</f>
        <v>166.965625</v>
      </c>
      <c r="D21" s="0" t="s">
        <v>136</v>
      </c>
    </row>
    <row r="23" customFormat="false" ht="15" hidden="false" customHeight="false" outlineLevel="0" collapsed="false">
      <c r="B23" s="0" t="s">
        <v>141</v>
      </c>
      <c r="C23" s="0" t="n">
        <f aca="false">C21*1.05</f>
        <v>175.31390625</v>
      </c>
      <c r="D23" s="0" t="n">
        <f aca="false">C21*0.95</f>
        <v>158.61734375</v>
      </c>
    </row>
  </sheetData>
  <mergeCells count="1"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6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102</v>
      </c>
      <c r="C1" s="0" t="s">
        <v>103</v>
      </c>
      <c r="D1" s="0" t="s">
        <v>72</v>
      </c>
    </row>
    <row r="2" customFormat="false" ht="15" hidden="false" customHeight="false" outlineLevel="0" collapsed="false">
      <c r="B2" s="0" t="s">
        <v>104</v>
      </c>
      <c r="C2" s="0" t="s">
        <v>105</v>
      </c>
    </row>
    <row r="3" customFormat="false" ht="15" hidden="false" customHeight="false" outlineLevel="0" collapsed="false">
      <c r="B3" s="0" t="s">
        <v>106</v>
      </c>
      <c r="C3" s="0" t="s">
        <v>160</v>
      </c>
    </row>
    <row r="5" customFormat="false" ht="15" hidden="false" customHeight="false" outlineLevel="0" collapsed="false">
      <c r="D5" s="0" t="s">
        <v>108</v>
      </c>
      <c r="H5" s="0" t="s">
        <v>109</v>
      </c>
    </row>
    <row r="6" customFormat="false" ht="35.05" hidden="false" customHeight="false" outlineLevel="0" collapsed="false">
      <c r="A6" s="55" t="s">
        <v>110</v>
      </c>
      <c r="B6" s="55" t="s">
        <v>111</v>
      </c>
      <c r="C6" s="55" t="s">
        <v>112</v>
      </c>
      <c r="D6" s="55" t="s">
        <v>113</v>
      </c>
      <c r="E6" s="55" t="s">
        <v>114</v>
      </c>
      <c r="F6" s="55" t="s">
        <v>115</v>
      </c>
      <c r="G6" s="55" t="s">
        <v>116</v>
      </c>
      <c r="H6" s="55" t="s">
        <v>113</v>
      </c>
      <c r="I6" s="55" t="s">
        <v>114</v>
      </c>
      <c r="J6" s="55" t="s">
        <v>115</v>
      </c>
    </row>
    <row r="7" customFormat="false" ht="15" hidden="false" customHeight="false" outlineLevel="0" collapsed="false">
      <c r="D7" s="56" t="n">
        <v>1</v>
      </c>
      <c r="E7" s="56" t="n">
        <v>3</v>
      </c>
      <c r="F7" s="56" t="n">
        <v>5</v>
      </c>
    </row>
    <row r="8" customFormat="false" ht="53.7" hidden="false" customHeight="false" outlineLevel="0" collapsed="false">
      <c r="A8" s="57" t="s">
        <v>161</v>
      </c>
      <c r="B8" s="57" t="s">
        <v>162</v>
      </c>
      <c r="C8" s="57" t="s">
        <v>163</v>
      </c>
      <c r="D8" s="58" t="n">
        <v>2</v>
      </c>
      <c r="E8" s="58" t="n">
        <v>2</v>
      </c>
      <c r="F8" s="58" t="n">
        <v>0</v>
      </c>
      <c r="G8" s="58" t="n">
        <f aca="false">D8*$D$7+E8*$E$7+F8*$F$7</f>
        <v>8</v>
      </c>
    </row>
    <row r="9" customFormat="false" ht="74.6" hidden="false" customHeight="false" outlineLevel="0" collapsed="false">
      <c r="A9" s="57" t="s">
        <v>164</v>
      </c>
      <c r="B9" s="57" t="s">
        <v>165</v>
      </c>
      <c r="C9" s="57" t="s">
        <v>166</v>
      </c>
      <c r="D9" s="58" t="n">
        <v>1</v>
      </c>
      <c r="E9" s="58" t="n">
        <v>2</v>
      </c>
      <c r="F9" s="58" t="n">
        <v>2</v>
      </c>
      <c r="G9" s="58" t="n">
        <f aca="false">D9*$D$7+E9*$E$7+F9*$F$7</f>
        <v>17</v>
      </c>
    </row>
    <row r="10" customFormat="false" ht="53.7" hidden="false" customHeight="false" outlineLevel="0" collapsed="false">
      <c r="A10" s="57" t="s">
        <v>167</v>
      </c>
      <c r="B10" s="57" t="s">
        <v>168</v>
      </c>
      <c r="C10" s="57" t="s">
        <v>169</v>
      </c>
      <c r="D10" s="58" t="n">
        <v>1</v>
      </c>
      <c r="E10" s="58" t="n">
        <v>2</v>
      </c>
      <c r="F10" s="58" t="n">
        <v>1</v>
      </c>
      <c r="G10" s="58" t="n">
        <f aca="false">D10*$D$7+E10*$E$7+F10*$F$7</f>
        <v>12</v>
      </c>
    </row>
    <row r="11" customFormat="false" ht="64.15" hidden="false" customHeight="false" outlineLevel="0" collapsed="false">
      <c r="A11" s="57" t="s">
        <v>170</v>
      </c>
      <c r="B11" s="57" t="s">
        <v>171</v>
      </c>
      <c r="C11" s="57" t="s">
        <v>172</v>
      </c>
      <c r="D11" s="58" t="n">
        <v>1</v>
      </c>
      <c r="E11" s="58" t="n">
        <v>2</v>
      </c>
      <c r="F11" s="58" t="n">
        <v>1</v>
      </c>
      <c r="G11" s="58" t="n">
        <f aca="false">D11*$D$7+E11*$E$7+F11*$F$7</f>
        <v>12</v>
      </c>
    </row>
    <row r="12" customFormat="false" ht="64.15" hidden="false" customHeight="false" outlineLevel="0" collapsed="false">
      <c r="A12" s="57" t="s">
        <v>173</v>
      </c>
      <c r="B12" s="57" t="s">
        <v>174</v>
      </c>
      <c r="C12" s="57" t="s">
        <v>175</v>
      </c>
      <c r="D12" s="58" t="n">
        <v>4</v>
      </c>
      <c r="E12" s="58" t="n">
        <v>1</v>
      </c>
      <c r="F12" s="58" t="n">
        <v>0</v>
      </c>
      <c r="G12" s="58" t="n">
        <f aca="false">D12*$D$7+E12*$E$7+F12*$F$7</f>
        <v>7</v>
      </c>
    </row>
    <row r="13" customFormat="false" ht="74.6" hidden="false" customHeight="false" outlineLevel="0" collapsed="false">
      <c r="A13" s="57" t="s">
        <v>176</v>
      </c>
      <c r="B13" s="57" t="s">
        <v>177</v>
      </c>
      <c r="C13" s="57" t="s">
        <v>178</v>
      </c>
      <c r="D13" s="58" t="n">
        <v>2</v>
      </c>
      <c r="E13" s="58" t="n">
        <v>2</v>
      </c>
      <c r="F13" s="58" t="n">
        <v>0</v>
      </c>
      <c r="G13" s="58" t="n">
        <f aca="false">D13*$D$7+E13*$E$7+F13*$F$7</f>
        <v>8</v>
      </c>
    </row>
    <row r="14" customFormat="false" ht="15" hidden="false" customHeight="true" outlineLevel="0" collapsed="false">
      <c r="A14" s="59" t="s">
        <v>179</v>
      </c>
      <c r="B14" s="59"/>
      <c r="C14" s="59"/>
      <c r="D14" s="59"/>
      <c r="E14" s="59"/>
      <c r="F14" s="59"/>
      <c r="G14" s="60" t="n">
        <f aca="false">SUM(G8:G13)</f>
        <v>64</v>
      </c>
    </row>
    <row r="16" customFormat="false" ht="15" hidden="false" customHeight="false" outlineLevel="0" collapsed="false">
      <c r="B16" s="0" t="s">
        <v>131</v>
      </c>
      <c r="G16" s="0" t="n">
        <f aca="false">G14</f>
        <v>64</v>
      </c>
    </row>
    <row r="18" customFormat="false" ht="15" hidden="false" customHeight="false" outlineLevel="0" collapsed="false">
      <c r="B18" s="0" t="s">
        <v>132</v>
      </c>
      <c r="C18" s="0" t="n">
        <v>0.16</v>
      </c>
    </row>
    <row r="19" customFormat="false" ht="15" hidden="false" customHeight="false" outlineLevel="0" collapsed="false">
      <c r="B19" s="0" t="s">
        <v>133</v>
      </c>
      <c r="C19" s="0" t="n">
        <f aca="false">G14</f>
        <v>64</v>
      </c>
      <c r="D19" s="0" t="s">
        <v>134</v>
      </c>
    </row>
    <row r="20" customFormat="false" ht="15" hidden="false" customHeight="false" outlineLevel="0" collapsed="false">
      <c r="B20" s="0" t="s">
        <v>135</v>
      </c>
      <c r="C20" s="0" t="n">
        <f aca="false">C19/C18</f>
        <v>400</v>
      </c>
      <c r="D20" s="0" t="s">
        <v>136</v>
      </c>
    </row>
    <row r="21" customFormat="false" ht="15" hidden="false" customHeight="false" outlineLevel="0" collapsed="false">
      <c r="B21" s="0" t="s">
        <v>137</v>
      </c>
      <c r="C21" s="0" t="n">
        <v>1.01</v>
      </c>
    </row>
    <row r="22" customFormat="false" ht="15" hidden="false" customHeight="false" outlineLevel="0" collapsed="false">
      <c r="B22" s="0" t="s">
        <v>138</v>
      </c>
      <c r="C22" s="0" t="n">
        <v>0.05</v>
      </c>
    </row>
    <row r="23" customFormat="false" ht="15" hidden="false" customHeight="false" outlineLevel="0" collapsed="false">
      <c r="B23" s="0" t="s">
        <v>139</v>
      </c>
      <c r="C23" s="0" t="n">
        <v>0.1</v>
      </c>
    </row>
    <row r="24" customFormat="false" ht="15" hidden="false" customHeight="false" outlineLevel="0" collapsed="false">
      <c r="B24" s="0" t="s">
        <v>140</v>
      </c>
      <c r="C24" s="0" t="n">
        <f aca="false">C20*C21*(1+C22+C23)</f>
        <v>464.6</v>
      </c>
      <c r="D24" s="0" t="s">
        <v>136</v>
      </c>
    </row>
    <row r="26" customFormat="false" ht="15" hidden="false" customHeight="false" outlineLevel="0" collapsed="false">
      <c r="B26" s="0" t="s">
        <v>141</v>
      </c>
      <c r="C26" s="0" t="n">
        <f aca="false">C24*1.05</f>
        <v>487.83</v>
      </c>
      <c r="D26" s="0" t="n">
        <f aca="false">C24*0.95</f>
        <v>441.37</v>
      </c>
    </row>
  </sheetData>
  <mergeCells count="1"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6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102</v>
      </c>
      <c r="C1" s="0" t="s">
        <v>103</v>
      </c>
      <c r="D1" s="0" t="s">
        <v>72</v>
      </c>
    </row>
    <row r="2" customFormat="false" ht="15" hidden="false" customHeight="false" outlineLevel="0" collapsed="false">
      <c r="B2" s="0" t="s">
        <v>104</v>
      </c>
      <c r="C2" s="0" t="s">
        <v>105</v>
      </c>
    </row>
    <row r="3" customFormat="false" ht="15" hidden="false" customHeight="false" outlineLevel="0" collapsed="false">
      <c r="B3" s="0" t="s">
        <v>106</v>
      </c>
      <c r="C3" s="0" t="s">
        <v>180</v>
      </c>
    </row>
    <row r="5" customFormat="false" ht="15" hidden="false" customHeight="false" outlineLevel="0" collapsed="false">
      <c r="D5" s="0" t="s">
        <v>108</v>
      </c>
      <c r="H5" s="0" t="s">
        <v>109</v>
      </c>
    </row>
    <row r="6" customFormat="false" ht="35.05" hidden="false" customHeight="false" outlineLevel="0" collapsed="false">
      <c r="A6" s="55" t="s">
        <v>110</v>
      </c>
      <c r="B6" s="55" t="s">
        <v>111</v>
      </c>
      <c r="C6" s="55" t="s">
        <v>112</v>
      </c>
      <c r="D6" s="55" t="s">
        <v>113</v>
      </c>
      <c r="E6" s="55" t="s">
        <v>114</v>
      </c>
      <c r="F6" s="55" t="s">
        <v>115</v>
      </c>
      <c r="G6" s="55" t="s">
        <v>116</v>
      </c>
      <c r="H6" s="55" t="s">
        <v>113</v>
      </c>
      <c r="I6" s="55" t="s">
        <v>114</v>
      </c>
      <c r="J6" s="55" t="s">
        <v>115</v>
      </c>
    </row>
    <row r="7" customFormat="false" ht="15" hidden="false" customHeight="false" outlineLevel="0" collapsed="false">
      <c r="D7" s="56" t="n">
        <v>1</v>
      </c>
      <c r="E7" s="56" t="n">
        <v>3</v>
      </c>
      <c r="F7" s="56" t="n">
        <v>5</v>
      </c>
    </row>
    <row r="8" customFormat="false" ht="74.6" hidden="false" customHeight="false" outlineLevel="0" collapsed="false">
      <c r="A8" s="57" t="s">
        <v>181</v>
      </c>
      <c r="B8" s="57" t="s">
        <v>182</v>
      </c>
      <c r="C8" s="57" t="s">
        <v>183</v>
      </c>
      <c r="D8" s="58" t="n">
        <v>0</v>
      </c>
      <c r="E8" s="58" t="n">
        <v>2</v>
      </c>
      <c r="F8" s="58" t="n">
        <v>2</v>
      </c>
      <c r="G8" s="58" t="n">
        <f aca="false">D8*$D$7+E8*$E$7+F8*$F$7</f>
        <v>16</v>
      </c>
    </row>
    <row r="9" customFormat="false" ht="85.05" hidden="false" customHeight="false" outlineLevel="0" collapsed="false">
      <c r="A9" s="57" t="s">
        <v>181</v>
      </c>
      <c r="B9" s="57" t="s">
        <v>184</v>
      </c>
      <c r="C9" s="57" t="s">
        <v>185</v>
      </c>
      <c r="D9" s="58" t="n">
        <v>0</v>
      </c>
      <c r="E9" s="58" t="n">
        <v>1</v>
      </c>
      <c r="F9" s="58" t="n">
        <v>3</v>
      </c>
      <c r="G9" s="58" t="n">
        <f aca="false">D9*$D$7+E9*$E$7+F9*$F$7</f>
        <v>18</v>
      </c>
    </row>
    <row r="10" customFormat="false" ht="85.05" hidden="false" customHeight="false" outlineLevel="0" collapsed="false">
      <c r="A10" s="57" t="s">
        <v>186</v>
      </c>
      <c r="B10" s="57" t="s">
        <v>187</v>
      </c>
      <c r="C10" s="57" t="s">
        <v>188</v>
      </c>
      <c r="D10" s="58" t="n">
        <v>1</v>
      </c>
      <c r="E10" s="58" t="n">
        <v>2</v>
      </c>
      <c r="F10" s="58" t="n">
        <v>1</v>
      </c>
      <c r="G10" s="58" t="n">
        <f aca="false">D10*$D$7+E10*$E$7+F10*$F$7</f>
        <v>12</v>
      </c>
    </row>
    <row r="11" customFormat="false" ht="74.6" hidden="false" customHeight="false" outlineLevel="0" collapsed="false">
      <c r="A11" s="57" t="s">
        <v>189</v>
      </c>
      <c r="B11" s="57" t="s">
        <v>190</v>
      </c>
      <c r="C11" s="57" t="s">
        <v>191</v>
      </c>
      <c r="D11" s="58" t="n">
        <v>0</v>
      </c>
      <c r="E11" s="58" t="n">
        <v>1</v>
      </c>
      <c r="F11" s="58" t="n">
        <v>2</v>
      </c>
      <c r="G11" s="58" t="n">
        <f aca="false">D11*$D$7+E11*$E$7+F11*$F$7</f>
        <v>13</v>
      </c>
    </row>
    <row r="12" customFormat="false" ht="15" hidden="false" customHeight="true" outlineLevel="0" collapsed="false">
      <c r="A12" s="59" t="s">
        <v>192</v>
      </c>
      <c r="B12" s="59"/>
      <c r="C12" s="59"/>
      <c r="D12" s="59"/>
      <c r="E12" s="59"/>
      <c r="F12" s="59"/>
      <c r="G12" s="60" t="n">
        <f aca="false">SUM(G8:G11)</f>
        <v>59</v>
      </c>
    </row>
    <row r="14" customFormat="false" ht="15" hidden="false" customHeight="false" outlineLevel="0" collapsed="false">
      <c r="B14" s="0" t="s">
        <v>131</v>
      </c>
      <c r="G14" s="0" t="n">
        <f aca="false">G12</f>
        <v>59</v>
      </c>
    </row>
    <row r="16" customFormat="false" ht="15" hidden="false" customHeight="false" outlineLevel="0" collapsed="false">
      <c r="B16" s="0" t="s">
        <v>132</v>
      </c>
      <c r="C16" s="0" t="n">
        <v>0.16</v>
      </c>
    </row>
    <row r="17" customFormat="false" ht="15" hidden="false" customHeight="false" outlineLevel="0" collapsed="false">
      <c r="B17" s="0" t="s">
        <v>133</v>
      </c>
      <c r="C17" s="0" t="n">
        <f aca="false">G12</f>
        <v>59</v>
      </c>
      <c r="D17" s="0" t="s">
        <v>134</v>
      </c>
    </row>
    <row r="18" customFormat="false" ht="15" hidden="false" customHeight="false" outlineLevel="0" collapsed="false">
      <c r="B18" s="0" t="s">
        <v>135</v>
      </c>
      <c r="C18" s="0" t="n">
        <f aca="false">C17/C16</f>
        <v>368.75</v>
      </c>
      <c r="D18" s="0" t="s">
        <v>136</v>
      </c>
    </row>
    <row r="19" customFormat="false" ht="15" hidden="false" customHeight="false" outlineLevel="0" collapsed="false">
      <c r="B19" s="0" t="s">
        <v>137</v>
      </c>
      <c r="C19" s="0" t="n">
        <v>1.01</v>
      </c>
    </row>
    <row r="20" customFormat="false" ht="15" hidden="false" customHeight="false" outlineLevel="0" collapsed="false">
      <c r="B20" s="0" t="s">
        <v>138</v>
      </c>
      <c r="C20" s="0" t="n">
        <v>0.05</v>
      </c>
    </row>
    <row r="21" customFormat="false" ht="15" hidden="false" customHeight="false" outlineLevel="0" collapsed="false">
      <c r="B21" s="0" t="s">
        <v>139</v>
      </c>
      <c r="C21" s="0" t="n">
        <v>0.1</v>
      </c>
    </row>
    <row r="22" customFormat="false" ht="15" hidden="false" customHeight="false" outlineLevel="0" collapsed="false">
      <c r="B22" s="0" t="s">
        <v>140</v>
      </c>
      <c r="C22" s="0" t="n">
        <f aca="false">C18*C19*(1+C20+C21)</f>
        <v>428.303125</v>
      </c>
      <c r="D22" s="0" t="s">
        <v>136</v>
      </c>
    </row>
    <row r="24" customFormat="false" ht="15" hidden="false" customHeight="false" outlineLevel="0" collapsed="false">
      <c r="B24" s="0" t="s">
        <v>141</v>
      </c>
      <c r="C24" s="0" t="n">
        <f aca="false">C22*1.05</f>
        <v>449.71828125</v>
      </c>
      <c r="D24" s="0" t="n">
        <f aca="false">C22*0.95</f>
        <v>406.88796875</v>
      </c>
    </row>
  </sheetData>
  <mergeCells count="1"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6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102</v>
      </c>
      <c r="C1" s="0" t="s">
        <v>103</v>
      </c>
      <c r="D1" s="0" t="s">
        <v>72</v>
      </c>
    </row>
    <row r="2" customFormat="false" ht="15" hidden="false" customHeight="false" outlineLevel="0" collapsed="false">
      <c r="B2" s="0" t="s">
        <v>104</v>
      </c>
      <c r="C2" s="0" t="s">
        <v>105</v>
      </c>
    </row>
    <row r="3" customFormat="false" ht="15" hidden="false" customHeight="false" outlineLevel="0" collapsed="false">
      <c r="B3" s="0" t="s">
        <v>106</v>
      </c>
      <c r="C3" s="0" t="s">
        <v>193</v>
      </c>
    </row>
    <row r="5" customFormat="false" ht="15" hidden="false" customHeight="false" outlineLevel="0" collapsed="false">
      <c r="D5" s="0" t="s">
        <v>108</v>
      </c>
      <c r="H5" s="0" t="s">
        <v>109</v>
      </c>
    </row>
    <row r="6" customFormat="false" ht="35.05" hidden="false" customHeight="false" outlineLevel="0" collapsed="false">
      <c r="A6" s="55" t="s">
        <v>110</v>
      </c>
      <c r="B6" s="55" t="s">
        <v>111</v>
      </c>
      <c r="C6" s="55" t="s">
        <v>112</v>
      </c>
      <c r="D6" s="55" t="s">
        <v>113</v>
      </c>
      <c r="E6" s="55" t="s">
        <v>114</v>
      </c>
      <c r="F6" s="55" t="s">
        <v>115</v>
      </c>
      <c r="G6" s="55" t="s">
        <v>116</v>
      </c>
      <c r="H6" s="55" t="s">
        <v>113</v>
      </c>
      <c r="I6" s="55" t="s">
        <v>114</v>
      </c>
      <c r="J6" s="55" t="s">
        <v>115</v>
      </c>
    </row>
    <row r="7" customFormat="false" ht="15" hidden="false" customHeight="false" outlineLevel="0" collapsed="false">
      <c r="D7" s="56" t="n">
        <v>1</v>
      </c>
      <c r="E7" s="56" t="n">
        <v>3</v>
      </c>
      <c r="F7" s="56" t="n">
        <v>5</v>
      </c>
    </row>
    <row r="8" customFormat="false" ht="74.6" hidden="false" customHeight="false" outlineLevel="0" collapsed="false">
      <c r="A8" s="57" t="s">
        <v>194</v>
      </c>
      <c r="B8" s="57" t="s">
        <v>195</v>
      </c>
      <c r="C8" s="57" t="s">
        <v>196</v>
      </c>
      <c r="D8" s="58" t="n">
        <v>1</v>
      </c>
      <c r="E8" s="58" t="n">
        <v>2</v>
      </c>
      <c r="F8" s="58" t="n">
        <v>2</v>
      </c>
      <c r="G8" s="58" t="n">
        <f aca="false">D8*$D$7+E8*$E$7+F8*$F$7</f>
        <v>17</v>
      </c>
    </row>
    <row r="9" customFormat="false" ht="74.6" hidden="false" customHeight="false" outlineLevel="0" collapsed="false">
      <c r="A9" s="57" t="s">
        <v>197</v>
      </c>
      <c r="B9" s="57" t="s">
        <v>198</v>
      </c>
      <c r="C9" s="57" t="s">
        <v>199</v>
      </c>
      <c r="D9" s="58" t="n">
        <v>2</v>
      </c>
      <c r="E9" s="58" t="n">
        <v>2</v>
      </c>
      <c r="F9" s="58" t="n">
        <v>0</v>
      </c>
      <c r="G9" s="58" t="n">
        <f aca="false">D9*$D$7+E9*$E$7+F9*$F$7</f>
        <v>8</v>
      </c>
    </row>
    <row r="10" customFormat="false" ht="15" hidden="false" customHeight="true" outlineLevel="0" collapsed="false">
      <c r="A10" s="59" t="s">
        <v>200</v>
      </c>
      <c r="B10" s="59"/>
      <c r="C10" s="59"/>
      <c r="D10" s="59"/>
      <c r="E10" s="59"/>
      <c r="F10" s="59"/>
      <c r="G10" s="60" t="n">
        <f aca="false">SUM(G8:G9)</f>
        <v>25</v>
      </c>
    </row>
    <row r="12" customFormat="false" ht="15" hidden="false" customHeight="false" outlineLevel="0" collapsed="false">
      <c r="B12" s="0" t="s">
        <v>131</v>
      </c>
      <c r="G12" s="0" t="n">
        <f aca="false">G10</f>
        <v>25</v>
      </c>
    </row>
    <row r="14" customFormat="false" ht="15" hidden="false" customHeight="false" outlineLevel="0" collapsed="false">
      <c r="B14" s="0" t="s">
        <v>132</v>
      </c>
      <c r="C14" s="0" t="n">
        <v>0.16</v>
      </c>
    </row>
    <row r="15" customFormat="false" ht="15" hidden="false" customHeight="false" outlineLevel="0" collapsed="false">
      <c r="B15" s="0" t="s">
        <v>133</v>
      </c>
      <c r="C15" s="0" t="n">
        <f aca="false">G10</f>
        <v>25</v>
      </c>
      <c r="D15" s="0" t="s">
        <v>134</v>
      </c>
    </row>
    <row r="16" customFormat="false" ht="15" hidden="false" customHeight="false" outlineLevel="0" collapsed="false">
      <c r="B16" s="0" t="s">
        <v>135</v>
      </c>
      <c r="C16" s="0" t="n">
        <f aca="false">C15/C14</f>
        <v>156.25</v>
      </c>
      <c r="D16" s="0" t="s">
        <v>136</v>
      </c>
    </row>
    <row r="17" customFormat="false" ht="15" hidden="false" customHeight="false" outlineLevel="0" collapsed="false">
      <c r="B17" s="0" t="s">
        <v>137</v>
      </c>
      <c r="C17" s="0" t="n">
        <v>1.01</v>
      </c>
    </row>
    <row r="18" customFormat="false" ht="15" hidden="false" customHeight="false" outlineLevel="0" collapsed="false">
      <c r="B18" s="0" t="s">
        <v>138</v>
      </c>
      <c r="C18" s="0" t="n">
        <v>0.05</v>
      </c>
    </row>
    <row r="19" customFormat="false" ht="15" hidden="false" customHeight="false" outlineLevel="0" collapsed="false">
      <c r="B19" s="0" t="s">
        <v>139</v>
      </c>
      <c r="C19" s="0" t="n">
        <v>0.1</v>
      </c>
    </row>
    <row r="20" customFormat="false" ht="15" hidden="false" customHeight="false" outlineLevel="0" collapsed="false">
      <c r="B20" s="0" t="s">
        <v>140</v>
      </c>
      <c r="C20" s="0" t="n">
        <f aca="false">C16*C17*(1+C18+C19)</f>
        <v>181.484375</v>
      </c>
      <c r="D20" s="0" t="s">
        <v>136</v>
      </c>
    </row>
    <row r="22" customFormat="false" ht="15" hidden="false" customHeight="false" outlineLevel="0" collapsed="false">
      <c r="B22" s="0" t="s">
        <v>141</v>
      </c>
      <c r="C22" s="0" t="n">
        <f aca="false">C20*1.05</f>
        <v>190.55859375</v>
      </c>
      <c r="D22" s="0" t="n">
        <f aca="false">C20*0.95</f>
        <v>172.41015625</v>
      </c>
    </row>
  </sheetData>
  <mergeCells count="1"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6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102</v>
      </c>
      <c r="C1" s="0" t="s">
        <v>103</v>
      </c>
      <c r="D1" s="0" t="s">
        <v>72</v>
      </c>
    </row>
    <row r="2" customFormat="false" ht="15" hidden="false" customHeight="false" outlineLevel="0" collapsed="false">
      <c r="B2" s="0" t="s">
        <v>104</v>
      </c>
      <c r="C2" s="0" t="s">
        <v>105</v>
      </c>
    </row>
    <row r="3" customFormat="false" ht="15" hidden="false" customHeight="false" outlineLevel="0" collapsed="false">
      <c r="B3" s="0" t="s">
        <v>106</v>
      </c>
      <c r="C3" s="0" t="s">
        <v>201</v>
      </c>
    </row>
    <row r="5" customFormat="false" ht="15" hidden="false" customHeight="false" outlineLevel="0" collapsed="false">
      <c r="D5" s="0" t="s">
        <v>108</v>
      </c>
      <c r="H5" s="0" t="s">
        <v>109</v>
      </c>
    </row>
    <row r="6" customFormat="false" ht="35.05" hidden="false" customHeight="false" outlineLevel="0" collapsed="false">
      <c r="A6" s="55" t="s">
        <v>110</v>
      </c>
      <c r="B6" s="55" t="s">
        <v>111</v>
      </c>
      <c r="C6" s="55" t="s">
        <v>112</v>
      </c>
      <c r="D6" s="55" t="s">
        <v>113</v>
      </c>
      <c r="E6" s="55" t="s">
        <v>114</v>
      </c>
      <c r="F6" s="55" t="s">
        <v>115</v>
      </c>
      <c r="G6" s="55" t="s">
        <v>116</v>
      </c>
      <c r="H6" s="55" t="s">
        <v>113</v>
      </c>
      <c r="I6" s="55" t="s">
        <v>114</v>
      </c>
      <c r="J6" s="55" t="s">
        <v>115</v>
      </c>
    </row>
    <row r="7" customFormat="false" ht="15" hidden="false" customHeight="false" outlineLevel="0" collapsed="false">
      <c r="D7" s="56" t="n">
        <v>1</v>
      </c>
      <c r="E7" s="56" t="n">
        <v>3</v>
      </c>
      <c r="F7" s="56" t="n">
        <v>5</v>
      </c>
    </row>
    <row r="8" customFormat="false" ht="95.5" hidden="false" customHeight="false" outlineLevel="0" collapsed="false">
      <c r="A8" s="57" t="s">
        <v>202</v>
      </c>
      <c r="B8" s="57" t="s">
        <v>203</v>
      </c>
      <c r="C8" s="57" t="s">
        <v>204</v>
      </c>
      <c r="D8" s="58" t="n">
        <v>1</v>
      </c>
      <c r="E8" s="58" t="n">
        <v>2</v>
      </c>
      <c r="F8" s="58" t="n">
        <v>2</v>
      </c>
      <c r="G8" s="58" t="n">
        <f aca="false">D8*$D$7+E8*$E$7+F8*$F$7</f>
        <v>17</v>
      </c>
    </row>
    <row r="9" customFormat="false" ht="15" hidden="false" customHeight="true" outlineLevel="0" collapsed="false">
      <c r="A9" s="59" t="s">
        <v>205</v>
      </c>
      <c r="B9" s="59"/>
      <c r="C9" s="59"/>
      <c r="D9" s="59"/>
      <c r="E9" s="59"/>
      <c r="F9" s="59"/>
      <c r="G9" s="60" t="n">
        <f aca="false">SUM(G8:G8)</f>
        <v>17</v>
      </c>
    </row>
    <row r="11" customFormat="false" ht="15" hidden="false" customHeight="false" outlineLevel="0" collapsed="false">
      <c r="B11" s="0" t="s">
        <v>131</v>
      </c>
      <c r="G11" s="0" t="n">
        <f aca="false">G9</f>
        <v>17</v>
      </c>
    </row>
    <row r="13" customFormat="false" ht="15" hidden="false" customHeight="false" outlineLevel="0" collapsed="false">
      <c r="B13" s="0" t="s">
        <v>132</v>
      </c>
      <c r="C13" s="0" t="n">
        <v>0.16</v>
      </c>
    </row>
    <row r="14" customFormat="false" ht="15" hidden="false" customHeight="false" outlineLevel="0" collapsed="false">
      <c r="B14" s="0" t="s">
        <v>133</v>
      </c>
      <c r="C14" s="0" t="n">
        <f aca="false">G9</f>
        <v>17</v>
      </c>
      <c r="D14" s="0" t="s">
        <v>134</v>
      </c>
    </row>
    <row r="15" customFormat="false" ht="15" hidden="false" customHeight="false" outlineLevel="0" collapsed="false">
      <c r="B15" s="0" t="s">
        <v>135</v>
      </c>
      <c r="C15" s="0" t="n">
        <f aca="false">C14/C13</f>
        <v>106.25</v>
      </c>
      <c r="D15" s="0" t="s">
        <v>136</v>
      </c>
    </row>
    <row r="16" customFormat="false" ht="15" hidden="false" customHeight="false" outlineLevel="0" collapsed="false">
      <c r="B16" s="0" t="s">
        <v>137</v>
      </c>
      <c r="C16" s="0" t="n">
        <v>1.01</v>
      </c>
    </row>
    <row r="17" customFormat="false" ht="15" hidden="false" customHeight="false" outlineLevel="0" collapsed="false">
      <c r="B17" s="0" t="s">
        <v>138</v>
      </c>
      <c r="C17" s="0" t="n">
        <v>0.05</v>
      </c>
    </row>
    <row r="18" customFormat="false" ht="15" hidden="false" customHeight="false" outlineLevel="0" collapsed="false">
      <c r="B18" s="0" t="s">
        <v>139</v>
      </c>
      <c r="C18" s="0" t="n">
        <v>0.1</v>
      </c>
    </row>
    <row r="19" customFormat="false" ht="15" hidden="false" customHeight="false" outlineLevel="0" collapsed="false">
      <c r="B19" s="0" t="s">
        <v>140</v>
      </c>
      <c r="C19" s="0" t="n">
        <f aca="false">C15*C16*(1+C17+C18)</f>
        <v>123.409375</v>
      </c>
      <c r="D19" s="0" t="s">
        <v>136</v>
      </c>
    </row>
    <row r="21" customFormat="false" ht="15" hidden="false" customHeight="false" outlineLevel="0" collapsed="false">
      <c r="B21" s="0" t="s">
        <v>141</v>
      </c>
      <c r="C21" s="0" t="n">
        <f aca="false">C19*1.05</f>
        <v>129.57984375</v>
      </c>
      <c r="D21" s="0" t="n">
        <f aca="false">C19*0.95</f>
        <v>117.23890625</v>
      </c>
    </row>
  </sheetData>
  <mergeCells count="1"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6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102</v>
      </c>
      <c r="C1" s="0" t="s">
        <v>103</v>
      </c>
      <c r="D1" s="0" t="s">
        <v>72</v>
      </c>
    </row>
    <row r="2" customFormat="false" ht="15" hidden="false" customHeight="false" outlineLevel="0" collapsed="false">
      <c r="B2" s="0" t="s">
        <v>104</v>
      </c>
      <c r="C2" s="0" t="s">
        <v>105</v>
      </c>
    </row>
    <row r="3" customFormat="false" ht="15" hidden="false" customHeight="false" outlineLevel="0" collapsed="false">
      <c r="B3" s="0" t="s">
        <v>106</v>
      </c>
      <c r="C3" s="0" t="s">
        <v>206</v>
      </c>
    </row>
    <row r="5" customFormat="false" ht="15" hidden="false" customHeight="false" outlineLevel="0" collapsed="false">
      <c r="D5" s="0" t="s">
        <v>108</v>
      </c>
      <c r="H5" s="0" t="s">
        <v>109</v>
      </c>
    </row>
    <row r="6" customFormat="false" ht="35.05" hidden="false" customHeight="false" outlineLevel="0" collapsed="false">
      <c r="A6" s="55" t="s">
        <v>110</v>
      </c>
      <c r="B6" s="55" t="s">
        <v>111</v>
      </c>
      <c r="C6" s="55" t="s">
        <v>112</v>
      </c>
      <c r="D6" s="55" t="s">
        <v>113</v>
      </c>
      <c r="E6" s="55" t="s">
        <v>114</v>
      </c>
      <c r="F6" s="55" t="s">
        <v>115</v>
      </c>
      <c r="G6" s="55" t="s">
        <v>116</v>
      </c>
      <c r="H6" s="55" t="s">
        <v>113</v>
      </c>
      <c r="I6" s="55" t="s">
        <v>114</v>
      </c>
      <c r="J6" s="55" t="s">
        <v>115</v>
      </c>
    </row>
    <row r="7" customFormat="false" ht="15" hidden="false" customHeight="false" outlineLevel="0" collapsed="false">
      <c r="D7" s="56" t="n">
        <v>1</v>
      </c>
      <c r="E7" s="56" t="n">
        <v>3</v>
      </c>
      <c r="F7" s="56" t="n">
        <v>5</v>
      </c>
    </row>
    <row r="8" customFormat="false" ht="53.7" hidden="false" customHeight="false" outlineLevel="0" collapsed="false">
      <c r="A8" s="57" t="s">
        <v>207</v>
      </c>
      <c r="B8" s="57" t="s">
        <v>208</v>
      </c>
      <c r="C8" s="57" t="s">
        <v>209</v>
      </c>
      <c r="D8" s="58" t="n">
        <v>2</v>
      </c>
      <c r="E8" s="58" t="n">
        <v>1</v>
      </c>
      <c r="F8" s="58" t="n">
        <v>0</v>
      </c>
      <c r="G8" s="58" t="n">
        <f aca="false">D8*$D$7+E8*$E$7+F8*$F$7</f>
        <v>5</v>
      </c>
    </row>
    <row r="9" customFormat="false" ht="85.05" hidden="false" customHeight="false" outlineLevel="0" collapsed="false">
      <c r="A9" s="57" t="s">
        <v>210</v>
      </c>
      <c r="B9" s="57" t="s">
        <v>211</v>
      </c>
      <c r="C9" s="57" t="s">
        <v>212</v>
      </c>
      <c r="D9" s="58" t="n">
        <v>1</v>
      </c>
      <c r="E9" s="58" t="n">
        <v>2</v>
      </c>
      <c r="F9" s="58" t="n">
        <v>3</v>
      </c>
      <c r="G9" s="58" t="n">
        <f aca="false">D9*$D$7+E9*$E$7+F9*$F$7</f>
        <v>22</v>
      </c>
    </row>
    <row r="10" customFormat="false" ht="15" hidden="false" customHeight="true" outlineLevel="0" collapsed="false">
      <c r="A10" s="59" t="s">
        <v>213</v>
      </c>
      <c r="B10" s="59"/>
      <c r="C10" s="59"/>
      <c r="D10" s="59"/>
      <c r="E10" s="59"/>
      <c r="F10" s="59"/>
      <c r="G10" s="60" t="n">
        <f aca="false">SUM(G8:G9)</f>
        <v>27</v>
      </c>
    </row>
    <row r="12" customFormat="false" ht="15" hidden="false" customHeight="false" outlineLevel="0" collapsed="false">
      <c r="B12" s="0" t="s">
        <v>131</v>
      </c>
      <c r="G12" s="0" t="n">
        <f aca="false">G10</f>
        <v>27</v>
      </c>
    </row>
    <row r="14" customFormat="false" ht="15" hidden="false" customHeight="false" outlineLevel="0" collapsed="false">
      <c r="B14" s="0" t="s">
        <v>132</v>
      </c>
      <c r="C14" s="0" t="n">
        <v>0.16</v>
      </c>
    </row>
    <row r="15" customFormat="false" ht="15" hidden="false" customHeight="false" outlineLevel="0" collapsed="false">
      <c r="B15" s="0" t="s">
        <v>133</v>
      </c>
      <c r="C15" s="0" t="n">
        <f aca="false">G10</f>
        <v>27</v>
      </c>
      <c r="D15" s="0" t="s">
        <v>134</v>
      </c>
    </row>
    <row r="16" customFormat="false" ht="15" hidden="false" customHeight="false" outlineLevel="0" collapsed="false">
      <c r="B16" s="0" t="s">
        <v>135</v>
      </c>
      <c r="C16" s="0" t="n">
        <f aca="false">C15/C14</f>
        <v>168.75</v>
      </c>
      <c r="D16" s="0" t="s">
        <v>136</v>
      </c>
    </row>
    <row r="17" customFormat="false" ht="15" hidden="false" customHeight="false" outlineLevel="0" collapsed="false">
      <c r="B17" s="0" t="s">
        <v>137</v>
      </c>
      <c r="C17" s="0" t="n">
        <v>1.01</v>
      </c>
    </row>
    <row r="18" customFormat="false" ht="15" hidden="false" customHeight="false" outlineLevel="0" collapsed="false">
      <c r="B18" s="0" t="s">
        <v>138</v>
      </c>
      <c r="C18" s="0" t="n">
        <v>0.05</v>
      </c>
    </row>
    <row r="19" customFormat="false" ht="15" hidden="false" customHeight="false" outlineLevel="0" collapsed="false">
      <c r="B19" s="0" t="s">
        <v>139</v>
      </c>
      <c r="C19" s="0" t="n">
        <v>0.1</v>
      </c>
    </row>
    <row r="20" customFormat="false" ht="15" hidden="false" customHeight="false" outlineLevel="0" collapsed="false">
      <c r="B20" s="0" t="s">
        <v>140</v>
      </c>
      <c r="C20" s="0" t="n">
        <f aca="false">C16*C17*(1+C18+C19)</f>
        <v>196.003125</v>
      </c>
      <c r="D20" s="0" t="s">
        <v>136</v>
      </c>
    </row>
    <row r="22" customFormat="false" ht="15" hidden="false" customHeight="false" outlineLevel="0" collapsed="false">
      <c r="B22" s="0" t="s">
        <v>141</v>
      </c>
      <c r="C22" s="0" t="n">
        <f aca="false">C20*1.05</f>
        <v>205.80328125</v>
      </c>
      <c r="D22" s="0" t="n">
        <f aca="false">C20*0.95</f>
        <v>186.20296875</v>
      </c>
    </row>
  </sheetData>
  <mergeCells count="1"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6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102</v>
      </c>
      <c r="C1" s="0" t="s">
        <v>103</v>
      </c>
      <c r="D1" s="0" t="s">
        <v>72</v>
      </c>
    </row>
    <row r="2" customFormat="false" ht="15" hidden="false" customHeight="false" outlineLevel="0" collapsed="false">
      <c r="B2" s="0" t="s">
        <v>104</v>
      </c>
      <c r="C2" s="0" t="s">
        <v>105</v>
      </c>
    </row>
    <row r="3" customFormat="false" ht="15" hidden="false" customHeight="false" outlineLevel="0" collapsed="false">
      <c r="B3" s="0" t="s">
        <v>106</v>
      </c>
      <c r="C3" s="0" t="s">
        <v>214</v>
      </c>
    </row>
    <row r="5" customFormat="false" ht="15" hidden="false" customHeight="false" outlineLevel="0" collapsed="false">
      <c r="D5" s="0" t="s">
        <v>108</v>
      </c>
      <c r="H5" s="0" t="s">
        <v>109</v>
      </c>
    </row>
    <row r="6" customFormat="false" ht="35.05" hidden="false" customHeight="false" outlineLevel="0" collapsed="false">
      <c r="A6" s="55" t="s">
        <v>110</v>
      </c>
      <c r="B6" s="55" t="s">
        <v>111</v>
      </c>
      <c r="C6" s="55" t="s">
        <v>112</v>
      </c>
      <c r="D6" s="55" t="s">
        <v>113</v>
      </c>
      <c r="E6" s="55" t="s">
        <v>114</v>
      </c>
      <c r="F6" s="55" t="s">
        <v>115</v>
      </c>
      <c r="G6" s="55" t="s">
        <v>116</v>
      </c>
      <c r="H6" s="55" t="s">
        <v>113</v>
      </c>
      <c r="I6" s="55" t="s">
        <v>114</v>
      </c>
      <c r="J6" s="55" t="s">
        <v>115</v>
      </c>
    </row>
    <row r="7" customFormat="false" ht="15" hidden="false" customHeight="false" outlineLevel="0" collapsed="false">
      <c r="D7" s="56" t="n">
        <v>1</v>
      </c>
      <c r="E7" s="56" t="n">
        <v>3</v>
      </c>
      <c r="F7" s="56" t="n">
        <v>5</v>
      </c>
    </row>
    <row r="8" customFormat="false" ht="85.05" hidden="false" customHeight="false" outlineLevel="0" collapsed="false">
      <c r="A8" s="57" t="s">
        <v>215</v>
      </c>
      <c r="B8" s="57" t="s">
        <v>216</v>
      </c>
      <c r="C8" s="57" t="s">
        <v>217</v>
      </c>
      <c r="D8" s="58" t="n">
        <v>0</v>
      </c>
      <c r="E8" s="58" t="n">
        <v>2</v>
      </c>
      <c r="F8" s="58" t="n">
        <v>2</v>
      </c>
      <c r="G8" s="58" t="n">
        <f aca="false">D8*$D$7+E8*$E$7+F8*$F$7</f>
        <v>16</v>
      </c>
    </row>
    <row r="9" customFormat="false" ht="74.6" hidden="false" customHeight="false" outlineLevel="0" collapsed="false">
      <c r="A9" s="57" t="s">
        <v>218</v>
      </c>
      <c r="B9" s="57" t="s">
        <v>219</v>
      </c>
      <c r="C9" s="57" t="s">
        <v>220</v>
      </c>
      <c r="D9" s="58" t="n">
        <v>3</v>
      </c>
      <c r="E9" s="58" t="n">
        <v>1</v>
      </c>
      <c r="F9" s="58" t="n">
        <v>0</v>
      </c>
      <c r="G9" s="58" t="n">
        <f aca="false">D9*$D$7+E9*$E$7+F9*$F$7</f>
        <v>6</v>
      </c>
    </row>
    <row r="10" customFormat="false" ht="15" hidden="false" customHeight="true" outlineLevel="0" collapsed="false">
      <c r="A10" s="59" t="s">
        <v>221</v>
      </c>
      <c r="B10" s="59"/>
      <c r="C10" s="59"/>
      <c r="D10" s="59"/>
      <c r="E10" s="59"/>
      <c r="F10" s="59"/>
      <c r="G10" s="60" t="n">
        <f aca="false">SUM(G8:G9)</f>
        <v>22</v>
      </c>
    </row>
    <row r="12" customFormat="false" ht="15" hidden="false" customHeight="false" outlineLevel="0" collapsed="false">
      <c r="B12" s="0" t="s">
        <v>131</v>
      </c>
      <c r="G12" s="0" t="n">
        <f aca="false">G10</f>
        <v>22</v>
      </c>
    </row>
    <row r="14" customFormat="false" ht="15" hidden="false" customHeight="false" outlineLevel="0" collapsed="false">
      <c r="B14" s="0" t="s">
        <v>132</v>
      </c>
      <c r="C14" s="0" t="n">
        <v>0.16</v>
      </c>
    </row>
    <row r="15" customFormat="false" ht="15" hidden="false" customHeight="false" outlineLevel="0" collapsed="false">
      <c r="B15" s="0" t="s">
        <v>133</v>
      </c>
      <c r="C15" s="0" t="n">
        <f aca="false">G10</f>
        <v>22</v>
      </c>
      <c r="D15" s="0" t="s">
        <v>134</v>
      </c>
    </row>
    <row r="16" customFormat="false" ht="15" hidden="false" customHeight="false" outlineLevel="0" collapsed="false">
      <c r="B16" s="0" t="s">
        <v>135</v>
      </c>
      <c r="C16" s="0" t="n">
        <f aca="false">C15/C14</f>
        <v>137.5</v>
      </c>
      <c r="D16" s="0" t="s">
        <v>136</v>
      </c>
    </row>
    <row r="17" customFormat="false" ht="15" hidden="false" customHeight="false" outlineLevel="0" collapsed="false">
      <c r="B17" s="0" t="s">
        <v>137</v>
      </c>
      <c r="C17" s="0" t="n">
        <v>1.01</v>
      </c>
    </row>
    <row r="18" customFormat="false" ht="15" hidden="false" customHeight="false" outlineLevel="0" collapsed="false">
      <c r="B18" s="0" t="s">
        <v>138</v>
      </c>
      <c r="C18" s="0" t="n">
        <v>0.05</v>
      </c>
    </row>
    <row r="19" customFormat="false" ht="15" hidden="false" customHeight="false" outlineLevel="0" collapsed="false">
      <c r="B19" s="0" t="s">
        <v>139</v>
      </c>
      <c r="C19" s="0" t="n">
        <v>0.1</v>
      </c>
    </row>
    <row r="20" customFormat="false" ht="15" hidden="false" customHeight="false" outlineLevel="0" collapsed="false">
      <c r="B20" s="0" t="s">
        <v>140</v>
      </c>
      <c r="C20" s="0" t="n">
        <f aca="false">C16*C17*(1+C18+C19)</f>
        <v>159.70625</v>
      </c>
      <c r="D20" s="0" t="s">
        <v>136</v>
      </c>
    </row>
    <row r="22" customFormat="false" ht="15" hidden="false" customHeight="false" outlineLevel="0" collapsed="false">
      <c r="B22" s="0" t="s">
        <v>141</v>
      </c>
      <c r="C22" s="0" t="n">
        <f aca="false">C20*1.05</f>
        <v>167.6915625</v>
      </c>
      <c r="D22" s="0" t="n">
        <f aca="false">C20*0.95</f>
        <v>151.7209375</v>
      </c>
    </row>
  </sheetData>
  <mergeCells count="1"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6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102</v>
      </c>
      <c r="C1" s="0" t="s">
        <v>103</v>
      </c>
      <c r="D1" s="0" t="s">
        <v>72</v>
      </c>
    </row>
    <row r="2" customFormat="false" ht="15" hidden="false" customHeight="false" outlineLevel="0" collapsed="false">
      <c r="B2" s="0" t="s">
        <v>104</v>
      </c>
      <c r="C2" s="0" t="s">
        <v>105</v>
      </c>
    </row>
    <row r="3" customFormat="false" ht="15" hidden="false" customHeight="false" outlineLevel="0" collapsed="false">
      <c r="B3" s="0" t="s">
        <v>106</v>
      </c>
      <c r="C3" s="0" t="s">
        <v>222</v>
      </c>
    </row>
    <row r="5" customFormat="false" ht="15" hidden="false" customHeight="false" outlineLevel="0" collapsed="false">
      <c r="D5" s="0" t="s">
        <v>108</v>
      </c>
      <c r="H5" s="0" t="s">
        <v>109</v>
      </c>
    </row>
    <row r="6" customFormat="false" ht="35.05" hidden="false" customHeight="false" outlineLevel="0" collapsed="false">
      <c r="A6" s="55" t="s">
        <v>110</v>
      </c>
      <c r="B6" s="55" t="s">
        <v>111</v>
      </c>
      <c r="C6" s="55" t="s">
        <v>112</v>
      </c>
      <c r="D6" s="55" t="s">
        <v>113</v>
      </c>
      <c r="E6" s="55" t="s">
        <v>114</v>
      </c>
      <c r="F6" s="55" t="s">
        <v>115</v>
      </c>
      <c r="G6" s="55" t="s">
        <v>116</v>
      </c>
      <c r="H6" s="55" t="s">
        <v>113</v>
      </c>
      <c r="I6" s="55" t="s">
        <v>114</v>
      </c>
      <c r="J6" s="55" t="s">
        <v>115</v>
      </c>
    </row>
    <row r="7" customFormat="false" ht="15" hidden="false" customHeight="false" outlineLevel="0" collapsed="false">
      <c r="D7" s="56" t="n">
        <v>1</v>
      </c>
      <c r="E7" s="56" t="n">
        <v>3</v>
      </c>
      <c r="F7" s="56" t="n">
        <v>5</v>
      </c>
    </row>
    <row r="8" customFormat="false" ht="95.5" hidden="false" customHeight="false" outlineLevel="0" collapsed="false">
      <c r="A8" s="57" t="s">
        <v>223</v>
      </c>
      <c r="B8" s="57" t="s">
        <v>224</v>
      </c>
      <c r="C8" s="57" t="s">
        <v>225</v>
      </c>
      <c r="D8" s="58" t="n">
        <v>0</v>
      </c>
      <c r="E8" s="58" t="n">
        <v>2</v>
      </c>
      <c r="F8" s="58" t="n">
        <v>2</v>
      </c>
      <c r="G8" s="58" t="n">
        <f aca="false">D8*$D$7+E8*$E$7+F8*$F$7</f>
        <v>16</v>
      </c>
    </row>
    <row r="9" customFormat="false" ht="116.4" hidden="false" customHeight="false" outlineLevel="0" collapsed="false">
      <c r="A9" s="57" t="s">
        <v>226</v>
      </c>
      <c r="B9" s="57" t="s">
        <v>227</v>
      </c>
      <c r="C9" s="57" t="s">
        <v>228</v>
      </c>
      <c r="D9" s="58" t="n">
        <v>0</v>
      </c>
      <c r="E9" s="58" t="n">
        <v>1</v>
      </c>
      <c r="F9" s="58" t="n">
        <v>3</v>
      </c>
      <c r="G9" s="58" t="n">
        <f aca="false">D9*$D$7+E9*$E$7+F9*$F$7</f>
        <v>18</v>
      </c>
    </row>
    <row r="10" customFormat="false" ht="53.7" hidden="false" customHeight="false" outlineLevel="0" collapsed="false">
      <c r="A10" s="57" t="s">
        <v>229</v>
      </c>
      <c r="B10" s="57" t="s">
        <v>230</v>
      </c>
      <c r="C10" s="57" t="s">
        <v>231</v>
      </c>
      <c r="D10" s="58" t="n">
        <v>2</v>
      </c>
      <c r="E10" s="58" t="n">
        <v>1</v>
      </c>
      <c r="F10" s="58" t="n">
        <v>0</v>
      </c>
      <c r="G10" s="58" t="n">
        <f aca="false">D10*$D$7+E10*$E$7+F10*$F$7</f>
        <v>5</v>
      </c>
    </row>
    <row r="11" customFormat="false" ht="15" hidden="false" customHeight="true" outlineLevel="0" collapsed="false">
      <c r="A11" s="59" t="s">
        <v>232</v>
      </c>
      <c r="B11" s="59"/>
      <c r="C11" s="59"/>
      <c r="D11" s="59"/>
      <c r="E11" s="59"/>
      <c r="F11" s="59"/>
      <c r="G11" s="60" t="n">
        <f aca="false">SUM(G8:G10)</f>
        <v>39</v>
      </c>
    </row>
    <row r="13" customFormat="false" ht="15" hidden="false" customHeight="false" outlineLevel="0" collapsed="false">
      <c r="B13" s="0" t="s">
        <v>131</v>
      </c>
      <c r="G13" s="0" t="n">
        <f aca="false">G11</f>
        <v>39</v>
      </c>
    </row>
    <row r="15" customFormat="false" ht="15" hidden="false" customHeight="false" outlineLevel="0" collapsed="false">
      <c r="B15" s="0" t="s">
        <v>132</v>
      </c>
      <c r="C15" s="0" t="n">
        <v>0.16</v>
      </c>
    </row>
    <row r="16" customFormat="false" ht="15" hidden="false" customHeight="false" outlineLevel="0" collapsed="false">
      <c r="B16" s="0" t="s">
        <v>133</v>
      </c>
      <c r="C16" s="0" t="n">
        <f aca="false">G11</f>
        <v>39</v>
      </c>
      <c r="D16" s="0" t="s">
        <v>134</v>
      </c>
    </row>
    <row r="17" customFormat="false" ht="15" hidden="false" customHeight="false" outlineLevel="0" collapsed="false">
      <c r="B17" s="0" t="s">
        <v>135</v>
      </c>
      <c r="C17" s="0" t="n">
        <f aca="false">C16/C15</f>
        <v>243.75</v>
      </c>
      <c r="D17" s="0" t="s">
        <v>136</v>
      </c>
    </row>
    <row r="18" customFormat="false" ht="15" hidden="false" customHeight="false" outlineLevel="0" collapsed="false">
      <c r="B18" s="0" t="s">
        <v>137</v>
      </c>
      <c r="C18" s="0" t="n">
        <v>1.01</v>
      </c>
    </row>
    <row r="19" customFormat="false" ht="15" hidden="false" customHeight="false" outlineLevel="0" collapsed="false">
      <c r="B19" s="0" t="s">
        <v>138</v>
      </c>
      <c r="C19" s="0" t="n">
        <v>0.05</v>
      </c>
    </row>
    <row r="20" customFormat="false" ht="15" hidden="false" customHeight="false" outlineLevel="0" collapsed="false">
      <c r="B20" s="0" t="s">
        <v>139</v>
      </c>
      <c r="C20" s="0" t="n">
        <v>0.1</v>
      </c>
    </row>
    <row r="21" customFormat="false" ht="15" hidden="false" customHeight="false" outlineLevel="0" collapsed="false">
      <c r="B21" s="0" t="s">
        <v>140</v>
      </c>
      <c r="C21" s="0" t="n">
        <f aca="false">C17*C18*(1+C19+C20)</f>
        <v>283.115625</v>
      </c>
      <c r="D21" s="0" t="s">
        <v>136</v>
      </c>
    </row>
    <row r="23" customFormat="false" ht="15" hidden="false" customHeight="false" outlineLevel="0" collapsed="false">
      <c r="B23" s="0" t="s">
        <v>141</v>
      </c>
      <c r="C23" s="0" t="n">
        <f aca="false">C21*1.05</f>
        <v>297.27140625</v>
      </c>
      <c r="D23" s="0" t="n">
        <f aca="false">C21*0.95</f>
        <v>268.95984375</v>
      </c>
    </row>
  </sheetData>
  <mergeCells count="1"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6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102</v>
      </c>
      <c r="C1" s="0" t="s">
        <v>103</v>
      </c>
      <c r="D1" s="0" t="s">
        <v>72</v>
      </c>
    </row>
    <row r="2" customFormat="false" ht="15" hidden="false" customHeight="false" outlineLevel="0" collapsed="false">
      <c r="B2" s="0" t="s">
        <v>104</v>
      </c>
      <c r="C2" s="0" t="s">
        <v>105</v>
      </c>
    </row>
    <row r="3" customFormat="false" ht="15" hidden="false" customHeight="false" outlineLevel="0" collapsed="false">
      <c r="B3" s="0" t="s">
        <v>106</v>
      </c>
      <c r="C3" s="0" t="s">
        <v>233</v>
      </c>
    </row>
    <row r="5" customFormat="false" ht="15" hidden="false" customHeight="false" outlineLevel="0" collapsed="false">
      <c r="D5" s="0" t="s">
        <v>108</v>
      </c>
      <c r="H5" s="0" t="s">
        <v>109</v>
      </c>
    </row>
    <row r="6" customFormat="false" ht="35.05" hidden="false" customHeight="false" outlineLevel="0" collapsed="false">
      <c r="A6" s="55" t="s">
        <v>110</v>
      </c>
      <c r="B6" s="55" t="s">
        <v>111</v>
      </c>
      <c r="C6" s="55" t="s">
        <v>112</v>
      </c>
      <c r="D6" s="55" t="s">
        <v>113</v>
      </c>
      <c r="E6" s="55" t="s">
        <v>114</v>
      </c>
      <c r="F6" s="55" t="s">
        <v>115</v>
      </c>
      <c r="G6" s="55" t="s">
        <v>116</v>
      </c>
      <c r="H6" s="55" t="s">
        <v>113</v>
      </c>
      <c r="I6" s="55" t="s">
        <v>114</v>
      </c>
      <c r="J6" s="55" t="s">
        <v>115</v>
      </c>
    </row>
    <row r="7" customFormat="false" ht="15" hidden="false" customHeight="false" outlineLevel="0" collapsed="false">
      <c r="D7" s="56" t="n">
        <v>1</v>
      </c>
      <c r="E7" s="56" t="n">
        <v>3</v>
      </c>
      <c r="F7" s="56" t="n">
        <v>5</v>
      </c>
    </row>
    <row r="8" customFormat="false" ht="64.15" hidden="false" customHeight="false" outlineLevel="0" collapsed="false">
      <c r="A8" s="57" t="s">
        <v>234</v>
      </c>
      <c r="B8" s="57" t="s">
        <v>235</v>
      </c>
      <c r="C8" s="57" t="s">
        <v>236</v>
      </c>
      <c r="D8" s="58" t="n">
        <v>2</v>
      </c>
      <c r="E8" s="58" t="n">
        <v>2</v>
      </c>
      <c r="F8" s="58" t="n">
        <v>0</v>
      </c>
      <c r="G8" s="58" t="n">
        <f aca="false">D8*$D$7+E8*$E$7+F8*$F$7</f>
        <v>8</v>
      </c>
    </row>
    <row r="9" customFormat="false" ht="15" hidden="false" customHeight="true" outlineLevel="0" collapsed="false">
      <c r="A9" s="59" t="s">
        <v>237</v>
      </c>
      <c r="B9" s="59"/>
      <c r="C9" s="59"/>
      <c r="D9" s="59"/>
      <c r="E9" s="59"/>
      <c r="F9" s="59"/>
      <c r="G9" s="60" t="n">
        <f aca="false">SUM(G8:G8)</f>
        <v>8</v>
      </c>
    </row>
    <row r="11" customFormat="false" ht="15" hidden="false" customHeight="false" outlineLevel="0" collapsed="false">
      <c r="B11" s="0" t="s">
        <v>131</v>
      </c>
      <c r="G11" s="0" t="n">
        <f aca="false">G9</f>
        <v>8</v>
      </c>
    </row>
    <row r="13" customFormat="false" ht="15" hidden="false" customHeight="false" outlineLevel="0" collapsed="false">
      <c r="B13" s="0" t="s">
        <v>132</v>
      </c>
      <c r="C13" s="0" t="n">
        <v>0.16</v>
      </c>
    </row>
    <row r="14" customFormat="false" ht="15" hidden="false" customHeight="false" outlineLevel="0" collapsed="false">
      <c r="B14" s="0" t="s">
        <v>133</v>
      </c>
      <c r="C14" s="0" t="n">
        <f aca="false">G9</f>
        <v>8</v>
      </c>
      <c r="D14" s="0" t="s">
        <v>134</v>
      </c>
    </row>
    <row r="15" customFormat="false" ht="15" hidden="false" customHeight="false" outlineLevel="0" collapsed="false">
      <c r="B15" s="0" t="s">
        <v>135</v>
      </c>
      <c r="C15" s="0" t="n">
        <f aca="false">C14/C13</f>
        <v>50</v>
      </c>
      <c r="D15" s="0" t="s">
        <v>136</v>
      </c>
    </row>
    <row r="16" customFormat="false" ht="15" hidden="false" customHeight="false" outlineLevel="0" collapsed="false">
      <c r="B16" s="0" t="s">
        <v>137</v>
      </c>
      <c r="C16" s="0" t="n">
        <v>1.01</v>
      </c>
    </row>
    <row r="17" customFormat="false" ht="15" hidden="false" customHeight="false" outlineLevel="0" collapsed="false">
      <c r="B17" s="0" t="s">
        <v>138</v>
      </c>
      <c r="C17" s="0" t="n">
        <v>0.05</v>
      </c>
    </row>
    <row r="18" customFormat="false" ht="15" hidden="false" customHeight="false" outlineLevel="0" collapsed="false">
      <c r="B18" s="0" t="s">
        <v>139</v>
      </c>
      <c r="C18" s="0" t="n">
        <v>0.1</v>
      </c>
    </row>
    <row r="19" customFormat="false" ht="15" hidden="false" customHeight="false" outlineLevel="0" collapsed="false">
      <c r="B19" s="0" t="s">
        <v>140</v>
      </c>
      <c r="C19" s="0" t="n">
        <f aca="false">C15*C16*(1+C17+C18)</f>
        <v>58.075</v>
      </c>
      <c r="D19" s="0" t="s">
        <v>136</v>
      </c>
    </row>
    <row r="21" customFormat="false" ht="15" hidden="false" customHeight="false" outlineLevel="0" collapsed="false">
      <c r="B21" s="0" t="s">
        <v>141</v>
      </c>
      <c r="C21" s="0" t="n">
        <f aca="false">C19*1.05</f>
        <v>60.97875</v>
      </c>
      <c r="D21" s="0" t="n">
        <f aca="false">C19*0.95</f>
        <v>55.17125</v>
      </c>
    </row>
  </sheetData>
  <mergeCells count="1"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6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102</v>
      </c>
      <c r="C1" s="0" t="s">
        <v>103</v>
      </c>
      <c r="D1" s="0" t="s">
        <v>72</v>
      </c>
    </row>
    <row r="2" customFormat="false" ht="15" hidden="false" customHeight="false" outlineLevel="0" collapsed="false">
      <c r="B2" s="0" t="s">
        <v>104</v>
      </c>
      <c r="C2" s="0" t="s">
        <v>105</v>
      </c>
    </row>
    <row r="3" customFormat="false" ht="15" hidden="false" customHeight="false" outlineLevel="0" collapsed="false">
      <c r="B3" s="0" t="s">
        <v>106</v>
      </c>
      <c r="C3" s="0" t="s">
        <v>238</v>
      </c>
    </row>
    <row r="5" customFormat="false" ht="15" hidden="false" customHeight="false" outlineLevel="0" collapsed="false">
      <c r="D5" s="0" t="s">
        <v>108</v>
      </c>
      <c r="H5" s="0" t="s">
        <v>109</v>
      </c>
    </row>
    <row r="6" customFormat="false" ht="35.05" hidden="false" customHeight="false" outlineLevel="0" collapsed="false">
      <c r="A6" s="55" t="s">
        <v>110</v>
      </c>
      <c r="B6" s="55" t="s">
        <v>111</v>
      </c>
      <c r="C6" s="55" t="s">
        <v>112</v>
      </c>
      <c r="D6" s="55" t="s">
        <v>113</v>
      </c>
      <c r="E6" s="55" t="s">
        <v>114</v>
      </c>
      <c r="F6" s="55" t="s">
        <v>115</v>
      </c>
      <c r="G6" s="55" t="s">
        <v>116</v>
      </c>
      <c r="H6" s="55" t="s">
        <v>113</v>
      </c>
      <c r="I6" s="55" t="s">
        <v>114</v>
      </c>
      <c r="J6" s="55" t="s">
        <v>115</v>
      </c>
    </row>
    <row r="7" customFormat="false" ht="15" hidden="false" customHeight="false" outlineLevel="0" collapsed="false">
      <c r="D7" s="56" t="n">
        <v>1</v>
      </c>
      <c r="E7" s="56" t="n">
        <v>3</v>
      </c>
      <c r="F7" s="56" t="n">
        <v>5</v>
      </c>
    </row>
    <row r="8" customFormat="false" ht="85.05" hidden="false" customHeight="false" outlineLevel="0" collapsed="false">
      <c r="A8" s="57" t="s">
        <v>239</v>
      </c>
      <c r="B8" s="57" t="s">
        <v>240</v>
      </c>
      <c r="C8" s="57" t="s">
        <v>241</v>
      </c>
      <c r="D8" s="58" t="n">
        <v>0</v>
      </c>
      <c r="E8" s="58" t="n">
        <v>2</v>
      </c>
      <c r="F8" s="58" t="n">
        <v>2</v>
      </c>
      <c r="G8" s="58" t="n">
        <f aca="false">D8*$D$7+E8*$E$7+F8*$F$7</f>
        <v>16</v>
      </c>
    </row>
    <row r="9" customFormat="false" ht="74.6" hidden="false" customHeight="false" outlineLevel="0" collapsed="false">
      <c r="A9" s="57" t="s">
        <v>242</v>
      </c>
      <c r="B9" s="57" t="s">
        <v>243</v>
      </c>
      <c r="C9" s="57" t="s">
        <v>244</v>
      </c>
      <c r="D9" s="58" t="n">
        <v>0</v>
      </c>
      <c r="E9" s="58" t="n">
        <v>1</v>
      </c>
      <c r="F9" s="58" t="n">
        <v>2</v>
      </c>
      <c r="G9" s="58" t="n">
        <f aca="false">D9*$D$7+E9*$E$7+F9*$F$7</f>
        <v>13</v>
      </c>
    </row>
    <row r="10" customFormat="false" ht="64.15" hidden="false" customHeight="false" outlineLevel="0" collapsed="false">
      <c r="A10" s="57" t="s">
        <v>245</v>
      </c>
      <c r="B10" s="57" t="s">
        <v>246</v>
      </c>
      <c r="C10" s="57" t="s">
        <v>247</v>
      </c>
      <c r="D10" s="58" t="n">
        <v>0</v>
      </c>
      <c r="E10" s="58" t="n">
        <v>2</v>
      </c>
      <c r="F10" s="58" t="n">
        <v>1</v>
      </c>
      <c r="G10" s="58" t="n">
        <f aca="false">D10*$D$7+E10*$E$7+F10*$F$7</f>
        <v>11</v>
      </c>
    </row>
    <row r="11" customFormat="false" ht="15" hidden="false" customHeight="true" outlineLevel="0" collapsed="false">
      <c r="A11" s="59" t="s">
        <v>248</v>
      </c>
      <c r="B11" s="59"/>
      <c r="C11" s="59"/>
      <c r="D11" s="59"/>
      <c r="E11" s="59"/>
      <c r="F11" s="59"/>
      <c r="G11" s="60" t="n">
        <f aca="false">SUM(G8:G10)</f>
        <v>40</v>
      </c>
    </row>
    <row r="13" customFormat="false" ht="15" hidden="false" customHeight="false" outlineLevel="0" collapsed="false">
      <c r="B13" s="0" t="s">
        <v>131</v>
      </c>
      <c r="G13" s="0" t="n">
        <f aca="false">G11</f>
        <v>40</v>
      </c>
    </row>
    <row r="15" customFormat="false" ht="15" hidden="false" customHeight="false" outlineLevel="0" collapsed="false">
      <c r="B15" s="0" t="s">
        <v>132</v>
      </c>
      <c r="C15" s="0" t="n">
        <v>0.16</v>
      </c>
    </row>
    <row r="16" customFormat="false" ht="15" hidden="false" customHeight="false" outlineLevel="0" collapsed="false">
      <c r="B16" s="0" t="s">
        <v>133</v>
      </c>
      <c r="C16" s="0" t="n">
        <f aca="false">G11</f>
        <v>40</v>
      </c>
      <c r="D16" s="0" t="s">
        <v>134</v>
      </c>
    </row>
    <row r="17" customFormat="false" ht="15" hidden="false" customHeight="false" outlineLevel="0" collapsed="false">
      <c r="B17" s="0" t="s">
        <v>135</v>
      </c>
      <c r="C17" s="0" t="n">
        <f aca="false">C16/C15</f>
        <v>250</v>
      </c>
      <c r="D17" s="0" t="s">
        <v>136</v>
      </c>
    </row>
    <row r="18" customFormat="false" ht="15" hidden="false" customHeight="false" outlineLevel="0" collapsed="false">
      <c r="B18" s="0" t="s">
        <v>137</v>
      </c>
      <c r="C18" s="0" t="n">
        <v>1.01</v>
      </c>
    </row>
    <row r="19" customFormat="false" ht="15" hidden="false" customHeight="false" outlineLevel="0" collapsed="false">
      <c r="B19" s="0" t="s">
        <v>138</v>
      </c>
      <c r="C19" s="0" t="n">
        <v>0.05</v>
      </c>
    </row>
    <row r="20" customFormat="false" ht="15" hidden="false" customHeight="false" outlineLevel="0" collapsed="false">
      <c r="B20" s="0" t="s">
        <v>139</v>
      </c>
      <c r="C20" s="0" t="n">
        <v>0.1</v>
      </c>
    </row>
    <row r="21" customFormat="false" ht="15" hidden="false" customHeight="false" outlineLevel="0" collapsed="false">
      <c r="B21" s="0" t="s">
        <v>140</v>
      </c>
      <c r="C21" s="0" t="n">
        <f aca="false">C17*C18*(1+C19+C20)</f>
        <v>290.375</v>
      </c>
      <c r="D21" s="0" t="s">
        <v>136</v>
      </c>
    </row>
    <row r="23" customFormat="false" ht="15" hidden="false" customHeight="false" outlineLevel="0" collapsed="false">
      <c r="B23" s="0" t="s">
        <v>141</v>
      </c>
      <c r="C23" s="0" t="n">
        <f aca="false">C21*1.05</f>
        <v>304.89375</v>
      </c>
      <c r="D23" s="0" t="n">
        <f aca="false">C21*0.95</f>
        <v>275.85625</v>
      </c>
    </row>
  </sheetData>
  <mergeCells count="1"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6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102</v>
      </c>
      <c r="C1" s="0" t="s">
        <v>103</v>
      </c>
      <c r="D1" s="0" t="s">
        <v>72</v>
      </c>
    </row>
    <row r="2" customFormat="false" ht="15" hidden="false" customHeight="false" outlineLevel="0" collapsed="false">
      <c r="B2" s="0" t="s">
        <v>104</v>
      </c>
      <c r="C2" s="0" t="s">
        <v>105</v>
      </c>
    </row>
    <row r="3" customFormat="false" ht="15" hidden="false" customHeight="false" outlineLevel="0" collapsed="false">
      <c r="B3" s="0" t="s">
        <v>106</v>
      </c>
      <c r="C3" s="0" t="s">
        <v>249</v>
      </c>
    </row>
    <row r="5" customFormat="false" ht="15" hidden="false" customHeight="false" outlineLevel="0" collapsed="false">
      <c r="D5" s="0" t="s">
        <v>108</v>
      </c>
      <c r="H5" s="0" t="s">
        <v>109</v>
      </c>
    </row>
    <row r="6" customFormat="false" ht="35.05" hidden="false" customHeight="false" outlineLevel="0" collapsed="false">
      <c r="A6" s="55" t="s">
        <v>110</v>
      </c>
      <c r="B6" s="55" t="s">
        <v>111</v>
      </c>
      <c r="C6" s="55" t="s">
        <v>112</v>
      </c>
      <c r="D6" s="55" t="s">
        <v>113</v>
      </c>
      <c r="E6" s="55" t="s">
        <v>114</v>
      </c>
      <c r="F6" s="55" t="s">
        <v>115</v>
      </c>
      <c r="G6" s="55" t="s">
        <v>116</v>
      </c>
      <c r="H6" s="55" t="s">
        <v>113</v>
      </c>
      <c r="I6" s="55" t="s">
        <v>114</v>
      </c>
      <c r="J6" s="55" t="s">
        <v>115</v>
      </c>
    </row>
    <row r="7" customFormat="false" ht="15" hidden="false" customHeight="false" outlineLevel="0" collapsed="false">
      <c r="D7" s="56" t="n">
        <v>1</v>
      </c>
      <c r="E7" s="56" t="n">
        <v>3</v>
      </c>
      <c r="F7" s="56" t="n">
        <v>5</v>
      </c>
    </row>
    <row r="8" customFormat="false" ht="85.05" hidden="false" customHeight="false" outlineLevel="0" collapsed="false">
      <c r="A8" s="57" t="s">
        <v>250</v>
      </c>
      <c r="B8" s="57" t="s">
        <v>251</v>
      </c>
      <c r="C8" s="57" t="s">
        <v>252</v>
      </c>
      <c r="D8" s="58" t="n">
        <v>1</v>
      </c>
      <c r="E8" s="58" t="n">
        <v>2</v>
      </c>
      <c r="F8" s="58" t="n">
        <v>1</v>
      </c>
      <c r="G8" s="58" t="n">
        <f aca="false">D8*$D$7+E8*$E$7+F8*$F$7</f>
        <v>12</v>
      </c>
    </row>
    <row r="9" customFormat="false" ht="15" hidden="false" customHeight="true" outlineLevel="0" collapsed="false">
      <c r="A9" s="59" t="s">
        <v>253</v>
      </c>
      <c r="B9" s="59"/>
      <c r="C9" s="59"/>
      <c r="D9" s="59"/>
      <c r="E9" s="59"/>
      <c r="F9" s="59"/>
      <c r="G9" s="60" t="n">
        <f aca="false">SUM(G8:G8)</f>
        <v>12</v>
      </c>
    </row>
    <row r="11" customFormat="false" ht="15" hidden="false" customHeight="false" outlineLevel="0" collapsed="false">
      <c r="B11" s="0" t="s">
        <v>131</v>
      </c>
      <c r="G11" s="0" t="n">
        <f aca="false">G9</f>
        <v>12</v>
      </c>
    </row>
    <row r="13" customFormat="false" ht="15" hidden="false" customHeight="false" outlineLevel="0" collapsed="false">
      <c r="B13" s="0" t="s">
        <v>132</v>
      </c>
      <c r="C13" s="0" t="n">
        <v>0.16</v>
      </c>
    </row>
    <row r="14" customFormat="false" ht="15" hidden="false" customHeight="false" outlineLevel="0" collapsed="false">
      <c r="B14" s="0" t="s">
        <v>133</v>
      </c>
      <c r="C14" s="0" t="n">
        <f aca="false">G9</f>
        <v>12</v>
      </c>
      <c r="D14" s="0" t="s">
        <v>134</v>
      </c>
    </row>
    <row r="15" customFormat="false" ht="15" hidden="false" customHeight="false" outlineLevel="0" collapsed="false">
      <c r="B15" s="0" t="s">
        <v>135</v>
      </c>
      <c r="C15" s="0" t="n">
        <f aca="false">C14/C13</f>
        <v>75</v>
      </c>
      <c r="D15" s="0" t="s">
        <v>136</v>
      </c>
    </row>
    <row r="16" customFormat="false" ht="15" hidden="false" customHeight="false" outlineLevel="0" collapsed="false">
      <c r="B16" s="0" t="s">
        <v>137</v>
      </c>
      <c r="C16" s="0" t="n">
        <v>1.01</v>
      </c>
    </row>
    <row r="17" customFormat="false" ht="15" hidden="false" customHeight="false" outlineLevel="0" collapsed="false">
      <c r="B17" s="0" t="s">
        <v>138</v>
      </c>
      <c r="C17" s="0" t="n">
        <v>0.05</v>
      </c>
    </row>
    <row r="18" customFormat="false" ht="15" hidden="false" customHeight="false" outlineLevel="0" collapsed="false">
      <c r="B18" s="0" t="s">
        <v>139</v>
      </c>
      <c r="C18" s="0" t="n">
        <v>0.1</v>
      </c>
    </row>
    <row r="19" customFormat="false" ht="15" hidden="false" customHeight="false" outlineLevel="0" collapsed="false">
      <c r="B19" s="0" t="s">
        <v>140</v>
      </c>
      <c r="C19" s="0" t="n">
        <f aca="false">C15*C16*(1+C17+C18)</f>
        <v>87.1125</v>
      </c>
      <c r="D19" s="0" t="s">
        <v>136</v>
      </c>
    </row>
    <row r="21" customFormat="false" ht="15" hidden="false" customHeight="false" outlineLevel="0" collapsed="false">
      <c r="B21" s="0" t="s">
        <v>141</v>
      </c>
      <c r="C21" s="0" t="n">
        <f aca="false">C19*1.05</f>
        <v>91.468125</v>
      </c>
      <c r="D21" s="0" t="n">
        <f aca="false">C19*0.95</f>
        <v>82.756875</v>
      </c>
    </row>
  </sheetData>
  <mergeCells count="1"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6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102</v>
      </c>
      <c r="C1" s="0" t="s">
        <v>103</v>
      </c>
      <c r="D1" s="0" t="s">
        <v>72</v>
      </c>
    </row>
    <row r="2" customFormat="false" ht="15" hidden="false" customHeight="false" outlineLevel="0" collapsed="false">
      <c r="B2" s="0" t="s">
        <v>104</v>
      </c>
      <c r="C2" s="0" t="s">
        <v>105</v>
      </c>
    </row>
    <row r="3" customFormat="false" ht="15" hidden="false" customHeight="false" outlineLevel="0" collapsed="false">
      <c r="B3" s="0" t="s">
        <v>106</v>
      </c>
      <c r="C3" s="0" t="s">
        <v>254</v>
      </c>
    </row>
    <row r="5" customFormat="false" ht="15" hidden="false" customHeight="false" outlineLevel="0" collapsed="false">
      <c r="D5" s="0" t="s">
        <v>108</v>
      </c>
      <c r="H5" s="0" t="s">
        <v>109</v>
      </c>
    </row>
    <row r="6" customFormat="false" ht="35.05" hidden="false" customHeight="false" outlineLevel="0" collapsed="false">
      <c r="A6" s="55" t="s">
        <v>110</v>
      </c>
      <c r="B6" s="55" t="s">
        <v>111</v>
      </c>
      <c r="C6" s="55" t="s">
        <v>112</v>
      </c>
      <c r="D6" s="55" t="s">
        <v>113</v>
      </c>
      <c r="E6" s="55" t="s">
        <v>114</v>
      </c>
      <c r="F6" s="55" t="s">
        <v>115</v>
      </c>
      <c r="G6" s="55" t="s">
        <v>116</v>
      </c>
      <c r="H6" s="55" t="s">
        <v>113</v>
      </c>
      <c r="I6" s="55" t="s">
        <v>114</v>
      </c>
      <c r="J6" s="55" t="s">
        <v>115</v>
      </c>
    </row>
    <row r="7" customFormat="false" ht="15" hidden="false" customHeight="false" outlineLevel="0" collapsed="false">
      <c r="D7" s="56" t="n">
        <v>1</v>
      </c>
      <c r="E7" s="56" t="n">
        <v>3</v>
      </c>
      <c r="F7" s="56" t="n">
        <v>5</v>
      </c>
    </row>
    <row r="8" customFormat="false" ht="95.5" hidden="false" customHeight="false" outlineLevel="0" collapsed="false">
      <c r="A8" s="57" t="s">
        <v>255</v>
      </c>
      <c r="B8" s="57" t="s">
        <v>256</v>
      </c>
      <c r="C8" s="57" t="s">
        <v>257</v>
      </c>
      <c r="D8" s="58" t="n">
        <v>0</v>
      </c>
      <c r="E8" s="58" t="n">
        <v>1</v>
      </c>
      <c r="F8" s="58" t="n">
        <v>2</v>
      </c>
      <c r="G8" s="58" t="n">
        <f aca="false">D8*$D$7+E8*$E$7+F8*$F$7</f>
        <v>13</v>
      </c>
    </row>
    <row r="9" customFormat="false" ht="15" hidden="false" customHeight="true" outlineLevel="0" collapsed="false">
      <c r="A9" s="59" t="s">
        <v>258</v>
      </c>
      <c r="B9" s="59"/>
      <c r="C9" s="59"/>
      <c r="D9" s="59"/>
      <c r="E9" s="59"/>
      <c r="F9" s="59"/>
      <c r="G9" s="60" t="n">
        <f aca="false">SUM(G8:G8)</f>
        <v>13</v>
      </c>
    </row>
    <row r="11" customFormat="false" ht="15" hidden="false" customHeight="false" outlineLevel="0" collapsed="false">
      <c r="B11" s="0" t="s">
        <v>131</v>
      </c>
      <c r="G11" s="0" t="n">
        <f aca="false">G9</f>
        <v>13</v>
      </c>
    </row>
    <row r="13" customFormat="false" ht="15" hidden="false" customHeight="false" outlineLevel="0" collapsed="false">
      <c r="B13" s="0" t="s">
        <v>132</v>
      </c>
      <c r="C13" s="0" t="n">
        <v>0.16</v>
      </c>
    </row>
    <row r="14" customFormat="false" ht="15" hidden="false" customHeight="false" outlineLevel="0" collapsed="false">
      <c r="B14" s="0" t="s">
        <v>133</v>
      </c>
      <c r="C14" s="0" t="n">
        <f aca="false">G9</f>
        <v>13</v>
      </c>
      <c r="D14" s="0" t="s">
        <v>134</v>
      </c>
    </row>
    <row r="15" customFormat="false" ht="15" hidden="false" customHeight="false" outlineLevel="0" collapsed="false">
      <c r="B15" s="0" t="s">
        <v>135</v>
      </c>
      <c r="C15" s="0" t="n">
        <f aca="false">C14/C13</f>
        <v>81.25</v>
      </c>
      <c r="D15" s="0" t="s">
        <v>136</v>
      </c>
    </row>
    <row r="16" customFormat="false" ht="15" hidden="false" customHeight="false" outlineLevel="0" collapsed="false">
      <c r="B16" s="0" t="s">
        <v>137</v>
      </c>
      <c r="C16" s="0" t="n">
        <v>1.01</v>
      </c>
    </row>
    <row r="17" customFormat="false" ht="15" hidden="false" customHeight="false" outlineLevel="0" collapsed="false">
      <c r="B17" s="0" t="s">
        <v>138</v>
      </c>
      <c r="C17" s="0" t="n">
        <v>0.05</v>
      </c>
    </row>
    <row r="18" customFormat="false" ht="15" hidden="false" customHeight="false" outlineLevel="0" collapsed="false">
      <c r="B18" s="0" t="s">
        <v>139</v>
      </c>
      <c r="C18" s="0" t="n">
        <v>0.1</v>
      </c>
    </row>
    <row r="19" customFormat="false" ht="15" hidden="false" customHeight="false" outlineLevel="0" collapsed="false">
      <c r="B19" s="0" t="s">
        <v>140</v>
      </c>
      <c r="C19" s="0" t="n">
        <f aca="false">C15*C16*(1+C17+C18)</f>
        <v>94.371875</v>
      </c>
      <c r="D19" s="0" t="s">
        <v>136</v>
      </c>
    </row>
    <row r="21" customFormat="false" ht="15" hidden="false" customHeight="false" outlineLevel="0" collapsed="false">
      <c r="B21" s="0" t="s">
        <v>141</v>
      </c>
      <c r="C21" s="0" t="n">
        <f aca="false">C19*1.05</f>
        <v>99.09046875</v>
      </c>
      <c r="D21" s="0" t="n">
        <f aca="false">C19*0.95</f>
        <v>89.65328125</v>
      </c>
    </row>
  </sheetData>
  <mergeCells count="1"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2025-12-09T08:10:08Z</dcterms:created>
  <dc:creator>hp</dc:creator>
  <dc:description/>
  <dc:language>en-US</dc:language>
  <cp:lastModifiedBy>hp</cp:lastModifiedBy>
  <dcterms:modified xsi:type="dcterms:W3CDTF">2026-06-16T02:56:35Z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