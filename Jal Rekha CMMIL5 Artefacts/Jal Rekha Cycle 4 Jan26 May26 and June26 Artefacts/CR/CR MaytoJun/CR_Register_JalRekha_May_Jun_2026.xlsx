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80" activeTab="2"/>
  </bookViews>
  <sheets>
    <sheet name="CR Register May-Jun 2026" sheetId="1" r:id="rId1"/>
    <sheet name="Module Summary" sheetId="2" r:id="rId2"/>
    <sheet name="O&amp;M Billing Workflow Ref" sheetId="3" r:id="rId3"/>
  </sheets>
  <calcPr calcId="152511"/>
</workbook>
</file>

<file path=xl/calcChain.xml><?xml version="1.0" encoding="utf-8"?>
<calcChain xmlns="http://schemas.openxmlformats.org/spreadsheetml/2006/main">
  <c r="F11" i="2" l="1"/>
  <c r="E11" i="2"/>
  <c r="D11" i="2"/>
  <c r="C11" i="2"/>
  <c r="B11" i="2"/>
</calcChain>
</file>

<file path=xl/sharedStrings.xml><?xml version="1.0" encoding="utf-8"?>
<sst xmlns="http://schemas.openxmlformats.org/spreadsheetml/2006/main" count="449" uniqueCount="268">
  <si>
    <t>JAL REKHA PROJECT — CHANGE REQUEST REGISTER  |  May–June 2026</t>
  </si>
  <si>
    <t>Project: Jal Rekha  |  Client: Govt. of MP – PHED  |  Contract: MPSEDC/MPSSDI(GIS)/2025/00423  |  Cycle: 4  |  Sprint: Jal Rekha/16 (01 May 2026–31 May 2026) &amp; Jal Rekha/17 (01 Jun 2026–30 Jun 2026)</t>
  </si>
  <si>
    <t>Prepared by: Dheeraj Motiyani, Sr. BA, MPSeDC  |  Reviewed by: Tapan Khandelwal, SPM  |  Sources: MD Sir MoM 9-Jun-2026, 16-Jun-2026; June Month CR Tracker; Handwritten Notes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</si>
  <si>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</si>
  <si>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</si>
  <si>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</si>
  <si>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</si>
  <si>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</si>
  <si>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</si>
  <si>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</si>
  <si>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</si>
  <si>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</si>
  <si>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</si>
  <si>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</si>
  <si>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</si>
  <si>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</si>
  <si>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</si>
  <si>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</si>
  <si>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Effort (Hrs)</t>
  </si>
  <si>
    <t>Remarks</t>
  </si>
  <si>
    <t>MoM Ref.</t>
  </si>
  <si>
    <t>Sprint</t>
  </si>
  <si>
    <t>CR-JR-MAY-001</t>
  </si>
  <si>
    <t>MD Sir / Kapil Sir</t>
  </si>
  <si>
    <t>Dheeraj Motiyani</t>
  </si>
  <si>
    <t>22-May-2026</t>
  </si>
  <si>
    <t>O&amp;M Billing – E-Sign Integration via CDAC for all parties (Firm/FE-eSign, Web &amp; Mobile). CDAC integration for e-sign on Bill, Submission Letter, and Tax Invoice. FE (e-sign) → Web &amp; Mobile flow.</t>
  </si>
  <si>
    <t>O&amp;M Billing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</si>
  <si>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</si>
  <si>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</si>
  <si>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</si>
  <si>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Open</t>
  </si>
  <si>
    <t>Pending</t>
  </si>
  <si>
    <t>High</t>
  </si>
  <si>
    <t>CDAC Rakesh Sir to coordinate. FE (e-sign) ↔ Web/Mobile dual flow.</t>
  </si>
  <si>
    <t>MoM 16-Jun-2026</t>
  </si>
  <si>
    <t>Jal Rekha/17</t>
  </si>
  <si>
    <t>CR-JR-MAY-002</t>
  </si>
  <si>
    <t>O&amp;M Billing – Contractor RA Bill: Abstract generation from Contractor login. Select Bill → Generate Abstract → Tag all villages automatically.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</si>
  <si>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</si>
  <si>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</si>
  <si>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</si>
  <si>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In Progress</t>
  </si>
  <si>
    <t>Medium</t>
  </si>
  <si>
    <t>Abstract linked to 8th Bill; Tag all villages flag needed.</t>
  </si>
  <si>
    <t>MoM 16-Jun-2026 (Notes)</t>
  </si>
  <si>
    <t>Jal Rekha/16</t>
  </si>
  <si>
    <t>CR-JR-MAY-003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</si>
  <si>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</si>
  <si>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</si>
  <si>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</si>
  <si>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</si>
  <si>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Low</t>
  </si>
  <si>
    <t>GST No. (150/215) – Rakesh Sir to confirm data source.</t>
  </si>
  <si>
    <t>CR-JR-MAY-004</t>
  </si>
  <si>
    <t>MD Sir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</si>
  <si>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</si>
  <si>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</si>
  <si>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</si>
  <si>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</si>
  <si>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</si>
  <si>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CR-JR-MAY-005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</si>
  <si>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</si>
  <si>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</si>
  <si>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</si>
  <si>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</si>
  <si>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</si>
  <si>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</si>
  <si>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MoM 16-Jun-2026 (Day 1 Notes)</t>
  </si>
  <si>
    <t>CR-JR-MAY-006</t>
  </si>
  <si>
    <t>01-Jun-2026</t>
  </si>
  <si>
    <t>O&amp;M Billing – Workflow Redesign: Firm → GM PIU (direct). Dual path: (1) Firm → GM PIU → GM O&amp;M. (2) Firm → GM PIU → TL SQC → GM PIU → GM O&amp;M → DGM → TL PMC → CFO → CA → P.D. → MD.</t>
  </si>
  <si>
    <t>Billing Workflow Redesign</t>
  </si>
  <si>
    <t>Firm, GM PIU, TL SQC, GM O&amp;M, All Hierarchy</t>
  </si>
  <si>
    <t>Two workflow paths defined. "Manage Bill" option used for GM PIU. "View Pending Bills" accessible before Pending stage. Ref: O&amp;M_Billing_Workflow diagrams and process flow PDF.</t>
  </si>
  <si>
    <t>Use Manage Page (not old flow). Refer O&amp;M Billing Workflow PDF + JPEG diagrams.</t>
  </si>
  <si>
    <t>MoM 9-Jun-2026 &amp; 8-Jun Notes</t>
  </si>
  <si>
    <t>CR-JR-MAY-007</t>
  </si>
  <si>
    <t>Sahbhagita – Multi-select dropdown for bill selection. RA(1) to RA(12) bill range with Withhold Bills option.</t>
  </si>
  <si>
    <t>Sahbhagita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</si>
  <si>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</si>
  <si>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</si>
  <si>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</si>
  <si>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</si>
  <si>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MoM 9-Jun-2026 (Notes)</t>
  </si>
  <si>
    <t>CR-JR-MAY-008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</si>
  <si>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</si>
  <si>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</si>
  <si>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</si>
  <si>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</si>
  <si>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</si>
  <si>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(CR-JR-MAY-005). SQC 7L/4–GM mapping check needed.</t>
  </si>
  <si>
    <t>MoM Notes 1-Jun (O&amp;M)</t>
  </si>
  <si>
    <t>CR-JR-MAY-009</t>
  </si>
  <si>
    <t>Dhara – Approved report data entry should NOT change once approved. UI lock for GM PIU. GM PIU/TL can ADD (not edit). GM can add new penalty point on Contractor bill.</t>
  </si>
  <si>
    <t>Dhara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</si>
  <si>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</si>
  <si>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</si>
  <si>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</si>
  <si>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</si>
  <si>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MoM Notes 1-Jun (Dhara)</t>
  </si>
  <si>
    <t>CR-JR-MAY-010</t>
  </si>
  <si>
    <t>Dhara – OHT/WTP/Intake: Base Capacity column to be added in reports. Ref: Dhara_report_formate_27_05_2026.xlsx.</t>
  </si>
  <si>
    <t>Report Column – Base Capacity (OHT/WTP/Intake)</t>
  </si>
  <si>
    <t>GM/PIU Login – MWSR/DWSR Reports</t>
  </si>
  <si>
    <t>Base Capacity column for OHT, WTP, Intake in Dhara reports (MWSR, DWSR, Approved Reports). Ref: Dhara_report_format_27_05_2026.xlsx and DHARA_corrections.xlsx.</t>
  </si>
  <si>
    <t>Ref: Dhara_report_formate_27_05_2026.xlsx and DHARA_corrections.xlsx for column mapping.</t>
  </si>
  <si>
    <t>MoM Notes 1-Jun (OHT/WTP)</t>
  </si>
  <si>
    <t>CR-JR-MAY-011</t>
  </si>
  <si>
    <t>O&amp;M Billing – RA Bill No. format and ISA → ISA flow for Customized Report. Approved Bill → RA 1 to 12 Bill No. Contractor login.</t>
  </si>
  <si>
    <t>RA Bill Numbering – Customized Report</t>
  </si>
  <si>
    <t>Contractor Login – Report View</t>
  </si>
  <si>
    <t>ISA → ISA with CP Manager (Approved/Rejected/No Action). RA Bill numbering cycles 1–12. Customized report view for Contractor. Ref: OM_RA_Bill_Report.pdf.</t>
  </si>
  <si>
    <t>Approved Bill → RA 1 to 12. Contractor view ISA-to-ISA flow.</t>
  </si>
  <si>
    <t>MoM Notes 5-Jun</t>
  </si>
  <si>
    <t>CR-JR-MAY-012</t>
  </si>
  <si>
    <t>04-Jun-2026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</si>
  <si>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</si>
  <si>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</si>
  <si>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</si>
  <si>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"Already Used Before". Future scope item.</t>
  </si>
  <si>
    <t>Future scope. AI model (Photo Scan face + background). Video in scope.</t>
  </si>
  <si>
    <t>MoM Notes 5-Jun (Sahbhagita)</t>
  </si>
  <si>
    <t>Future Sprint</t>
  </si>
  <si>
    <t>CR-JR-MAY-013</t>
  </si>
  <si>
    <t>Sahbhagita – Hyperlink: Village Name → Village Activity Document Preview popup. Two hyperlinks: (1) Village Name, (2) Village Activity Document (Reviewed).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</si>
  <si>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</si>
  <si>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</si>
  <si>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</si>
  <si>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</si>
  <si>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MoM Notes 5-Jun &amp; 6-Jun</t>
  </si>
  <si>
    <t>CR-JR-MAY-014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</si>
  <si>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</si>
  <si>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</si>
  <si>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</si>
  <si>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</si>
  <si>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</si>
  <si>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</si>
  <si>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</si>
  <si>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MoM 18-Jun Notes</t>
  </si>
  <si>
    <t>CR-JR-MAY-015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</si>
  <si>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</si>
  <si>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</si>
  <si>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</si>
  <si>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</si>
  <si>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</si>
  <si>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</si>
  <si>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Notes 9-Jun (Wireframe scan)</t>
  </si>
  <si>
    <t>CR-JR-MAY-016</t>
  </si>
  <si>
    <t>10-Jun-2026</t>
  </si>
  <si>
    <t>FHTC/Asset Mapping – Village LGD Code: no LGD = Habitation. BISAC: Junction to Junction Map Asset &amp; Track. Pipeline Mapping (Asset). NIC (Asset ID) = BISAC. OHT Asset already done.</t>
  </si>
  <si>
    <t>FHTC / Asset Mapping</t>
  </si>
  <si>
    <t>Village LGD Code &amp; BISAC Asset Mapping</t>
  </si>
  <si>
    <t>Asset Mapping – BISAC Integration</t>
  </si>
  <si>
    <t>No LGD code → Habitation in system. BISAC J-to-J map for asset tracking. Pipeline mapping via NIC Asset ID. OHT asset mapping done; remaining components to complete.</t>
  </si>
  <si>
    <t>1 Scheme = 250 OHT. 175×250 scale. NIC Asset ID (BISAC). Pipeline mapping pending.</t>
  </si>
  <si>
    <t>MoM 9-Jun-2026 &amp; Notes 3-Jun</t>
  </si>
  <si>
    <t>CR-JR-MAY-017</t>
  </si>
  <si>
    <t>18-Jun-2026</t>
  </si>
  <si>
    <t>Sahbhagita – Report: Category → Activity. Village Wise (32/27 activities) &amp; Combined (22). Filter: V, C, A. Category V/C/A cross-filter. Ref: Sahbhagita_master_activity_matched.xlsx.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</si>
  <si>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</si>
  <si>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</si>
  <si>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</si>
  <si>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</si>
  <si>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MoM Notes 18-Jun (Sahbhagita)</t>
  </si>
  <si>
    <t>CR-JR-MAY-018</t>
  </si>
  <si>
    <t>Department</t>
  </si>
  <si>
    <t>Anusharavaan – Save as Draft functionality at FE Login. FE saves inspection data as draft before final submission, preventing data loss on connectivity issues.</t>
  </si>
  <si>
    <t>Anusharavaan</t>
  </si>
  <si>
    <t>Save as Draft – FE Login</t>
  </si>
  <si>
    <t>FE Mobile App – RFI Inspection</t>
  </si>
  <si>
    <t>Draft save button on FE inspection form. Draft stored locally (offline-first) and synced on connectivity restored. Draft visible only to FE until submitted. FE must review before final submit.</t>
  </si>
  <si>
    <t>Offline-first draft. Synced on reconnection. FE cannot submit from Draft without review.</t>
  </si>
  <si>
    <t>Internal CR – Module Tracker</t>
  </si>
  <si>
    <t>CR-JR-MAY-019</t>
  </si>
  <si>
    <t>Department / Testing Team</t>
  </si>
  <si>
    <t>FHTC – Report Issues: FE inspection date missing in reports; loop re-inspection list showing incorrect records; column mismatch between UI and DB; GM/Contractor data discrepancy.</t>
  </si>
  <si>
    <t>FHTC</t>
  </si>
  <si>
    <t>Report Issues – Multiple Fixes</t>
  </si>
  <si>
    <t>FHTC Reports – FE, GM, Contractor Login</t>
  </si>
  <si>
    <t>Issues: (1) FE inspection date not in FHTC reports. (2) Loop re-inspection list – incorrect records. (3) Column mismatch UI↔DB. (4) GM/Contractor report data discrepancy. All to be fixed and moved to UAT/Prod.</t>
  </si>
  <si>
    <t>Ref: FHTC_CR_June Module tracker. FE inspection date, loop re-inspection, column alignment all in scope.</t>
  </si>
  <si>
    <t>Internal CR – FHTC Module Tracker</t>
  </si>
  <si>
    <t>CR-JR-MAY-020</t>
  </si>
  <si>
    <t>16-Jun-2026</t>
  </si>
  <si>
    <t>O&amp;M Billing – Residual Pressure &amp; Complaint Redressal screen changes. Pressure Threshold Report format update per OM_RA_Bill_Report.pdf.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</si>
  <si>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</si>
  <si>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</si>
  <si>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</si>
  <si>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Ref: OM_RA_Bill_Report.pdf – Pressure_Threshold_Report. RA/19/50/2025-26/Q1/1 format.</t>
  </si>
  <si>
    <t>MoM Notes 16-Jun (Point 11)</t>
  </si>
  <si>
    <t>CR-JR-MAY-021</t>
  </si>
  <si>
    <t>Dhara – Non-Mandatory options go-live on 19th June across all logins: (1) Remark, (2) Photo Upload, (3) Forward, (4) Backward Options.</t>
  </si>
  <si>
    <t>Non-Mandatory Options – Go Live 19-Jun</t>
  </si>
  <si>
    <t>All Logins – Dhara Module</t>
  </si>
  <si>
    <t>Non-mandatory options (Remark, Photo Upload, Forward, Backward) enabled on 19-Jun across all logins. These actions do NOT block submission if not filled.</t>
  </si>
  <si>
    <t>Completed</t>
  </si>
  <si>
    <t>19-Jun-2026</t>
  </si>
  <si>
    <t>Go-live 19-Jun-2026 confirmed. Non-mandatory: Remark, Photo Upload, Forward, Backward.</t>
  </si>
  <si>
    <t>MoM Notes (Point 10 – 19 June)</t>
  </si>
  <si>
    <t>CR-JR-MAY-022</t>
  </si>
  <si>
    <t>SVS Water Supply Monitoring – New Module Initiation: Department meeting, Project PIN document, MoM creation. DB fields, workflow, and reports structure finalized.</t>
  </si>
  <si>
    <t>SVS Water Supply Monitoring</t>
  </si>
  <si>
    <t>New Module – Project Initiation</t>
  </si>
  <si>
    <t>New Module – All Stakeholders</t>
  </si>
  <si>
    <t>New module initiated. DB schema fields defined. Workflow: data entry → monitoring → report generation. Reports structure agreed. Web pages and DB functions development started.</t>
  </si>
  <si>
    <t>SVS Water Supply Monitoring Report – web page development started (Sprint 16).</t>
  </si>
  <si>
    <t>Internal – Sprint 16 Timesheet</t>
  </si>
  <si>
    <t>SUMMARY  |  Total CRs: 22  |  Completed: 1  |  In Progress: 13  |  Open: 8  |  Total Effort: 560 Hrs  |  Sprint: Jal Rekha/16 &amp; /17</t>
  </si>
  <si>
    <t>CR Module Summary – May to June 2026  |  Jal Rekha Project</t>
  </si>
  <si>
    <t>No. of CRs</t>
  </si>
  <si>
    <t>Total Effort (Hrs)</t>
  </si>
  <si>
    <t>TOTAL</t>
  </si>
  <si>
    <t>O&amp;M Billing Workflow Reference  |  Jal Rekha  |  June 2026</t>
  </si>
  <si>
    <t>Step</t>
  </si>
  <si>
    <t>Actor / Role</t>
  </si>
  <si>
    <t>Login Type</t>
  </si>
  <si>
    <t>Action / Description</t>
  </si>
  <si>
    <t>1</t>
  </si>
  <si>
    <t>FIRM (Contractor)</t>
  </si>
  <si>
    <t>Contractor Login</t>
  </si>
  <si>
    <t>Bill Generation + Submission Letter + Tax Invoice (along with: Electricity Bills, PHE Test Reports, etc.). Note: System-generated bill – e-sign via CDAC, physical sign NOT required.</t>
  </si>
  <si>
    <t>2</t>
  </si>
  <si>
    <t>GM (PIU)</t>
  </si>
  <si>
    <t>GM PIU Login</t>
  </si>
  <si>
    <t>Forward to TL (CSC). View Pending Bills → Manage Bill. Upload: Signed MB, Generated Abstract (signed), Signed Bill Sheet (by GM PIU), Signed Form 27A, Signed Relaxation Letter (if any).</t>
  </si>
  <si>
    <t>3</t>
  </si>
  <si>
    <t>TL (CSC)</t>
  </si>
  <si>
    <t>TL CSC Login</t>
  </si>
  <si>
    <t>Add/Edit each record. Issue Recommendation Letter.</t>
  </si>
  <si>
    <t>4</t>
  </si>
  <si>
    <t>GM (PIU) – 2nd Stage</t>
  </si>
  <si>
    <t>Add/Edit each record. Upload final set of signed docs.</t>
  </si>
  <si>
    <t>5</t>
  </si>
  <si>
    <t>GM (O&amp;M)</t>
  </si>
  <si>
    <t>GM O&amp;M Login</t>
  </si>
  <si>
    <t>Manage Bill. View Pending Bills. Edit / Add / Resolution.</t>
  </si>
  <si>
    <t>6</t>
  </si>
  <si>
    <t>DGM (O&amp;M)</t>
  </si>
  <si>
    <t>DGM O&amp;M Login</t>
  </si>
  <si>
    <t>Review and forward to TL PMC.</t>
  </si>
  <si>
    <t>7</t>
  </si>
  <si>
    <t>TL (PMC)</t>
  </si>
  <si>
    <t>TL PMC Login</t>
  </si>
  <si>
    <t>Recommendation letter with supporting documents.</t>
  </si>
  <si>
    <t>8</t>
  </si>
  <si>
    <t>GM (O&amp;M) – Final</t>
  </si>
  <si>
    <t>Upload: Pass Order Copy (Signed by DGM O&amp;M) + Signed Letter from HO.</t>
  </si>
  <si>
    <t>9</t>
  </si>
  <si>
    <t>CGM</t>
  </si>
  <si>
    <t>CGM Login</t>
  </si>
  <si>
    <t>Offices: Bhopal, Gwalior, Jabalpur, Rewa, Sagar, Indore, Ujjain.</t>
  </si>
  <si>
    <t>10</t>
  </si>
  <si>
    <t>CA</t>
  </si>
  <si>
    <t>CA Login</t>
  </si>
  <si>
    <t>Review and process accounts.</t>
  </si>
  <si>
    <t>11</t>
  </si>
  <si>
    <t>CFO</t>
  </si>
  <si>
    <t>CFO Login</t>
  </si>
  <si>
    <t>Financial review and approval.</t>
  </si>
  <si>
    <t>12</t>
  </si>
  <si>
    <t>P.D.</t>
  </si>
  <si>
    <t>PD Login</t>
  </si>
  <si>
    <t>Project Director approval.</t>
  </si>
  <si>
    <t>13</t>
  </si>
  <si>
    <t>MD</t>
  </si>
  <si>
    <t>MD Login</t>
  </si>
  <si>
    <t>Final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</si>
</sst>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1F4E79"/>
      <name val="Arial"/>
    </font>
    <font>
      <i/>
      <sz val="8"/>
      <color rgb="FF40404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9"/>
      <color rgb="FF1F4E7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41719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topLeftCell="F1" workbookViewId="0">
      <pane ySplit="4" topLeftCell="A25" activePane="bottomLeft" state="frozen"/>
      <selection pane="bottomLeft" activeCell="I29" sqref="I29"/>
    </sheetView>
  </sheetViews>
  <sheetFormatPr defaultRowHeight="14.5" x14ac:dyDescent="0.35"/>
  <cols>
    <col min="1" max="1" width="8" customWidth="1"/>
    <col min="2" max="2" width="18" customWidth="1"/>
    <col min="3" max="4" width="16" customWidth="1"/>
    <col min="5" max="5" width="12" customWidth="1"/>
    <col min="6" max="6" width="55" customWidth="1"/>
    <col min="7" max="7" width="20" customWidth="1"/>
    <col min="8" max="9" width="22" customWidth="1"/>
    <col min="10" max="10" width="38" customWidth="1"/>
    <col min="11" max="11" width="13" customWidth="1"/>
    <col min="12" max="12" width="12" customWidth="1"/>
    <col min="13" max="13" width="14" customWidth="1"/>
    <col min="14" max="15" width="10" customWidth="1"/>
    <col min="16" max="16" width="12" customWidth="1"/>
    <col min="17" max="17" width="35" customWidth="1"/>
    <col min="18" max="18" width="18" customWidth="1"/>
    <col min="19" max="19" width="14" customWidth="1"/>
  </cols>
  <sheetData>
    <row r="1" spans="1:19" ht="28" customHeight="1" x14ac:dyDescent="0.35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18" customHeight="1" x14ac:dyDescent="0.3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ht="14" customHeight="1" x14ac:dyDescent="0.3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30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</row>
    <row r="5" spans="1:19" ht="65" customHeight="1" x14ac:dyDescent="0.35">
      <c r="A5" s="2">
        <v>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4" t="s">
        <v>31</v>
      </c>
      <c r="L5" s="3"/>
      <c r="M5" s="5" t="s">
        <v>32</v>
      </c>
      <c r="N5" s="4" t="s">
        <v>33</v>
      </c>
      <c r="O5" s="6" t="s">
        <v>33</v>
      </c>
      <c r="P5" s="3">
        <v>40</v>
      </c>
      <c r="Q5" s="3" t="s">
        <v>34</v>
      </c>
      <c r="R5" s="3" t="s">
        <v>35</v>
      </c>
      <c r="S5" s="3" t="s">
        <v>36</v>
      </c>
    </row>
    <row r="6" spans="1:19" ht="65" customHeight="1" x14ac:dyDescent="0.35">
      <c r="A6" s="7">
        <v>2</v>
      </c>
      <c r="B6" s="8" t="s">
        <v>37</v>
      </c>
      <c r="C6" s="8" t="s">
        <v>23</v>
      </c>
      <c r="D6" s="8" t="s">
        <v>24</v>
      </c>
      <c r="E6" s="8" t="s">
        <v>25</v>
      </c>
      <c r="F6" s="8" t="s">
        <v>38</v>
      </c>
      <c r="G6" s="8" t="s">
        <v>27</v>
      </c>
      <c r="H6" s="8" t="s">
        <v>39</v>
      </c>
      <c r="I6" s="8" t="s">
        <v>40</v>
      </c>
      <c r="J6" s="8" t="s">
        <v>41</v>
      </c>
      <c r="K6" s="5" t="s">
        <v>42</v>
      </c>
      <c r="L6" s="8"/>
      <c r="M6" s="5" t="s">
        <v>32</v>
      </c>
      <c r="N6" s="4" t="s">
        <v>33</v>
      </c>
      <c r="O6" s="5" t="s">
        <v>43</v>
      </c>
      <c r="P6" s="8">
        <v>24</v>
      </c>
      <c r="Q6" s="8" t="s">
        <v>44</v>
      </c>
      <c r="R6" s="8" t="s">
        <v>45</v>
      </c>
      <c r="S6" s="8" t="s">
        <v>46</v>
      </c>
    </row>
    <row r="7" spans="1:19" ht="65" customHeight="1" x14ac:dyDescent="0.35">
      <c r="A7" s="2">
        <v>3</v>
      </c>
      <c r="B7" s="3" t="s">
        <v>47</v>
      </c>
      <c r="C7" s="3" t="s">
        <v>23</v>
      </c>
      <c r="D7" s="3" t="s">
        <v>24</v>
      </c>
      <c r="E7" s="3" t="s">
        <v>25</v>
      </c>
      <c r="F7" s="3" t="s">
        <v>48</v>
      </c>
      <c r="G7" s="3" t="s">
        <v>27</v>
      </c>
      <c r="H7" s="3" t="s">
        <v>49</v>
      </c>
      <c r="I7" s="3" t="s">
        <v>50</v>
      </c>
      <c r="J7" s="3" t="s">
        <v>51</v>
      </c>
      <c r="K7" s="4" t="s">
        <v>31</v>
      </c>
      <c r="L7" s="3"/>
      <c r="M7" s="5" t="s">
        <v>32</v>
      </c>
      <c r="N7" s="5" t="s">
        <v>43</v>
      </c>
      <c r="O7" s="9" t="s">
        <v>52</v>
      </c>
      <c r="P7" s="3">
        <v>12</v>
      </c>
      <c r="Q7" s="3" t="s">
        <v>53</v>
      </c>
      <c r="R7" s="3" t="s">
        <v>35</v>
      </c>
      <c r="S7" s="3" t="s">
        <v>36</v>
      </c>
    </row>
    <row r="8" spans="1:19" ht="65" customHeight="1" x14ac:dyDescent="0.35">
      <c r="A8" s="7">
        <v>4</v>
      </c>
      <c r="B8" s="8" t="s">
        <v>54</v>
      </c>
      <c r="C8" s="8" t="s">
        <v>55</v>
      </c>
      <c r="D8" s="8" t="s">
        <v>24</v>
      </c>
      <c r="E8" s="8" t="s">
        <v>25</v>
      </c>
      <c r="F8" s="8" t="s">
        <v>56</v>
      </c>
      <c r="G8" s="8" t="s">
        <v>27</v>
      </c>
      <c r="H8" s="8" t="s">
        <v>57</v>
      </c>
      <c r="I8" s="8" t="s">
        <v>58</v>
      </c>
      <c r="J8" s="8" t="s">
        <v>59</v>
      </c>
      <c r="K8" s="4" t="s">
        <v>31</v>
      </c>
      <c r="L8" s="8"/>
      <c r="M8" s="5" t="s">
        <v>32</v>
      </c>
      <c r="N8" s="4" t="s">
        <v>33</v>
      </c>
      <c r="O8" s="6" t="s">
        <v>33</v>
      </c>
      <c r="P8" s="8">
        <v>32</v>
      </c>
      <c r="Q8" s="8" t="s">
        <v>60</v>
      </c>
      <c r="R8" s="8" t="s">
        <v>35</v>
      </c>
      <c r="S8" s="8" t="s">
        <v>36</v>
      </c>
    </row>
    <row r="9" spans="1:19" ht="65" customHeight="1" x14ac:dyDescent="0.35">
      <c r="A9" s="2">
        <v>5</v>
      </c>
      <c r="B9" s="3" t="s">
        <v>61</v>
      </c>
      <c r="C9" s="3" t="s">
        <v>55</v>
      </c>
      <c r="D9" s="3" t="s">
        <v>24</v>
      </c>
      <c r="E9" s="3" t="s">
        <v>25</v>
      </c>
      <c r="F9" s="3" t="s">
        <v>62</v>
      </c>
      <c r="G9" s="3" t="s">
        <v>27</v>
      </c>
      <c r="H9" s="3" t="s">
        <v>63</v>
      </c>
      <c r="I9" s="3" t="s">
        <v>64</v>
      </c>
      <c r="J9" s="3" t="s">
        <v>65</v>
      </c>
      <c r="K9" s="5" t="s">
        <v>42</v>
      </c>
      <c r="L9" s="3"/>
      <c r="M9" s="9" t="s">
        <v>66</v>
      </c>
      <c r="N9" s="4" t="s">
        <v>33</v>
      </c>
      <c r="O9" s="5" t="s">
        <v>43</v>
      </c>
      <c r="P9" s="3">
        <v>20</v>
      </c>
      <c r="Q9" s="3" t="s">
        <v>67</v>
      </c>
      <c r="R9" s="3" t="s">
        <v>68</v>
      </c>
      <c r="S9" s="3" t="s">
        <v>46</v>
      </c>
    </row>
    <row r="10" spans="1:19" ht="65" customHeight="1" x14ac:dyDescent="0.35">
      <c r="A10" s="7">
        <v>6</v>
      </c>
      <c r="B10" s="8" t="s">
        <v>69</v>
      </c>
      <c r="C10" s="8" t="s">
        <v>55</v>
      </c>
      <c r="D10" s="8" t="s">
        <v>24</v>
      </c>
      <c r="E10" s="8" t="s">
        <v>70</v>
      </c>
      <c r="F10" s="8" t="s">
        <v>71</v>
      </c>
      <c r="G10" s="8" t="s">
        <v>27</v>
      </c>
      <c r="H10" s="8" t="s">
        <v>72</v>
      </c>
      <c r="I10" s="8" t="s">
        <v>73</v>
      </c>
      <c r="J10" s="8" t="s">
        <v>74</v>
      </c>
      <c r="K10" s="5" t="s">
        <v>42</v>
      </c>
      <c r="L10" s="8"/>
      <c r="M10" s="5" t="s">
        <v>32</v>
      </c>
      <c r="N10" s="4" t="s">
        <v>33</v>
      </c>
      <c r="O10" s="6" t="s">
        <v>33</v>
      </c>
      <c r="P10" s="8">
        <v>48</v>
      </c>
      <c r="Q10" s="8" t="s">
        <v>75</v>
      </c>
      <c r="R10" s="8" t="s">
        <v>76</v>
      </c>
      <c r="S10" s="8" t="s">
        <v>36</v>
      </c>
    </row>
    <row r="11" spans="1:19" ht="65" customHeight="1" x14ac:dyDescent="0.35">
      <c r="A11" s="2">
        <v>7</v>
      </c>
      <c r="B11" s="3" t="s">
        <v>77</v>
      </c>
      <c r="C11" s="3" t="s">
        <v>55</v>
      </c>
      <c r="D11" s="3" t="s">
        <v>24</v>
      </c>
      <c r="E11" s="3" t="s">
        <v>70</v>
      </c>
      <c r="F11" s="3" t="s">
        <v>78</v>
      </c>
      <c r="G11" s="3" t="s">
        <v>79</v>
      </c>
      <c r="H11" s="3" t="s">
        <v>80</v>
      </c>
      <c r="I11" s="3" t="s">
        <v>81</v>
      </c>
      <c r="J11" s="3" t="s">
        <v>82</v>
      </c>
      <c r="K11" s="4" t="s">
        <v>31</v>
      </c>
      <c r="L11" s="3"/>
      <c r="M11" s="5" t="s">
        <v>32</v>
      </c>
      <c r="N11" s="5" t="s">
        <v>43</v>
      </c>
      <c r="O11" s="9" t="s">
        <v>52</v>
      </c>
      <c r="P11" s="3">
        <v>12</v>
      </c>
      <c r="Q11" s="3" t="s">
        <v>83</v>
      </c>
      <c r="R11" s="3" t="s">
        <v>84</v>
      </c>
      <c r="S11" s="3" t="s">
        <v>36</v>
      </c>
    </row>
    <row r="12" spans="1:19" ht="65" customHeight="1" x14ac:dyDescent="0.35">
      <c r="A12" s="7">
        <v>8</v>
      </c>
      <c r="B12" s="8" t="s">
        <v>85</v>
      </c>
      <c r="C12" s="8" t="s">
        <v>55</v>
      </c>
      <c r="D12" s="8" t="s">
        <v>24</v>
      </c>
      <c r="E12" s="8" t="s">
        <v>86</v>
      </c>
      <c r="F12" s="8" t="s">
        <v>87</v>
      </c>
      <c r="G12" s="8" t="s">
        <v>27</v>
      </c>
      <c r="H12" s="8" t="s">
        <v>88</v>
      </c>
      <c r="I12" s="8" t="s">
        <v>89</v>
      </c>
      <c r="J12" s="8" t="s">
        <v>90</v>
      </c>
      <c r="K12" s="4" t="s">
        <v>31</v>
      </c>
      <c r="L12" s="8"/>
      <c r="M12" s="5" t="s">
        <v>32</v>
      </c>
      <c r="N12" s="5" t="s">
        <v>43</v>
      </c>
      <c r="O12" s="5" t="s">
        <v>43</v>
      </c>
      <c r="P12" s="8">
        <v>16</v>
      </c>
      <c r="Q12" s="8" t="s">
        <v>91</v>
      </c>
      <c r="R12" s="8" t="s">
        <v>92</v>
      </c>
      <c r="S12" s="8" t="s">
        <v>36</v>
      </c>
    </row>
    <row r="13" spans="1:19" ht="65" customHeight="1" x14ac:dyDescent="0.35">
      <c r="A13" s="2">
        <v>9</v>
      </c>
      <c r="B13" s="3" t="s">
        <v>93</v>
      </c>
      <c r="C13" s="3" t="s">
        <v>55</v>
      </c>
      <c r="D13" s="3" t="s">
        <v>24</v>
      </c>
      <c r="E13" s="3" t="s">
        <v>86</v>
      </c>
      <c r="F13" s="3" t="s">
        <v>94</v>
      </c>
      <c r="G13" s="3" t="s">
        <v>95</v>
      </c>
      <c r="H13" s="3" t="s">
        <v>96</v>
      </c>
      <c r="I13" s="3" t="s">
        <v>97</v>
      </c>
      <c r="J13" s="3" t="s">
        <v>98</v>
      </c>
      <c r="K13" s="5" t="s">
        <v>42</v>
      </c>
      <c r="L13" s="3"/>
      <c r="M13" s="9" t="s">
        <v>66</v>
      </c>
      <c r="N13" s="4" t="s">
        <v>33</v>
      </c>
      <c r="O13" s="6" t="s">
        <v>33</v>
      </c>
      <c r="P13" s="3">
        <v>28</v>
      </c>
      <c r="Q13" s="3" t="s">
        <v>99</v>
      </c>
      <c r="R13" s="3" t="s">
        <v>100</v>
      </c>
      <c r="S13" s="3" t="s">
        <v>46</v>
      </c>
    </row>
    <row r="14" spans="1:19" ht="65" customHeight="1" x14ac:dyDescent="0.35">
      <c r="A14" s="7">
        <v>10</v>
      </c>
      <c r="B14" s="8" t="s">
        <v>101</v>
      </c>
      <c r="C14" s="8" t="s">
        <v>55</v>
      </c>
      <c r="D14" s="8" t="s">
        <v>24</v>
      </c>
      <c r="E14" s="8" t="s">
        <v>86</v>
      </c>
      <c r="F14" s="8" t="s">
        <v>102</v>
      </c>
      <c r="G14" s="8" t="s">
        <v>95</v>
      </c>
      <c r="H14" s="8" t="s">
        <v>103</v>
      </c>
      <c r="I14" s="8" t="s">
        <v>104</v>
      </c>
      <c r="J14" s="8" t="s">
        <v>105</v>
      </c>
      <c r="K14" s="5" t="s">
        <v>42</v>
      </c>
      <c r="L14" s="8"/>
      <c r="M14" s="9" t="s">
        <v>66</v>
      </c>
      <c r="N14" s="5" t="s">
        <v>43</v>
      </c>
      <c r="O14" s="9" t="s">
        <v>52</v>
      </c>
      <c r="P14" s="8">
        <v>16</v>
      </c>
      <c r="Q14" s="8" t="s">
        <v>106</v>
      </c>
      <c r="R14" s="8" t="s">
        <v>107</v>
      </c>
      <c r="S14" s="8" t="s">
        <v>46</v>
      </c>
    </row>
    <row r="15" spans="1:19" ht="65" customHeight="1" x14ac:dyDescent="0.35">
      <c r="A15" s="2">
        <v>11</v>
      </c>
      <c r="B15" s="3" t="s">
        <v>108</v>
      </c>
      <c r="C15" s="3" t="s">
        <v>55</v>
      </c>
      <c r="D15" s="3" t="s">
        <v>24</v>
      </c>
      <c r="E15" s="3" t="s">
        <v>86</v>
      </c>
      <c r="F15" s="3" t="s">
        <v>109</v>
      </c>
      <c r="G15" s="3" t="s">
        <v>27</v>
      </c>
      <c r="H15" s="3" t="s">
        <v>110</v>
      </c>
      <c r="I15" s="3" t="s">
        <v>111</v>
      </c>
      <c r="J15" s="3" t="s">
        <v>112</v>
      </c>
      <c r="K15" s="4" t="s">
        <v>31</v>
      </c>
      <c r="L15" s="3"/>
      <c r="M15" s="5" t="s">
        <v>32</v>
      </c>
      <c r="N15" s="5" t="s">
        <v>43</v>
      </c>
      <c r="O15" s="9" t="s">
        <v>52</v>
      </c>
      <c r="P15" s="3">
        <v>12</v>
      </c>
      <c r="Q15" s="3" t="s">
        <v>113</v>
      </c>
      <c r="R15" s="3" t="s">
        <v>114</v>
      </c>
      <c r="S15" s="3" t="s">
        <v>36</v>
      </c>
    </row>
    <row r="16" spans="1:19" ht="65" customHeight="1" x14ac:dyDescent="0.35">
      <c r="A16" s="7">
        <v>12</v>
      </c>
      <c r="B16" s="8" t="s">
        <v>115</v>
      </c>
      <c r="C16" s="8" t="s">
        <v>55</v>
      </c>
      <c r="D16" s="8" t="s">
        <v>24</v>
      </c>
      <c r="E16" s="8" t="s">
        <v>116</v>
      </c>
      <c r="F16" s="8" t="s">
        <v>117</v>
      </c>
      <c r="G16" s="8" t="s">
        <v>79</v>
      </c>
      <c r="H16" s="8" t="s">
        <v>118</v>
      </c>
      <c r="I16" s="8" t="s">
        <v>119</v>
      </c>
      <c r="J16" s="8" t="s">
        <v>120</v>
      </c>
      <c r="K16" s="4" t="s">
        <v>31</v>
      </c>
      <c r="L16" s="8"/>
      <c r="M16" s="5" t="s">
        <v>32</v>
      </c>
      <c r="N16" s="9" t="s">
        <v>52</v>
      </c>
      <c r="O16" s="6" t="s">
        <v>33</v>
      </c>
      <c r="P16" s="8">
        <v>60</v>
      </c>
      <c r="Q16" s="8" t="s">
        <v>121</v>
      </c>
      <c r="R16" s="8" t="s">
        <v>122</v>
      </c>
      <c r="S16" s="8" t="s">
        <v>123</v>
      </c>
    </row>
    <row r="17" spans="1:19" ht="65" customHeight="1" x14ac:dyDescent="0.35">
      <c r="A17" s="2">
        <v>13</v>
      </c>
      <c r="B17" s="3" t="s">
        <v>124</v>
      </c>
      <c r="C17" s="3" t="s">
        <v>55</v>
      </c>
      <c r="D17" s="3" t="s">
        <v>24</v>
      </c>
      <c r="E17" s="3" t="s">
        <v>116</v>
      </c>
      <c r="F17" s="3" t="s">
        <v>125</v>
      </c>
      <c r="G17" s="3" t="s">
        <v>79</v>
      </c>
      <c r="H17" s="3" t="s">
        <v>126</v>
      </c>
      <c r="I17" s="3" t="s">
        <v>127</v>
      </c>
      <c r="J17" s="3" t="s">
        <v>128</v>
      </c>
      <c r="K17" s="5" t="s">
        <v>42</v>
      </c>
      <c r="L17" s="3"/>
      <c r="M17" s="9" t="s">
        <v>66</v>
      </c>
      <c r="N17" s="5" t="s">
        <v>43</v>
      </c>
      <c r="O17" s="9" t="s">
        <v>52</v>
      </c>
      <c r="P17" s="3">
        <v>10</v>
      </c>
      <c r="Q17" s="3" t="s">
        <v>129</v>
      </c>
      <c r="R17" s="3" t="s">
        <v>130</v>
      </c>
      <c r="S17" s="3" t="s">
        <v>36</v>
      </c>
    </row>
    <row r="18" spans="1:19" ht="65" customHeight="1" x14ac:dyDescent="0.35">
      <c r="A18" s="7">
        <v>14</v>
      </c>
      <c r="B18" s="8" t="s">
        <v>131</v>
      </c>
      <c r="C18" s="8" t="s">
        <v>55</v>
      </c>
      <c r="D18" s="8" t="s">
        <v>24</v>
      </c>
      <c r="E18" s="8" t="s">
        <v>132</v>
      </c>
      <c r="F18" s="8" t="s">
        <v>133</v>
      </c>
      <c r="G18" s="8" t="s">
        <v>134</v>
      </c>
      <c r="H18" s="8" t="s">
        <v>135</v>
      </c>
      <c r="I18" s="8" t="s">
        <v>136</v>
      </c>
      <c r="J18" s="8" t="s">
        <v>137</v>
      </c>
      <c r="K18" s="5" t="s">
        <v>42</v>
      </c>
      <c r="L18" s="8"/>
      <c r="M18" s="9" t="s">
        <v>66</v>
      </c>
      <c r="N18" s="4" t="s">
        <v>33</v>
      </c>
      <c r="O18" s="5" t="s">
        <v>43</v>
      </c>
      <c r="P18" s="8">
        <v>20</v>
      </c>
      <c r="Q18" s="8" t="s">
        <v>138</v>
      </c>
      <c r="R18" s="8" t="s">
        <v>139</v>
      </c>
      <c r="S18" s="8" t="s">
        <v>36</v>
      </c>
    </row>
    <row r="19" spans="1:19" ht="65" customHeight="1" x14ac:dyDescent="0.35">
      <c r="A19" s="2">
        <v>15</v>
      </c>
      <c r="B19" s="3" t="s">
        <v>140</v>
      </c>
      <c r="C19" s="3" t="s">
        <v>55</v>
      </c>
      <c r="D19" s="3" t="s">
        <v>24</v>
      </c>
      <c r="E19" s="3" t="s">
        <v>141</v>
      </c>
      <c r="F19" s="3" t="s">
        <v>142</v>
      </c>
      <c r="G19" s="3" t="s">
        <v>27</v>
      </c>
      <c r="H19" s="3" t="s">
        <v>143</v>
      </c>
      <c r="I19" s="3" t="s">
        <v>144</v>
      </c>
      <c r="J19" s="3" t="s">
        <v>145</v>
      </c>
      <c r="K19" s="5" t="s">
        <v>42</v>
      </c>
      <c r="L19" s="3"/>
      <c r="M19" s="9" t="s">
        <v>66</v>
      </c>
      <c r="N19" s="4" t="s">
        <v>33</v>
      </c>
      <c r="O19" s="5" t="s">
        <v>43</v>
      </c>
      <c r="P19" s="3">
        <v>32</v>
      </c>
      <c r="Q19" s="3" t="s">
        <v>146</v>
      </c>
      <c r="R19" s="3" t="s">
        <v>147</v>
      </c>
      <c r="S19" s="3" t="s">
        <v>36</v>
      </c>
    </row>
    <row r="20" spans="1:19" ht="65" customHeight="1" x14ac:dyDescent="0.35">
      <c r="A20" s="7">
        <v>16</v>
      </c>
      <c r="B20" s="8" t="s">
        <v>148</v>
      </c>
      <c r="C20" s="8" t="s">
        <v>55</v>
      </c>
      <c r="D20" s="8" t="s">
        <v>24</v>
      </c>
      <c r="E20" s="8" t="s">
        <v>149</v>
      </c>
      <c r="F20" s="8" t="s">
        <v>150</v>
      </c>
      <c r="G20" s="8" t="s">
        <v>151</v>
      </c>
      <c r="H20" s="8" t="s">
        <v>152</v>
      </c>
      <c r="I20" s="8" t="s">
        <v>153</v>
      </c>
      <c r="J20" s="8" t="s">
        <v>154</v>
      </c>
      <c r="K20" s="5" t="s">
        <v>42</v>
      </c>
      <c r="L20" s="8"/>
      <c r="M20" s="5" t="s">
        <v>32</v>
      </c>
      <c r="N20" s="4" t="s">
        <v>33</v>
      </c>
      <c r="O20" s="6" t="s">
        <v>33</v>
      </c>
      <c r="P20" s="8">
        <v>36</v>
      </c>
      <c r="Q20" s="8" t="s">
        <v>155</v>
      </c>
      <c r="R20" s="8" t="s">
        <v>156</v>
      </c>
      <c r="S20" s="8" t="s">
        <v>36</v>
      </c>
    </row>
    <row r="21" spans="1:19" ht="65" customHeight="1" x14ac:dyDescent="0.35">
      <c r="A21" s="2">
        <v>17</v>
      </c>
      <c r="B21" s="3" t="s">
        <v>157</v>
      </c>
      <c r="C21" s="3" t="s">
        <v>55</v>
      </c>
      <c r="D21" s="3" t="s">
        <v>24</v>
      </c>
      <c r="E21" s="3" t="s">
        <v>158</v>
      </c>
      <c r="F21" s="3" t="s">
        <v>159</v>
      </c>
      <c r="G21" s="3" t="s">
        <v>79</v>
      </c>
      <c r="H21" s="3" t="s">
        <v>160</v>
      </c>
      <c r="I21" s="3" t="s">
        <v>161</v>
      </c>
      <c r="J21" s="3" t="s">
        <v>162</v>
      </c>
      <c r="K21" s="5" t="s">
        <v>42</v>
      </c>
      <c r="L21" s="3"/>
      <c r="M21" s="9" t="s">
        <v>66</v>
      </c>
      <c r="N21" s="4" t="s">
        <v>33</v>
      </c>
      <c r="O21" s="5" t="s">
        <v>43</v>
      </c>
      <c r="P21" s="3">
        <v>24</v>
      </c>
      <c r="Q21" s="3" t="s">
        <v>163</v>
      </c>
      <c r="R21" s="3" t="s">
        <v>164</v>
      </c>
      <c r="S21" s="3" t="s">
        <v>36</v>
      </c>
    </row>
    <row r="22" spans="1:19" ht="65" customHeight="1" x14ac:dyDescent="0.35">
      <c r="A22" s="7">
        <v>18</v>
      </c>
      <c r="B22" s="8" t="s">
        <v>165</v>
      </c>
      <c r="C22" s="8" t="s">
        <v>166</v>
      </c>
      <c r="D22" s="8" t="s">
        <v>24</v>
      </c>
      <c r="E22" s="8" t="s">
        <v>25</v>
      </c>
      <c r="F22" s="8" t="s">
        <v>167</v>
      </c>
      <c r="G22" s="8" t="s">
        <v>168</v>
      </c>
      <c r="H22" s="8" t="s">
        <v>169</v>
      </c>
      <c r="I22" s="8" t="s">
        <v>170</v>
      </c>
      <c r="J22" s="8" t="s">
        <v>171</v>
      </c>
      <c r="K22" s="5" t="s">
        <v>42</v>
      </c>
      <c r="L22" s="8"/>
      <c r="M22" s="9" t="s">
        <v>66</v>
      </c>
      <c r="N22" s="4" t="s">
        <v>33</v>
      </c>
      <c r="O22" s="5" t="s">
        <v>43</v>
      </c>
      <c r="P22" s="8">
        <v>20</v>
      </c>
      <c r="Q22" s="8" t="s">
        <v>172</v>
      </c>
      <c r="R22" s="8" t="s">
        <v>173</v>
      </c>
      <c r="S22" s="8" t="s">
        <v>46</v>
      </c>
    </row>
    <row r="23" spans="1:19" ht="65" customHeight="1" x14ac:dyDescent="0.35">
      <c r="A23" s="2">
        <v>19</v>
      </c>
      <c r="B23" s="3" t="s">
        <v>174</v>
      </c>
      <c r="C23" s="3" t="s">
        <v>175</v>
      </c>
      <c r="D23" s="3" t="s">
        <v>24</v>
      </c>
      <c r="E23" s="3" t="s">
        <v>25</v>
      </c>
      <c r="F23" s="3" t="s">
        <v>176</v>
      </c>
      <c r="G23" s="3" t="s">
        <v>177</v>
      </c>
      <c r="H23" s="3" t="s">
        <v>178</v>
      </c>
      <c r="I23" s="3" t="s">
        <v>179</v>
      </c>
      <c r="J23" s="3" t="s">
        <v>180</v>
      </c>
      <c r="K23" s="5" t="s">
        <v>42</v>
      </c>
      <c r="L23" s="3"/>
      <c r="M23" s="9" t="s">
        <v>66</v>
      </c>
      <c r="N23" s="4" t="s">
        <v>33</v>
      </c>
      <c r="O23" s="5" t="s">
        <v>43</v>
      </c>
      <c r="P23" s="3">
        <v>24</v>
      </c>
      <c r="Q23" s="3" t="s">
        <v>181</v>
      </c>
      <c r="R23" s="3" t="s">
        <v>182</v>
      </c>
      <c r="S23" s="3" t="s">
        <v>46</v>
      </c>
    </row>
    <row r="24" spans="1:19" ht="65" customHeight="1" x14ac:dyDescent="0.35">
      <c r="A24" s="7">
        <v>20</v>
      </c>
      <c r="B24" s="8" t="s">
        <v>183</v>
      </c>
      <c r="C24" s="8" t="s">
        <v>55</v>
      </c>
      <c r="D24" s="8" t="s">
        <v>24</v>
      </c>
      <c r="E24" s="8" t="s">
        <v>184</v>
      </c>
      <c r="F24" s="8" t="s">
        <v>185</v>
      </c>
      <c r="G24" s="8" t="s">
        <v>27</v>
      </c>
      <c r="H24" s="8" t="s">
        <v>186</v>
      </c>
      <c r="I24" s="8" t="s">
        <v>187</v>
      </c>
      <c r="J24" s="8" t="s">
        <v>188</v>
      </c>
      <c r="K24" s="4" t="s">
        <v>31</v>
      </c>
      <c r="L24" s="8"/>
      <c r="M24" s="5" t="s">
        <v>32</v>
      </c>
      <c r="N24" s="5" t="s">
        <v>43</v>
      </c>
      <c r="O24" s="9" t="s">
        <v>52</v>
      </c>
      <c r="P24" s="8">
        <v>14</v>
      </c>
      <c r="Q24" s="8" t="s">
        <v>189</v>
      </c>
      <c r="R24" s="8" t="s">
        <v>190</v>
      </c>
      <c r="S24" s="8" t="s">
        <v>36</v>
      </c>
    </row>
    <row r="25" spans="1:19" ht="65" customHeight="1" x14ac:dyDescent="0.35">
      <c r="A25" s="2">
        <v>21</v>
      </c>
      <c r="B25" s="3" t="s">
        <v>191</v>
      </c>
      <c r="C25" s="3" t="s">
        <v>55</v>
      </c>
      <c r="D25" s="3" t="s">
        <v>24</v>
      </c>
      <c r="E25" s="3" t="s">
        <v>70</v>
      </c>
      <c r="F25" s="3" t="s">
        <v>192</v>
      </c>
      <c r="G25" s="3" t="s">
        <v>95</v>
      </c>
      <c r="H25" s="3" t="s">
        <v>193</v>
      </c>
      <c r="I25" s="3" t="s">
        <v>194</v>
      </c>
      <c r="J25" s="3" t="s">
        <v>195</v>
      </c>
      <c r="K25" s="9" t="s">
        <v>196</v>
      </c>
      <c r="L25" s="3" t="s">
        <v>197</v>
      </c>
      <c r="M25" s="9" t="s">
        <v>66</v>
      </c>
      <c r="N25" s="4" t="s">
        <v>33</v>
      </c>
      <c r="O25" s="9" t="s">
        <v>52</v>
      </c>
      <c r="P25" s="3">
        <v>12</v>
      </c>
      <c r="Q25" s="3" t="s">
        <v>198</v>
      </c>
      <c r="R25" s="3" t="s">
        <v>199</v>
      </c>
      <c r="S25" s="3" t="s">
        <v>36</v>
      </c>
    </row>
    <row r="26" spans="1:19" ht="65" customHeight="1" x14ac:dyDescent="0.35">
      <c r="A26" s="7">
        <v>22</v>
      </c>
      <c r="B26" s="8" t="s">
        <v>200</v>
      </c>
      <c r="C26" s="8" t="s">
        <v>23</v>
      </c>
      <c r="D26" s="8" t="s">
        <v>24</v>
      </c>
      <c r="E26" s="8" t="s">
        <v>184</v>
      </c>
      <c r="F26" s="8" t="s">
        <v>201</v>
      </c>
      <c r="G26" s="8" t="s">
        <v>202</v>
      </c>
      <c r="H26" s="8" t="s">
        <v>203</v>
      </c>
      <c r="I26" s="8" t="s">
        <v>204</v>
      </c>
      <c r="J26" s="8" t="s">
        <v>205</v>
      </c>
      <c r="K26" s="5" t="s">
        <v>42</v>
      </c>
      <c r="L26" s="8"/>
      <c r="M26" s="5" t="s">
        <v>32</v>
      </c>
      <c r="N26" s="4" t="s">
        <v>33</v>
      </c>
      <c r="O26" s="6" t="s">
        <v>33</v>
      </c>
      <c r="P26" s="8">
        <v>48</v>
      </c>
      <c r="Q26" s="8" t="s">
        <v>206</v>
      </c>
      <c r="R26" s="8" t="s">
        <v>207</v>
      </c>
      <c r="S26" s="8" t="s">
        <v>46</v>
      </c>
    </row>
    <row r="28" spans="1:19" ht="18" customHeight="1" x14ac:dyDescent="0.35">
      <c r="A28" s="21" t="s">
        <v>208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</row>
  </sheetData>
  <mergeCells count="4">
    <mergeCell ref="A3:S3"/>
    <mergeCell ref="A2:S2"/>
    <mergeCell ref="A1:S1"/>
    <mergeCell ref="A28:S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workbookViewId="0">
      <selection sqref="A1:F1"/>
    </sheetView>
  </sheetViews>
  <sheetFormatPr defaultRowHeight="14.5" x14ac:dyDescent="0.35"/>
  <cols>
    <col min="1" max="1" width="32" customWidth="1"/>
    <col min="2" max="3" width="12" customWidth="1"/>
    <col min="4" max="4" width="14" customWidth="1"/>
    <col min="5" max="5" width="10" customWidth="1"/>
    <col min="6" max="6" width="20" customWidth="1"/>
  </cols>
  <sheetData>
    <row r="1" spans="1:6" ht="24" customHeight="1" x14ac:dyDescent="0.35">
      <c r="A1" s="22" t="s">
        <v>209</v>
      </c>
      <c r="B1" s="18"/>
      <c r="C1" s="18"/>
      <c r="D1" s="18"/>
      <c r="E1" s="18"/>
      <c r="F1" s="18"/>
    </row>
    <row r="2" spans="1:6" ht="22" customHeight="1" x14ac:dyDescent="0.35">
      <c r="A2" s="1" t="s">
        <v>9</v>
      </c>
      <c r="B2" s="1" t="s">
        <v>210</v>
      </c>
      <c r="C2" s="1" t="s">
        <v>196</v>
      </c>
      <c r="D2" s="1" t="s">
        <v>42</v>
      </c>
      <c r="E2" s="1" t="s">
        <v>31</v>
      </c>
      <c r="F2" s="1" t="s">
        <v>211</v>
      </c>
    </row>
    <row r="3" spans="1:6" ht="18" customHeight="1" x14ac:dyDescent="0.35">
      <c r="A3" s="8" t="s">
        <v>168</v>
      </c>
      <c r="B3" s="10">
        <v>1</v>
      </c>
      <c r="C3" s="10">
        <v>0</v>
      </c>
      <c r="D3" s="10">
        <v>1</v>
      </c>
      <c r="E3" s="10">
        <v>0</v>
      </c>
      <c r="F3" s="10">
        <v>20</v>
      </c>
    </row>
    <row r="4" spans="1:6" ht="18" customHeight="1" x14ac:dyDescent="0.35">
      <c r="A4" s="3" t="s">
        <v>95</v>
      </c>
      <c r="B4" s="11">
        <v>3</v>
      </c>
      <c r="C4" s="11">
        <v>1</v>
      </c>
      <c r="D4" s="11">
        <v>2</v>
      </c>
      <c r="E4" s="11">
        <v>0</v>
      </c>
      <c r="F4" s="11">
        <v>56</v>
      </c>
    </row>
    <row r="5" spans="1:6" ht="18" customHeight="1" x14ac:dyDescent="0.35">
      <c r="A5" s="8" t="s">
        <v>177</v>
      </c>
      <c r="B5" s="10">
        <v>1</v>
      </c>
      <c r="C5" s="10">
        <v>0</v>
      </c>
      <c r="D5" s="10">
        <v>1</v>
      </c>
      <c r="E5" s="10">
        <v>0</v>
      </c>
      <c r="F5" s="10">
        <v>24</v>
      </c>
    </row>
    <row r="6" spans="1:6" ht="18" customHeight="1" x14ac:dyDescent="0.35">
      <c r="A6" s="3" t="s">
        <v>151</v>
      </c>
      <c r="B6" s="11">
        <v>1</v>
      </c>
      <c r="C6" s="11">
        <v>0</v>
      </c>
      <c r="D6" s="11">
        <v>1</v>
      </c>
      <c r="E6" s="11">
        <v>0</v>
      </c>
      <c r="F6" s="11">
        <v>36</v>
      </c>
    </row>
    <row r="7" spans="1:6" ht="18" customHeight="1" x14ac:dyDescent="0.35">
      <c r="A7" s="8" t="s">
        <v>27</v>
      </c>
      <c r="B7" s="10">
        <v>10</v>
      </c>
      <c r="C7" s="10">
        <v>0</v>
      </c>
      <c r="D7" s="10">
        <v>4</v>
      </c>
      <c r="E7" s="10">
        <v>6</v>
      </c>
      <c r="F7" s="10">
        <v>250</v>
      </c>
    </row>
    <row r="8" spans="1:6" ht="18" customHeight="1" x14ac:dyDescent="0.35">
      <c r="A8" s="3" t="s">
        <v>134</v>
      </c>
      <c r="B8" s="11">
        <v>1</v>
      </c>
      <c r="C8" s="11">
        <v>0</v>
      </c>
      <c r="D8" s="11">
        <v>1</v>
      </c>
      <c r="E8" s="11">
        <v>0</v>
      </c>
      <c r="F8" s="11">
        <v>20</v>
      </c>
    </row>
    <row r="9" spans="1:6" ht="18" customHeight="1" x14ac:dyDescent="0.35">
      <c r="A9" s="8" t="s">
        <v>202</v>
      </c>
      <c r="B9" s="10">
        <v>1</v>
      </c>
      <c r="C9" s="10">
        <v>0</v>
      </c>
      <c r="D9" s="10">
        <v>1</v>
      </c>
      <c r="E9" s="10">
        <v>0</v>
      </c>
      <c r="F9" s="10">
        <v>48</v>
      </c>
    </row>
    <row r="10" spans="1:6" ht="18" customHeight="1" x14ac:dyDescent="0.35">
      <c r="A10" s="3" t="s">
        <v>79</v>
      </c>
      <c r="B10" s="11">
        <v>4</v>
      </c>
      <c r="C10" s="11">
        <v>0</v>
      </c>
      <c r="D10" s="11">
        <v>2</v>
      </c>
      <c r="E10" s="11">
        <v>2</v>
      </c>
      <c r="F10" s="11">
        <v>106</v>
      </c>
    </row>
    <row r="11" spans="1:6" ht="18" customHeight="1" x14ac:dyDescent="0.35">
      <c r="A11" s="12" t="s">
        <v>212</v>
      </c>
      <c r="B11" s="12">
        <f>SUM(B3:B10)</f>
        <v>22</v>
      </c>
      <c r="C11" s="12">
        <f>SUM(C3:C10)</f>
        <v>1</v>
      </c>
      <c r="D11" s="12">
        <f>SUM(D3:D10)</f>
        <v>13</v>
      </c>
      <c r="E11" s="12">
        <f>SUM(E3:E10)</f>
        <v>8</v>
      </c>
      <c r="F11" s="12">
        <f>SUM(F3:F10)</f>
        <v>560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tabSelected="1" workbookViewId="0">
      <selection activeCell="F5" sqref="F5"/>
    </sheetView>
  </sheetViews>
  <sheetFormatPr defaultRowHeight="14.5" x14ac:dyDescent="0.35"/>
  <cols>
    <col min="1" max="1" width="6" customWidth="1"/>
    <col min="2" max="2" width="24" customWidth="1"/>
    <col min="3" max="3" width="20" customWidth="1"/>
    <col min="4" max="4" width="55" customWidth="1"/>
  </cols>
  <sheetData>
    <row r="1" spans="1:4" ht="24" customHeight="1" x14ac:dyDescent="0.35">
      <c r="A1" s="22" t="s">
        <v>213</v>
      </c>
      <c r="B1" s="18"/>
      <c r="C1" s="18"/>
      <c r="D1" s="18"/>
    </row>
    <row r="2" spans="1:4" ht="22" customHeight="1" x14ac:dyDescent="0.35">
      <c r="A2" s="1" t="s">
        <v>214</v>
      </c>
      <c r="B2" s="1" t="s">
        <v>215</v>
      </c>
      <c r="C2" s="1" t="s">
        <v>216</v>
      </c>
      <c r="D2" s="1" t="s">
        <v>217</v>
      </c>
    </row>
    <row r="3" spans="1:4" ht="45" customHeight="1" x14ac:dyDescent="0.35">
      <c r="A3" s="13" t="s">
        <v>218</v>
      </c>
      <c r="B3" s="14" t="s">
        <v>219</v>
      </c>
      <c r="C3" s="8" t="s">
        <v>220</v>
      </c>
      <c r="D3" s="8" t="s">
        <v>221</v>
      </c>
    </row>
    <row r="4" spans="1:4" ht="45" customHeight="1" x14ac:dyDescent="0.35">
      <c r="A4" s="15" t="s">
        <v>222</v>
      </c>
      <c r="B4" s="16" t="s">
        <v>223</v>
      </c>
      <c r="C4" s="3" t="s">
        <v>224</v>
      </c>
      <c r="D4" s="3" t="s">
        <v>225</v>
      </c>
    </row>
    <row r="5" spans="1:4" ht="45" customHeight="1" x14ac:dyDescent="0.35">
      <c r="A5" s="13" t="s">
        <v>226</v>
      </c>
      <c r="B5" s="14" t="s">
        <v>227</v>
      </c>
      <c r="C5" s="8" t="s">
        <v>228</v>
      </c>
      <c r="D5" s="8" t="s">
        <v>229</v>
      </c>
    </row>
    <row r="6" spans="1:4" ht="45" customHeight="1" x14ac:dyDescent="0.35">
      <c r="A6" s="15" t="s">
        <v>230</v>
      </c>
      <c r="B6" s="16" t="s">
        <v>231</v>
      </c>
      <c r="C6" s="3" t="s">
        <v>224</v>
      </c>
      <c r="D6" s="3" t="s">
        <v>232</v>
      </c>
    </row>
    <row r="7" spans="1:4" ht="45" customHeight="1" x14ac:dyDescent="0.35">
      <c r="A7" s="13" t="s">
        <v>233</v>
      </c>
      <c r="B7" s="14" t="s">
        <v>234</v>
      </c>
      <c r="C7" s="8" t="s">
        <v>235</v>
      </c>
      <c r="D7" s="8" t="s">
        <v>236</v>
      </c>
    </row>
    <row r="8" spans="1:4" ht="45" customHeight="1" x14ac:dyDescent="0.35">
      <c r="A8" s="15" t="s">
        <v>237</v>
      </c>
      <c r="B8" s="16" t="s">
        <v>238</v>
      </c>
      <c r="C8" s="3" t="s">
        <v>239</v>
      </c>
      <c r="D8" s="3" t="s">
        <v>240</v>
      </c>
    </row>
    <row r="9" spans="1:4" ht="45" customHeight="1" x14ac:dyDescent="0.35">
      <c r="A9" s="13" t="s">
        <v>241</v>
      </c>
      <c r="B9" s="14" t="s">
        <v>242</v>
      </c>
      <c r="C9" s="8" t="s">
        <v>243</v>
      </c>
      <c r="D9" s="8" t="s">
        <v>244</v>
      </c>
    </row>
    <row r="10" spans="1:4" ht="45" customHeight="1" x14ac:dyDescent="0.35">
      <c r="A10" s="15" t="s">
        <v>245</v>
      </c>
      <c r="B10" s="16" t="s">
        <v>246</v>
      </c>
      <c r="C10" s="3" t="s">
        <v>235</v>
      </c>
      <c r="D10" s="3" t="s">
        <v>247</v>
      </c>
    </row>
    <row r="11" spans="1:4" ht="45" customHeight="1" x14ac:dyDescent="0.35">
      <c r="A11" s="13" t="s">
        <v>248</v>
      </c>
      <c r="B11" s="14" t="s">
        <v>249</v>
      </c>
      <c r="C11" s="8" t="s">
        <v>250</v>
      </c>
      <c r="D11" s="8" t="s">
        <v>251</v>
      </c>
    </row>
    <row r="12" spans="1:4" ht="45" customHeight="1" x14ac:dyDescent="0.35">
      <c r="A12" s="15" t="s">
        <v>252</v>
      </c>
      <c r="B12" s="16" t="s">
        <v>253</v>
      </c>
      <c r="C12" s="3" t="s">
        <v>254</v>
      </c>
      <c r="D12" s="3" t="s">
        <v>255</v>
      </c>
    </row>
    <row r="13" spans="1:4" ht="45" customHeight="1" x14ac:dyDescent="0.35">
      <c r="A13" s="13" t="s">
        <v>256</v>
      </c>
      <c r="B13" s="14" t="s">
        <v>257</v>
      </c>
      <c r="C13" s="8" t="s">
        <v>258</v>
      </c>
      <c r="D13" s="8" t="s">
        <v>259</v>
      </c>
    </row>
    <row r="14" spans="1:4" ht="45" customHeight="1" x14ac:dyDescent="0.35">
      <c r="A14" s="15" t="s">
        <v>260</v>
      </c>
      <c r="B14" s="16" t="s">
        <v>261</v>
      </c>
      <c r="C14" s="3" t="s">
        <v>262</v>
      </c>
      <c r="D14" s="3" t="s">
        <v>263</v>
      </c>
    </row>
    <row r="15" spans="1:4" ht="45" customHeight="1" x14ac:dyDescent="0.35">
      <c r="A15" s="13" t="s">
        <v>264</v>
      </c>
      <c r="B15" s="14" t="s">
        <v>265</v>
      </c>
      <c r="C15" s="8" t="s">
        <v>266</v>
      </c>
      <c r="D15" s="8" t="s">
        <v>267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 Register May-Jun 2026</vt:lpstr>
      <vt:lpstr>Module Summary</vt:lpstr>
      <vt:lpstr>O&amp;M Billing Workflow 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2026-06-21T14:39:16Z</dcterms:created>
  <dcterms:modified xsi:type="dcterms:W3CDTF">2026-06-22T02:29:23Z</dcterms:modified>
</cp:coreProperties>
</file>