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 CMMIL5 Artefacts\new Cycle 4 Jan26 May26\Managing Performance &amp; Measurement\"/>
    </mc:Choice>
  </mc:AlternateContent>
  <bookViews>
    <workbookView xWindow="0" yWindow="0" windowWidth="19200" windowHeight="7180"/>
  </bookViews>
  <sheets>
    <sheet name="DC JantoMay" sheetId="27" r:id="rId1"/>
    <sheet name="Sheet1" sheetId="28" r:id="rId2"/>
    <sheet name="PPM Prod" sheetId="15" r:id="rId3"/>
    <sheet name="PPM CT " sheetId="16" r:id="rId4"/>
    <sheet name="PPM DRE" sheetId="17" r:id="rId5"/>
    <sheet name="Merge CT 2&amp;3" sheetId="25" r:id="rId6"/>
    <sheet name="Combine CT 2&amp;3" sheetId="26" r:id="rId7"/>
  </sheets>
  <definedNames>
    <definedName name="MY_FUNCTION1">LAMBDA(((#REF!-#REF!)/#REF!)+1)</definedName>
  </definedNames>
  <calcPr calcId="152511"/>
</workbook>
</file>

<file path=xl/calcChain.xml><?xml version="1.0" encoding="utf-8"?>
<calcChain xmlns="http://schemas.openxmlformats.org/spreadsheetml/2006/main">
  <c r="AW4" i="27" l="1"/>
  <c r="AW5" i="27"/>
  <c r="AW6" i="27"/>
  <c r="AW7" i="27"/>
  <c r="AW8" i="27"/>
  <c r="AW9" i="27"/>
  <c r="AW10" i="27"/>
  <c r="AW11" i="27"/>
  <c r="AW12" i="27"/>
  <c r="AW13" i="27"/>
  <c r="AW14" i="27"/>
  <c r="AW16" i="27"/>
  <c r="AW17" i="27"/>
  <c r="AW18" i="27"/>
  <c r="AW19" i="27"/>
  <c r="AW20" i="27"/>
  <c r="AW21" i="27"/>
  <c r="AW23" i="27"/>
  <c r="AW24" i="27"/>
  <c r="AW2" i="27"/>
  <c r="AZ3" i="27"/>
  <c r="AZ4" i="27"/>
  <c r="AZ5" i="27"/>
  <c r="AZ6" i="27"/>
  <c r="AZ7" i="27"/>
  <c r="AZ8" i="27"/>
  <c r="AZ9" i="27"/>
  <c r="AZ10" i="27"/>
  <c r="AZ11" i="27"/>
  <c r="AZ12" i="27"/>
  <c r="AZ13" i="27"/>
  <c r="AZ14" i="27"/>
  <c r="AZ15" i="27"/>
  <c r="AZ16" i="27"/>
  <c r="AZ17" i="27"/>
  <c r="AZ18" i="27"/>
  <c r="AZ19" i="27"/>
  <c r="AZ20" i="27"/>
  <c r="AZ21" i="27"/>
  <c r="AZ22" i="27"/>
  <c r="AZ23" i="27"/>
  <c r="AZ24" i="27"/>
  <c r="AZ2" i="27"/>
  <c r="AY3" i="27"/>
  <c r="AW3" i="27" s="1"/>
  <c r="AY4" i="27"/>
  <c r="AY5" i="27"/>
  <c r="AY6" i="27"/>
  <c r="AY7" i="27"/>
  <c r="AY8" i="27"/>
  <c r="AY9" i="27"/>
  <c r="AY10" i="27"/>
  <c r="AY11" i="27"/>
  <c r="AY12" i="27"/>
  <c r="AY13" i="27"/>
  <c r="AY14" i="27"/>
  <c r="AY15" i="27"/>
  <c r="AW15" i="27" s="1"/>
  <c r="AY16" i="27"/>
  <c r="AY17" i="27"/>
  <c r="AY18" i="27"/>
  <c r="AY19" i="27"/>
  <c r="AY20" i="27"/>
  <c r="AY21" i="27"/>
  <c r="AY22" i="27"/>
  <c r="AW22" i="27" s="1"/>
  <c r="AY23" i="27"/>
  <c r="AY24" i="27"/>
  <c r="AY2" i="27"/>
  <c r="AX3" i="27"/>
  <c r="AX4" i="27"/>
  <c r="AX5" i="27"/>
  <c r="AX6" i="27"/>
  <c r="AX7" i="27"/>
  <c r="AX8" i="27"/>
  <c r="AX9" i="27"/>
  <c r="AX10" i="27"/>
  <c r="AX11" i="27"/>
  <c r="AX12" i="27"/>
  <c r="AX13" i="27"/>
  <c r="AX14" i="27"/>
  <c r="AX15" i="27"/>
  <c r="AX16" i="27"/>
  <c r="AX17" i="27"/>
  <c r="AX18" i="27"/>
  <c r="AX19" i="27"/>
  <c r="AX20" i="27"/>
  <c r="AX21" i="27"/>
  <c r="AX22" i="27"/>
  <c r="AX23" i="27"/>
  <c r="AX24" i="27"/>
  <c r="AX2" i="27"/>
  <c r="AV3" i="27"/>
  <c r="AV4" i="27"/>
  <c r="AV5" i="27"/>
  <c r="AV6" i="27"/>
  <c r="AV7" i="27"/>
  <c r="AV8" i="27"/>
  <c r="AV9" i="27"/>
  <c r="AV10" i="27"/>
  <c r="AV11" i="27"/>
  <c r="AV12" i="27"/>
  <c r="AV13" i="27"/>
  <c r="AV14" i="27"/>
  <c r="AV15" i="27"/>
  <c r="AV16" i="27"/>
  <c r="AV17" i="27"/>
  <c r="AV18" i="27"/>
  <c r="AV19" i="27"/>
  <c r="AV20" i="27"/>
  <c r="AV21" i="27"/>
  <c r="AV22" i="27"/>
  <c r="AV23" i="27"/>
  <c r="AV24" i="27"/>
  <c r="AV2" i="27"/>
  <c r="AU19" i="27"/>
  <c r="AU20" i="27" l="1"/>
  <c r="AU3" i="27"/>
  <c r="AU4" i="27"/>
  <c r="AU5" i="27"/>
  <c r="AU6" i="27"/>
  <c r="AU7" i="27"/>
  <c r="AU8" i="27"/>
  <c r="AU9" i="27"/>
  <c r="AU10" i="27"/>
  <c r="AU11" i="27"/>
  <c r="AU12" i="27"/>
  <c r="AU13" i="27"/>
  <c r="AU14" i="27"/>
  <c r="AU15" i="27"/>
  <c r="AU16" i="27"/>
  <c r="AU17" i="27"/>
  <c r="AU18" i="27"/>
  <c r="AU21" i="27"/>
  <c r="AU22" i="27"/>
  <c r="AU23" i="27"/>
  <c r="AU24" i="27"/>
  <c r="AU2" i="27"/>
  <c r="AT3" i="27"/>
  <c r="AT4" i="27"/>
  <c r="AT5" i="27"/>
  <c r="AT6" i="27"/>
  <c r="AT7" i="27"/>
  <c r="AT8" i="27"/>
  <c r="AT9" i="27"/>
  <c r="AT10" i="27"/>
  <c r="AT11" i="27"/>
  <c r="AT12" i="27"/>
  <c r="AT13" i="27"/>
  <c r="AT14" i="27"/>
  <c r="AT15" i="27"/>
  <c r="AT16" i="27"/>
  <c r="AT17" i="27"/>
  <c r="AT18" i="27"/>
  <c r="AT19" i="27"/>
  <c r="AT20" i="27"/>
  <c r="AT21" i="27"/>
  <c r="AT22" i="27"/>
  <c r="AT23" i="27"/>
  <c r="AT24" i="27"/>
  <c r="AT2" i="27"/>
  <c r="AS3" i="27"/>
  <c r="AS4" i="27"/>
  <c r="AS5" i="27"/>
  <c r="AS6" i="27"/>
  <c r="AS7" i="27"/>
  <c r="AS8" i="27"/>
  <c r="AS9" i="27"/>
  <c r="AS10" i="27"/>
  <c r="AS11" i="27"/>
  <c r="AS12" i="27"/>
  <c r="AS13" i="27"/>
  <c r="AS14" i="27"/>
  <c r="AS15" i="27"/>
  <c r="AS16" i="27"/>
  <c r="AS17" i="27"/>
  <c r="AS18" i="27"/>
  <c r="AS19" i="27"/>
  <c r="AS20" i="27"/>
  <c r="AS21" i="27"/>
  <c r="AS22" i="27"/>
  <c r="AS23" i="27"/>
  <c r="AS24" i="27"/>
  <c r="AS2" i="27"/>
  <c r="AR3" i="27"/>
  <c r="AR4" i="27"/>
  <c r="AR5" i="27"/>
  <c r="AR6" i="27"/>
  <c r="AR7" i="27"/>
  <c r="AR8" i="27"/>
  <c r="AR9" i="27"/>
  <c r="AR10" i="27"/>
  <c r="AR11" i="27"/>
  <c r="AR12" i="27"/>
  <c r="AR13" i="27"/>
  <c r="AR14" i="27"/>
  <c r="AR15" i="27"/>
  <c r="AR16" i="27"/>
  <c r="AR17" i="27"/>
  <c r="AR18" i="27"/>
  <c r="AR19" i="27"/>
  <c r="AR20" i="27"/>
  <c r="AR21" i="27"/>
  <c r="AR22" i="27"/>
  <c r="AR23" i="27"/>
  <c r="AR24" i="27"/>
  <c r="AR2" i="27"/>
  <c r="AQ3" i="27"/>
  <c r="AQ4" i="27"/>
  <c r="AQ5" i="27"/>
  <c r="AQ6" i="27"/>
  <c r="AQ7" i="27"/>
  <c r="AQ8" i="27"/>
  <c r="AQ9" i="27"/>
  <c r="AQ10" i="27"/>
  <c r="AQ11" i="27"/>
  <c r="AQ12" i="27"/>
  <c r="AQ13" i="27"/>
  <c r="AQ14" i="27"/>
  <c r="AQ15" i="27"/>
  <c r="AQ16" i="27"/>
  <c r="AQ17" i="27"/>
  <c r="AQ18" i="27"/>
  <c r="AQ19" i="27"/>
  <c r="AQ20" i="27"/>
  <c r="AQ21" i="27"/>
  <c r="AQ22" i="27"/>
  <c r="AQ23" i="27"/>
  <c r="AQ24" i="27"/>
  <c r="AQ2" i="27"/>
  <c r="AP3" i="27"/>
  <c r="AP4" i="27"/>
  <c r="AP5" i="27"/>
  <c r="AP6" i="27"/>
  <c r="AP7" i="27"/>
  <c r="AP8" i="27"/>
  <c r="AP9" i="27"/>
  <c r="AP10" i="27"/>
  <c r="AP11" i="27"/>
  <c r="AP12" i="27"/>
  <c r="AP13" i="27"/>
  <c r="AP14" i="27"/>
  <c r="AP15" i="27"/>
  <c r="AP16" i="27"/>
  <c r="AP17" i="27"/>
  <c r="AP18" i="27"/>
  <c r="AP19" i="27"/>
  <c r="AP20" i="27"/>
  <c r="AP21" i="27"/>
  <c r="AP22" i="27"/>
  <c r="AP23" i="27"/>
  <c r="AP24" i="27"/>
  <c r="AP2" i="27"/>
  <c r="AO3" i="27"/>
  <c r="AO4" i="27"/>
  <c r="AO5" i="27"/>
  <c r="AO6" i="27"/>
  <c r="AO7" i="27"/>
  <c r="AO8" i="27"/>
  <c r="AO9" i="27"/>
  <c r="AO10" i="27"/>
  <c r="AO11" i="27"/>
  <c r="AO12" i="27"/>
  <c r="AO13" i="27"/>
  <c r="AO14" i="27"/>
  <c r="AO15" i="27"/>
  <c r="AO16" i="27"/>
  <c r="AO17" i="27"/>
  <c r="AO18" i="27"/>
  <c r="AO19" i="27"/>
  <c r="AO20" i="27"/>
  <c r="AO21" i="27"/>
  <c r="AO22" i="27"/>
  <c r="AO23" i="27"/>
  <c r="AO24" i="27"/>
  <c r="AO2" i="27"/>
  <c r="AN3" i="27"/>
  <c r="AN4" i="27"/>
  <c r="AN5" i="27"/>
  <c r="AN6" i="27"/>
  <c r="AN7" i="27"/>
  <c r="AN8" i="27"/>
  <c r="AN9" i="27"/>
  <c r="AN10" i="27"/>
  <c r="AN11" i="27"/>
  <c r="AN12" i="27"/>
  <c r="AN13" i="27"/>
  <c r="AN14" i="27"/>
  <c r="AN15" i="27"/>
  <c r="AN16" i="27"/>
  <c r="AN17" i="27"/>
  <c r="AN18" i="27"/>
  <c r="AN19" i="27"/>
  <c r="AN20" i="27"/>
  <c r="AN21" i="27"/>
  <c r="AN22" i="27"/>
  <c r="AN23" i="27"/>
  <c r="AN24" i="27"/>
  <c r="AN2" i="27"/>
  <c r="AM28" i="27"/>
  <c r="AM29" i="27"/>
  <c r="AM30" i="27"/>
  <c r="AM3" i="27"/>
  <c r="AM4" i="27"/>
  <c r="AM5" i="27"/>
  <c r="AM6" i="27"/>
  <c r="AM7" i="27"/>
  <c r="AM8" i="27"/>
  <c r="AM9" i="27"/>
  <c r="AM10" i="27"/>
  <c r="AM11" i="27"/>
  <c r="AM12" i="27"/>
  <c r="AM13" i="27"/>
  <c r="AM14" i="27"/>
  <c r="AM15" i="27"/>
  <c r="AM16" i="27"/>
  <c r="AM17" i="27"/>
  <c r="AM18" i="27"/>
  <c r="AM19" i="27"/>
  <c r="AM20" i="27"/>
  <c r="AM21" i="27"/>
  <c r="AM22" i="27"/>
  <c r="AM23" i="27"/>
  <c r="AM24" i="27"/>
  <c r="AM2" i="27"/>
  <c r="H29" i="27" l="1"/>
  <c r="H30" i="27"/>
  <c r="H28" i="27"/>
  <c r="H3" i="27"/>
  <c r="H4" i="27"/>
  <c r="H5" i="27"/>
  <c r="H6" i="27"/>
  <c r="H7" i="27"/>
  <c r="H8" i="27"/>
  <c r="H9" i="27"/>
  <c r="H10" i="27"/>
  <c r="H11" i="27"/>
  <c r="H12" i="27"/>
  <c r="H13" i="27"/>
  <c r="H14" i="27"/>
  <c r="H15" i="27"/>
  <c r="H16" i="27"/>
  <c r="H17" i="27"/>
  <c r="H18" i="27"/>
  <c r="H19" i="27"/>
  <c r="H20" i="27"/>
  <c r="H21" i="27"/>
  <c r="H22" i="27"/>
  <c r="H23" i="27"/>
  <c r="H24" i="27"/>
  <c r="H2" i="27"/>
  <c r="Q72" i="26" l="1"/>
  <c r="P72" i="26"/>
  <c r="O72" i="26"/>
  <c r="Q71" i="26"/>
  <c r="P71" i="26"/>
  <c r="O71" i="26"/>
  <c r="O69" i="26"/>
  <c r="R64" i="26"/>
  <c r="Q64" i="26"/>
  <c r="P64" i="26"/>
  <c r="O64" i="26"/>
  <c r="R63" i="26"/>
  <c r="Q63" i="26"/>
  <c r="P63" i="26"/>
  <c r="O63" i="26"/>
  <c r="O61" i="26"/>
  <c r="Q56" i="26"/>
  <c r="O56" i="26"/>
  <c r="R49" i="26"/>
  <c r="Q49" i="26"/>
  <c r="P49" i="26"/>
  <c r="O49" i="26"/>
  <c r="R63" i="25"/>
  <c r="Q63" i="25"/>
  <c r="R62" i="25"/>
  <c r="Q62" i="25"/>
  <c r="P60" i="25"/>
  <c r="P62" i="25" s="1"/>
  <c r="R55" i="25"/>
  <c r="P55" i="25" s="1"/>
  <c r="R48" i="25"/>
  <c r="Q48" i="25"/>
  <c r="P48" i="25"/>
  <c r="P63" i="25" l="1"/>
  <c r="P42" i="17" l="1"/>
  <c r="P41" i="17"/>
  <c r="O39" i="17"/>
  <c r="O42" i="17" s="1"/>
  <c r="Q35" i="17"/>
  <c r="P30" i="17"/>
  <c r="O30" i="17"/>
  <c r="O41" i="17" l="1"/>
  <c r="N48" i="16"/>
  <c r="N46" i="16"/>
  <c r="N49" i="16" s="1"/>
  <c r="N34" i="16"/>
  <c r="P49" i="16"/>
  <c r="O49" i="16"/>
  <c r="P48" i="16"/>
  <c r="O48" i="16"/>
  <c r="P41" i="16"/>
  <c r="N41" i="16" s="1"/>
  <c r="P34" i="16"/>
  <c r="O34" i="16"/>
  <c r="O47" i="15"/>
  <c r="P47" i="15"/>
  <c r="N47" i="15"/>
  <c r="O46" i="15"/>
  <c r="P46" i="15"/>
  <c r="N46" i="15"/>
  <c r="N44" i="15"/>
  <c r="S43" i="15"/>
  <c r="P40" i="15"/>
  <c r="N40" i="15" s="1"/>
  <c r="S40" i="15" s="1"/>
  <c r="S37" i="15"/>
  <c r="S36" i="15"/>
  <c r="P35" i="15"/>
  <c r="O35" i="15"/>
  <c r="N35" i="15"/>
  <c r="S34" i="15"/>
</calcChain>
</file>

<file path=xl/sharedStrings.xml><?xml version="1.0" encoding="utf-8"?>
<sst xmlns="http://schemas.openxmlformats.org/spreadsheetml/2006/main" count="317" uniqueCount="142">
  <si>
    <t>Sr No</t>
  </si>
  <si>
    <t>Department</t>
  </si>
  <si>
    <t>Project Name</t>
  </si>
  <si>
    <t>Module</t>
  </si>
  <si>
    <t>Name of Sub Modules</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</si>
  <si>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</si>
  <si>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</si>
  <si>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</si>
  <si>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</si>
  <si>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</si>
  <si>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</si>
  <si>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</si>
  <si>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</si>
  <si>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</si>
  <si>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</si>
  <si>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</si>
  <si>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</si>
  <si>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</si>
  <si>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</si>
  <si>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</si>
  <si>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</si>
  <si>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</si>
  <si>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</si>
  <si>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</si>
  <si>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</si>
  <si>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</si>
  <si>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</si>
  <si>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</si>
  <si>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</si>
  <si>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</si>
  <si>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</si>
  <si>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</si>
  <si>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</si>
  <si>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</si>
  <si>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</si>
  <si>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</si>
  <si>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</si>
  <si>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DRE</t>
  </si>
  <si>
    <t>Req_Rate</t>
  </si>
  <si>
    <t>Des_Rate</t>
  </si>
  <si>
    <t>Code_Rate</t>
  </si>
  <si>
    <t>Test_Rate</t>
  </si>
  <si>
    <t>Cycle Time</t>
  </si>
  <si>
    <t>Req_CT</t>
  </si>
  <si>
    <t>Des_CT</t>
  </si>
  <si>
    <t>Code_CT</t>
  </si>
  <si>
    <t>Test_CT</t>
  </si>
  <si>
    <t>Total Review Defects</t>
  </si>
  <si>
    <t>Internal Testing</t>
  </si>
  <si>
    <t>Public Health Engineering Department</t>
  </si>
  <si>
    <t>Jal Rekha</t>
  </si>
  <si>
    <t>FHTC</t>
  </si>
  <si>
    <t>Nirmal</t>
  </si>
  <si>
    <t>Sahbhagita</t>
  </si>
  <si>
    <t>Anusharavaan</t>
  </si>
  <si>
    <t>FE Login</t>
  </si>
  <si>
    <t xml:space="preserve">Code Review Per Size </t>
  </si>
  <si>
    <t>Bharosa CR</t>
  </si>
  <si>
    <t xml:space="preserve">AS-IS </t>
  </si>
  <si>
    <t>Code Review Per Size</t>
  </si>
  <si>
    <t xml:space="preserve">Mean </t>
  </si>
  <si>
    <t xml:space="preserve">SD </t>
  </si>
  <si>
    <t xml:space="preserve">UCL </t>
  </si>
  <si>
    <t xml:space="preserve">LCL </t>
  </si>
  <si>
    <t>Target</t>
  </si>
  <si>
    <t xml:space="preserve">What if </t>
  </si>
  <si>
    <t xml:space="preserve">USL </t>
  </si>
  <si>
    <t>LSL</t>
  </si>
  <si>
    <t>mean</t>
  </si>
  <si>
    <t>ucl</t>
  </si>
  <si>
    <t>lcl</t>
  </si>
  <si>
    <t>sd</t>
  </si>
  <si>
    <t xml:space="preserve">Action Plan </t>
  </si>
  <si>
    <t>How to Improve Code Rate</t>
  </si>
  <si>
    <t>How to Improve Test  Rate</t>
  </si>
  <si>
    <t>1. Outlier Analysis</t>
  </si>
  <si>
    <t xml:space="preserve">2. Action Plan for Improvement </t>
  </si>
  <si>
    <t>Regression Equation</t>
  </si>
  <si>
    <t>=</t>
  </si>
  <si>
    <t>0.0974 + 0.2080 Code_Rate + 0.0219 Test_Rate</t>
  </si>
  <si>
    <t>Cycle time</t>
  </si>
  <si>
    <t>0.3011 + 0.875 Code_CT + 1.201 Test_CT</t>
  </si>
  <si>
    <t>0.6331 + 0.729 Code Review Per Size</t>
  </si>
  <si>
    <t>0.150 + 1.327 Code_CT + 1.378 Test_CT</t>
  </si>
  <si>
    <t>0.057 + 2.133 Req_CT + 1.397 Code_CT + 0.469 Test_CT</t>
  </si>
  <si>
    <t>0.0749 + 2.440 Req_CT + 1.509 Code_CT</t>
  </si>
  <si>
    <t>CMMI Doc</t>
  </si>
  <si>
    <t>CR  -  RFI Stage Updations and Reports Modifications</t>
  </si>
  <si>
    <t>Yes</t>
  </si>
  <si>
    <t>Asset Mapping</t>
  </si>
  <si>
    <t>Cube Testung</t>
  </si>
  <si>
    <t>Contractor Login</t>
  </si>
  <si>
    <t>Dhara</t>
  </si>
  <si>
    <t xml:space="preserve">Master </t>
  </si>
  <si>
    <t>Change Request</t>
  </si>
  <si>
    <t>Material</t>
  </si>
  <si>
    <t>GM login</t>
  </si>
  <si>
    <t xml:space="preserve">O&amp;M </t>
  </si>
  <si>
    <t>CR - GM</t>
  </si>
  <si>
    <t>CR - Contractor</t>
  </si>
  <si>
    <t>Workflow</t>
  </si>
  <si>
    <t>Change Request -GM PM Reports</t>
  </si>
  <si>
    <t xml:space="preserve">SVS </t>
  </si>
  <si>
    <t>Water Supply Monitoring</t>
  </si>
  <si>
    <t>AI Module - FHTC Tap Connection</t>
  </si>
  <si>
    <t>1. ML model implementation on the tap connection monitoring buffer region, and other validations
2. Data Processing of FHTC Tap connections using AI models
3. Machine Learning Predictive Model Implementation
4. Preprocessing and annotating the dataset and training on roboflow and local
5. Image Processing in Tap connection in FHTC
6. Preprocessing and annotating the dataset and training on roboflow and local</t>
  </si>
  <si>
    <t>RFI New Stages &amp; Reports</t>
  </si>
  <si>
    <t>1. RFI Module – Update History Screen Search Functionality for Contractor and Field Engineer.
2.  Anusharavan CR  by Addition of FE inspection details (PIU) &amp; Customize Report
3. RFI Module – Post-Fix Verification of Pipeline Details on History Detail Screen (Play Store Live Build)
4. addition of FE Inspection date in PIU pending for action web page and Customized Report</t>
  </si>
  <si>
    <t>1. New Stages for RFI
2. Addition of FE inspection details (PIU) &amp; Customize Report
3. Anusharavan Module: UI Enhancement for Contractor &amp; Field Engineer Login
4. Anusharavan Module – View Details, Log View &amp; Inspection Request Form Enhancement
5. RFI Request Inspection Point Dialog and Pipeline details on History page</t>
  </si>
  <si>
    <t>Asset data Map</t>
  </si>
  <si>
    <t>1. Search Box for OHT search on the map
2. Redesigning &amp; deployment page on live server 
3.  Accuracy Field changes for Asset Mapping &amp; Data Get Method 
4. SQC and OHT Village Testing Bug fixing
5. Report creation for sqc tpia contractor login</t>
  </si>
  <si>
    <t>1. Functionality to Upload Multiple Documents on Web and Updation of web pages
2. UI updattion in existing pages
3. Bug fixes of new functionality added
4. Mobile App functionality addition and updation
5. QAP document upload functionality
6. UAT Prod testing
7. Bharosa module – Add an input field for unit and display the unit details.
8. Save as Draft, Image, Video Upload option functionality &amp; Wireframing</t>
  </si>
  <si>
    <t>CMMI Phase 1 &amp; 2</t>
  </si>
  <si>
    <t>1. Streamlining Phase 1 and Phase 2 documents 
2. Statistical analysis and Data Collection Cleaning and Model Preparation Size based Estimation and Other CMMI L5 documents 
3. Training and Sessions with Internal Meetings and External Meetings with MQAS External Agency of Documentation and Conceptual clarity</t>
  </si>
  <si>
    <t xml:space="preserve">CMMI Phase 3 </t>
  </si>
  <si>
    <t>CMMI Phase 4</t>
  </si>
  <si>
    <t>1.  Working and Aligning CMMI L5 Documentation for Phase 4 January to May 2026 
2. Enhancements and Updating Promot with Internal team Efforts and Delivery 
3. Documentation according to CMMI L5 structure</t>
  </si>
  <si>
    <t>1.  Streamlining Phase 3 Documents for CMMI L5 Audit
2. Review meeting for CMMI L5 Benchmark Appraisal calls and Interviews 
3. Organizing Documents over SVN Repository and Delivering Models to SEPG team and Show casing &amp; Utilizing Minitab, Promot and SVN tools for delivering documents
4. Preparing for CMMI L5 Audit Interviews and guiding internal team for Mock Ups</t>
  </si>
  <si>
    <t>1. Creation of Summary Reports on GM Login in Cube Testing
2. Start implementation of GM Action Page, Customized Report and Summary Report in cube testing module
3. Cube Testing GM login pending for action web page development completed with both the scenario 7 days and 28 days.
4. Bug fixing in cube testing module
5. Prod issue validation
6. Created function for RFI request status update and see the list
7. creating function  for RFI request status update , see the list  and  create a summary report
8. Requirement gathering, Wireframing, Workflow and User stories creation</t>
  </si>
  <si>
    <t>1. Material Testing Merge code, Test &amp; Upload on playstore
2. Testing- Material Testing Mobile APP
3. Material Testing- Mobile
4. Material Testing- Web
5. Testing on prod issue and regression
6. Production Testing and Build Deployment for Material Testing Module.</t>
  </si>
  <si>
    <t>1. UI Update in inner pages and create billing table pages 
2. UI Update and Bug Fixes in inner pages
3. Corrections Required – Complaint Redressal Sheet (O&amp;M Billing Module)
4. Summary Page Changes – Billing Module (As Discussed with Client)
5. Enhancement: Census Flow, Bulk Mapping &amp; Dhara Validation
6. Census + Bulk Consumer mapping + MWSR null fix
7. O&amp;M Billing Wireframing updation
8. Requirement gathering of scheme report changes for census population
9. Resolving issue with Awinash and Sachin in O&amp;M Billing in GetDataByBillNo API
10. Start done changes in O&amp;M billing module regarding generating PDF in Residual Pressure header and changes in dynamic RA Bill No.
11. Attend meeting of OM billing module with team regarding changes in Summary report in GM login.
12. OM billing generate PDF  on Residual Pressure and Bulk report
13. O&amp;M Billing changes done in Abstract report with Sachin and Awinash
14. O&amp;M Contractor test cases
15. Modification of O&amp;M Billing Under Tab : Power Consumption Sheet For Calculation
16. Modification on O&amp;M Billing Under "Summary" (web and service)
17. O&amp;M Billing Modification (Complaint Redressal Sheet Tab)
18. O&amp;M Billing Logic and calculation Modification 
19. Modification and New Service creation for O&amp;M Billing – Bulk User Summary
20. Modification on O&amp;M Billing , Autogenerate RA Bill no  and some other modification 
21. Internal meeting with team to changes on o&amp;m billing
22. Develop new logic for generate series with bill no and develop service 
23. Modification on Residual Pressure , PDF service creation and PDF modification
24. OM Billing Contract Details Page Updates (Census Removal, DataTable Fix &amp; Button Handling)
25. Internal Meeting with Team to implement changes from Department for O&amp;M Billing Module
26. Bug Fixing from Frontend
27. create new functionality in contractor login</t>
  </si>
  <si>
    <t>1. O&amp;M Billing Workflow requirement understanding and analysis
2. Working on Analysis of workflow of O&amp;M Billing
3. O&amp;M New changes understanding</t>
  </si>
  <si>
    <t>1. Department Meeting on Sabhagita to gather requirement on this module
2. Discussion with Tapan Sir regarding ISA Login Sahbhagita page issue
3. Live issue of Sahbhagita (ISO not show according to scheme)
4. Sahbhagita CP Manager Page – RA Bill Approval in Module Enhancement
5. Modification on Sahbhagita Report
6. Sahbhagita Report &amp; Approval Module Issue Verification and Resolution
7. Sahbhagita Report – Role Based PIU Dropdown &amp; Search Validation Changes
8. Sahbhagita Summary Page NGO Count Segregation Issue Fix
9. Sahbhagita Change Request- Add Save as Draft Functionality.</t>
  </si>
  <si>
    <t>1. Daily water supply module flow &amp; wireframe
2. Internal Meeting to finalize API consuming from client and village master incorporation into the project module
3. Department meeting &amp; Project PIN document and MoM creation
4. Daily water supply module flow &amp; wireframe
5. Department meeting &amp; Project PIN document and MoM creation
6. Internal Meeting to finalize API consuming from client and village master incorporation into the project module
7. Department meeting &amp; Project PIN document and MoM creation
8. Create Table &amp; Function for  Module(Har Ghar Jal Yojana)
9. Create Database Function For Report.
10. work on Jal rekha Site Fortify Security Audit
11. Internal meeting to finalize API from NIC Panchayat Darpan &amp; Village Master data and Consume 
12. work on SVS Water Supply Monitoring Report</t>
  </si>
  <si>
    <t xml:space="preserve"> Features-Functionality</t>
  </si>
  <si>
    <t>1. Creation of Cube Inspection by Contractor
2. Internal Testing
3. Prod-CR-UAT Testing (Including prod issue validation)
4. Test Case Creation
5. Cube Testing : Contractor RFI Survey form api integration &amp; Survey form 
6. Contractor history list with pagination &amp; UI work
7. Requirement gathering, Wireframing, Workflow and User stories creation</t>
  </si>
  <si>
    <t xml:space="preserve">1. Cube Testing : FE Sync api integration &amp; FE Survey 
2. Wireframe of FE login in cube testing module 
3. Creation of Mobile FE login Get API 
4. Completion of FE module in Cube testing after applying 7 or 28 days check..
5. Cube testing production issue resolve for FE Insert document
6. Cube Testing- FE workflow
7. Test Scenario Creation FE Login
8. Test Case Creation- DB-Backend
9. Test Scenario Creation- API and Report-Dashboard
10. Security Test Cases- Cube Testing
11. Created function to fetch Cube Testing reports on SQC-TPIA login 
12. Cube inspection carried out by FE
13. CR of cube testing on FE login
14. Requirement gathering, Wireframing, Workflow and User stories creation
</t>
  </si>
  <si>
    <t>GM - SQC - TPIA</t>
  </si>
  <si>
    <t xml:space="preserve">1. Create web pages and API of SQC Login
2. Cube Testing TPIA Login Web Pages and API Creation
3. Bug fixing in Cube Testing module
4. Cube testing- End to End
5. Created Test Scenarios &amp; SQC - TPIA Test cases
6. Test Case Creation- API and Report-Dashboard
7. CR Rqquest, Changes Impact 
</t>
  </si>
  <si>
    <t xml:space="preserve">1. New UI Update and Bug Fixes in inner pages in dhara module
2. Designing new page on dhara module
3. Dhara Report – GM Approval, Meter Function &amp; Billing Module Integration
4. Implementation of Dhara Module Enhancements for Meter Reading Reports
5. Bulk Meter Mapping - WTP Meter ID Fix &amp; Supply Point Mapping
6. Work On OHT Meter Survey Report
7. Modification on Dhara Under UFW Report of Data.
8. Correction on Dhara UFW Report.
9. Dhara - New web page creation and Service creation for "Approved Village Wise MWSR"
10. Development of Approved Bulk Wise Consumer MWSR Report (New Page)(UI &amp; Backend Setup)
11. Modification on Approved Bulk Consumer MWSR Report
12. HSC Summary Report Page Development &amp; Date Filter Enhancement in DWSR Report
13. Create Dhara New DWSR Page (Under Dhara Module)
14. DWSR Detailed &amp; Datewise Report Development and Integration (New Page Development)
15. Development of DWSR Testing &amp; DateWise Testing Reports (New Pages)
16. DWSR Reports Integration, Parameter Mapping &amp; Public Access Enhancements
17. Fixing District Data Mismatch Issue in DWSR DateWise Detailed Report
18. Vistrit – WTP Meter Mapping Page Issue Fix &amp; Delete Restriction Changes
19. Contractor Objection Module UI &amp; Modal Development (New Page)
20. Contractor Objection API &amp; Database Integration (Contractor Bulk Meter New Page)
21. Dhara Intake &amp; WTP Meter Survey Contractor Objection Module Development (New Page)
22. Dhara ESR-OHT Meter Survey Contractor Objection Module Development (New Page)
23. Some Change on Dhara Module
24. Updating Meter as per Department 
</t>
  </si>
  <si>
    <t>1. Work on all Components and Report Changes 
For Report BULK,OHT,Scheme &amp; DWSR Based on Aaklan Module
2. Dhara Meter Reading Change Request
3. Requirement gathering for Dhara WTP Meter reading issue for certain schemes
4. Requirement change for intake meter reading survey form
5. Requirement changes for bulk meter consumer for all supply points and local names 
6. Requirement explanation to team on "Meter reading survey for all report changes in flow"
7. Internal meeting for finalizing the requirement changes in Bulk meter process
8. Internal meeting &amp; Approved Process with conditions for Meter reading at FE, GM, &amp; Contractor Login
9. Meeting on Approved Status FE GM then Contractor level &amp; Bulk Consumer reading Survey
10. Test Case-Scenarios Creation for New Changes
11. Issue : Data Not Loading Issue in WTP Meter Survey Page
12. Fixing Data and Initialization Issues in Bulk Consumer MWSR Page
13. Public Page Data Visibility Issue Analysis for PIU and Scheme “ALL” Selection
14. DWSR Public Report Enhancements New Pages and Services for Dhara Module (Reports)
15. DWSR Public Report – Data Loading Issue Analysis &amp; JavaScript Modification
16. DWSR Public Report – OHT &amp; Village Details Data Enhancement
17. Add Bulk Consumer and Add Bulk Consumer mapping
18. work on Updation and recreate service and reports for bulk consumer 
19. Updation and recreate Dhara Reports as per Change Request
20. work on change request for bulk consumer meter reading Report
21. work on  Meter reading survey for intake, wtp, oht, bulk both for web  view
22. Site Security Audit on project and Dhara module</t>
  </si>
  <si>
    <t>Change Request FHTC GM - Contractor - Reports</t>
  </si>
  <si>
    <t xml:space="preserve">1. Customized &amp; Summary report corrections requirement 
2. Handled changes in FHTC module and prepared related reports.
3. API Creation in FHTC Module in Mobile &amp; Web for GM Login
4. FHTC Internal Testing &amp; Bug Re-testing
5. Modified Excel export in Jal Nigam Portal by updating dynamic file name, sheet name, header title as per module and hiding non-export columns (Action-Image-Document).
6. Parinam Report Issue Analysis &amp; Fixing
7. Create a new database function and API endpoint for contractor login.
8. FHTC Loop functionality implementation
9. As per change request FHTC Loop functionality implementation in Mobile and PIU Side &amp; in Reports
10. As per change request FHTC Loop functionality implementation in SQC And TPIA  Side (Review)
11. Work on Report Filter issues at column level for GM - Contractor Reports
12. FHTC Module - UI enhancement. 
13. FHTC- Add Loop(Re- Inspection) functionality for contractor login. 
14. FHTC Module – History Screen, Accepted List, Rejected List &amp; Re-Inspection Form UI Design with API Integration.
15. FHTC Module – Re-Inspection Form UI Design and API Data Submission.
16. FHTC Module- FE login History screen and sync changes.
17. FHTC – Re-Inspection List Screen Implementation &amp; API Integration for Field Engineer Login.
18. FHTC – Re-Inspection List Screen Implementation &amp; API Integration for Field Engineer Login.
19. FHTC Module – Re-Inspection Form UI Design and API Data Submission for FE.
As per Change request FHTC Loop functionality implementation.
20. FHTC Change request add View Logs functionality.
21. FHTC Change request add on search functionality.
22. FHTC Change request - Add Search Functionality to FE and Contractor login.
</t>
  </si>
  <si>
    <t xml:space="preserve">1. Dhara Reports Validate (Scheme &amp; OHT &amp; Bulk Consumer)
2. Dhara Mapped Summary Report To Changes
3. Vistrit Bulk Consumer Supply Mapping &amp; Master
4. Bulk Consumer Mapping &amp; New Rule Apply: Multiple mapping of bulk consumers from the same source is enabled.
5. Scheme Village Mapping – Census Population Integration &amp; Validation
6. Enhancement: Bulk Consumer Supply Mapping - meter_id Column Added for WTP
7. Bug Fix: OHT Village Mapping - Habitation Code Duplicate Error on Re-mapping
8. Vistrit Module(Master)WTP Meter Mapping &amp; Intake Data
9. Requirement gathering understanding &amp; provide analysis
10. Understanding and analysis of report updates
11. Work on Master CR-Scheme Village &amp; OHT
12. Scheme Village OHT Mapping &amp; Report Updation
13. In Bulk Consumer Delete or disable functionality and some other changes on service
14. Development and Fixes in Bulk Meter Mapping (Insert-Edit-Update)
15. Bulk Meter Update Fix &amp; Mapping Abstract Report Development(New Page)
16. Enhancement for Adding Census Population in Scheme Village Master &amp; Mapping Integration
17. Enhancement in Bulk Consumer Mapping with Meter Integration
18. Modification on Bulk Consumer Mapping Page : Frm_BulkMeterMapping.aspx
19. Work on Master CR - Scheme Village &amp; OHT
20. Master CR - Scheme Village &amp; OHT
21. Scheme Village ,OHT Mapping and bulk consummer   Report Creation
22. work on Scheme Village OHT Mapping
</t>
  </si>
  <si>
    <t xml:space="preserve">1. Requirement gathering, understanding, and analysis
2. Preparation of workflow and further wireframe
3. Analysis of SQC TPIA login and report issues
4. Material Testing Sync data null values handled in API and Database for Mobile App
5. Creation of Material Testing Get data API for Mobile App
6. Modification in Material Testing  Insert API addition of one parameter namely OHT ID
7. Issue resolved in API for Material Testing in Mobile App
8. Merge code of Material testing Mobile Api after changes
9. Creation Of Material Mobile Api for FE Login as per Anushravan Flow
10. Creation of web pages and Service for Material Gm login Pending with PIU 
11. Creation of SQC and TPIA login web pages and service in Material Testing as per Anushravan flow &amp; Creation of Customized in Material Testing for GM Login
12. Material FE Login API merge on UAT and local server with Sunil Sir
13. Deploy Material Testing module in UAT Environment after unit testing
14. Resolving issue in Material Testing UAT API token issue
15. Addition of FE inspection date in Material testing Module web pages on GM ,SQC and TPIA Login.
16. Material Testing and Promot update
17. Function development and modification  for Material Testing
18. material testing function , structure creation 
19. Bug Fixing from Database
20. UAT-CR Testing for material 
21. Query-SP creation-Modification
22. Business Logic APIs Changes 
23. code review and deployment in UAT
24. Bug fixing from Dhara Report
25. Material Testing Module – Inspection Request Data Save (Local DB) &amp; insert API Integration
26. Material Testing- Sync data api integration.
27. Material Testing Module – Inspection Request Data Save (Local DB) &amp; insert API Integration
28. Material Testing - Offline Data List and Detail Screen UI Design.
29. Material Testing- Contractor Inspection Request Form: Local Database Storage and API Integration.
30. Material Testing - Inspection Request History and Detail Screen UI Design with API Integration
31. Material Testing Module – Contractor Login: Overall Module Enhancement and Testing
32. Material Testing- Field Engineer login UI enhancement  &amp;  Add save as draft &amp; OHT Search functionality.
33. Material Testing Module – FE Login History Screen UI Design &amp; API Integration.
34. Material Testing – FE Inspection Form Screen: Material Testing Parameter UI and API Changes.
35. FE Login :History and Detail screen UI and API Changes.
36. Material and Cube Testing- Add Sub Component search functionality.
37. Material Testing - FE Login - Inspection Form Bug fixing.
</t>
  </si>
  <si>
    <t>1. UI Update and Bug Fixes in inner pages
2. Debugging Nirmal Issue Regarding Sync issue 
3. Nirmal all four reports test report failed records data highlighted on Local environment
4. Merge code of Nirmal reports in UAT and Production Environment
5. Discussion with Tapan Sir regarding Nirmal reports new change and start implementation.
6. Change Request of  Nirmal Beneficiary reports API and UI implementation start working for both contractor and GM Login
7. Change request again in Nirmal Reports addition of remarks in both contractor login and GM login
8. Changes in UI and Popup of Nirmal Beneficiary Reports as per change request 
9. UI changes in Nirmal Beneficiary reports on multiple popup in failed samples failed.
10. Nirmal Beneficiary Report developed with CR and move in UAT and production after unit testing
11. Nirmal OHT Report developed with CR and move in UAT and production after unit testing
12. Nirmal WTP and Raw Water Report developed with CR and move in UAT and production after unit testing
13. Implementation in Nirmal reports as per given by department only contractor login schemes are shown in contractor login in all reports
14. Discussion with Tapan Sir Regarding function and Textual Change in Nirmal Reports
15. All Nirmal Changes finally move on production after unit testing
16. Resolving issue of WTP water intake FRC test data issue in production for residual chlorine value disabled
17. Issue resolved in OHT of Nirmal module Agar malwa Contractor login &amp; Nirmal Water quality report
18. Error Resolving in Nirmal Reports WTP count Mismatch on Customized report and WTP Report
19. Requirement Gathering &amp; table, functions creation -modification 
20. Nirmal Reports &amp; bug fixing
21. Nirmal Reports function creation-modification
22. Nirmal Change Request - Beneficiary History Report UI design and API integration.</t>
  </si>
  <si>
    <t>1. Approved Dhara Nirmal reports include into O&amp;M Billing Contractor Bill generation process
2. Dhara Scheme &amp; Bulk consumer name changes and remove duplicate record &amp; apply validation
3. Creating  Village wise supply point MWSR report
4. Creating Approved village supply Point Village MWSR report
5. Creating Bulk Supply point wise MWSR Report
6. Create Date wise DWSR Report in O&amp;M Billing
7. Create DWSR Report in O&amp;M Billing
8. Modification on Residual Pressure 
9. O&amp;M Billing (Complaint Redressal)
10. Working on Complaints Redressal  (PDF Modification)
11. Implement new service for Summary page to get data of Yearly Factor
12. New Service creation for CPWI , Mapped Parameter for both Yearly Factor and CPWI and Show on the basis of bill  
13. Summary Page Development for Gross O&amp;M Bill with editable field to save and Collapse button problem resolve
14. On Summary tab Develop SaveVillageDeductionDetails with editable field and Draft Save of Summary Data (with both Service creation)
15. Modification on O&amp;M Billing for Summary, Total Count , Considered CPI-IW for 1st year on 1st tab
16. Modified Excel export in Jal Nigam Portal with Module wise file name, sheet name, header title and hidden non-export columns (Action-Image-Document)
17. Fix for Deduction Display Issue and Net Payable Bill Calculation Issue in O&amp;M Billing Summary
18. O&amp;M Billing Summary – Final Bill Submission Implementation
19. Power Consumption Module – Data Validation and PDF Button Visibility Logic Implementation
20. Generate Abstract in Summary page (Create method and service for that)
21. Net Payable Summary Fixes and UI Binding Implementation
22. Dynamic Button Visibility Implementation, Draft State Correction, and Final Submission UI Restriction Fix
23. Bulk Consumer Mapping &amp; Reporting Enhancements
24. O&amp;M Billing – Contractor Approval Page Development
25. Contractor Approval Page Structure Creation as per Revised Requirement
26. Contractor Bill Approval Module Development and Document Upload Integration for Contractor Login
27. work On O&amp;M Billing - Change Request for Bill number
28. As per Change request modify Reports and Create new Reports</t>
  </si>
  <si>
    <t xml:space="preserve">Factory Testing Web </t>
  </si>
  <si>
    <t xml:space="preserve">CR - Factory Testing  Mobile </t>
  </si>
  <si>
    <t xml:space="preserve">CR  - All Reports Public /  Site Security Audit </t>
  </si>
  <si>
    <t xml:space="preserve">Dhara CR - Reports (MWSR,DWSR,UFW)
</t>
  </si>
  <si>
    <t>Dhara Change Request - GM PIU User/TL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</si>
</sst>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quot;-&quot;mm&quot;-&quot;yyyy"/>
    <numFmt numFmtId="165" formatCode="0.000"/>
    <numFmt numFmtId="166" formatCode="dd\-mm\-yyyy"/>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color theme="1"/>
      <name val="Calibri"/>
      <family val="2"/>
    </font>
    <font>
      <sz val="10"/>
      <name val="Arial"/>
      <family val="2"/>
    </font>
    <font>
      <b/>
      <sz val="11"/>
      <color theme="1"/>
      <name val="Calibri"/>
      <family val="2"/>
      <scheme val="minor"/>
    </font>
    <font>
      <b/>
      <sz val="12"/>
      <name val="Calibri"/>
      <family val="2"/>
    </font>
    <font>
      <sz val="12"/>
      <color theme="1"/>
      <name val="Calibri"/>
      <family val="2"/>
    </font>
    <font>
      <sz val="12"/>
      <name val="Calibri"/>
      <family val="2"/>
    </font>
  </fonts>
  <fills count="17">
    <fill>
      <patternFill patternType="none"/>
    </fill>
    <fill>
      <patternFill patternType="gray125"/>
    </fill>
    <fill>
      <patternFill patternType="solid">
        <fgColor rgb="FFC1D7D7"/>
        <bgColor rgb="FFC1D7D7"/>
      </patternFill>
    </fill>
    <fill>
      <patternFill patternType="solid">
        <fgColor rgb="FFFFFF00"/>
        <bgColor rgb="FFFFFF00"/>
      </patternFill>
    </fill>
    <fill>
      <patternFill patternType="solid">
        <fgColor rgb="FFFFE598"/>
        <bgColor rgb="FFFFE598"/>
      </patternFill>
    </fill>
    <fill>
      <patternFill patternType="solid">
        <fgColor rgb="FFA8D08D"/>
        <bgColor rgb="FFA8D08D"/>
      </patternFill>
    </fill>
    <fill>
      <patternFill patternType="solid">
        <fgColor rgb="FF00B0F0"/>
        <bgColor rgb="FF00B0F0"/>
      </patternFill>
    </fill>
    <fill>
      <patternFill patternType="solid">
        <fgColor rgb="FFB4C6E7"/>
        <bgColor rgb="FFB4C6E7"/>
      </patternFill>
    </fill>
    <fill>
      <patternFill patternType="solid">
        <fgColor theme="0"/>
        <bgColor theme="0"/>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bgColor rgb="FFA8D08D"/>
      </patternFill>
    </fill>
    <fill>
      <patternFill patternType="solid">
        <fgColor theme="0"/>
        <bgColor rgb="FFC1D7D7"/>
      </patternFill>
    </fill>
    <fill>
      <patternFill patternType="solid">
        <fgColor rgb="FFFFFF00"/>
        <bgColor rgb="FFFFE598"/>
      </patternFill>
    </fill>
    <fill>
      <patternFill patternType="solid">
        <fgColor rgb="FFFFFF00"/>
        <bgColor theme="0"/>
      </patternFill>
    </fill>
    <fill>
      <patternFill patternType="solid">
        <fgColor theme="4" tint="0.59999389629810485"/>
        <bgColor rgb="FFFFE598"/>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style="thin">
        <color indexed="64"/>
      </right>
      <top/>
      <bottom/>
      <diagonal/>
    </border>
    <border>
      <left/>
      <right/>
      <top style="thin">
        <color rgb="FF000000"/>
      </top>
      <bottom style="thin">
        <color rgb="FF000000"/>
      </bottom>
      <diagonal/>
    </border>
    <border>
      <left style="thin">
        <color rgb="FF000000"/>
      </left>
      <right style="thin">
        <color rgb="FF000000"/>
      </right>
      <top/>
      <bottom style="thin">
        <color indexed="64"/>
      </bottom>
      <diagonal/>
    </border>
  </borders>
  <cellStyleXfs count="7">
    <xf numFmtId="0" fontId="0" fillId="0" borderId="0"/>
    <xf numFmtId="0" fontId="5" fillId="0" borderId="0"/>
    <xf numFmtId="0" fontId="8" fillId="0" borderId="0"/>
    <xf numFmtId="9" fontId="5" fillId="0" borderId="0" applyFont="0" applyFill="0" applyBorder="0" applyAlignment="0" applyProtection="0"/>
    <xf numFmtId="0" fontId="4" fillId="0" borderId="0"/>
    <xf numFmtId="0" fontId="2" fillId="0" borderId="0"/>
    <xf numFmtId="0" fontId="1" fillId="0" borderId="0"/>
  </cellStyleXfs>
  <cellXfs count="131">
    <xf numFmtId="0" fontId="0" fillId="0" borderId="0" xfId="0"/>
    <xf numFmtId="0" fontId="6" fillId="2"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7" fillId="0" borderId="1" xfId="0" applyFont="1" applyBorder="1" applyAlignment="1">
      <alignment horizontal="left" vertical="center"/>
    </xf>
    <xf numFmtId="165" fontId="7" fillId="0" borderId="1" xfId="0" applyNumberFormat="1" applyFont="1" applyBorder="1" applyAlignment="1">
      <alignment horizontal="left" vertical="center"/>
    </xf>
    <xf numFmtId="2" fontId="0" fillId="0" borderId="0" xfId="0" applyNumberFormat="1"/>
    <xf numFmtId="0" fontId="9" fillId="0" borderId="5" xfId="1" applyFont="1" applyBorder="1" applyAlignment="1">
      <alignment vertical="top"/>
    </xf>
    <xf numFmtId="2" fontId="9" fillId="0" borderId="5" xfId="0" applyNumberFormat="1" applyFont="1" applyBorder="1"/>
    <xf numFmtId="0" fontId="5" fillId="0" borderId="5" xfId="1" applyBorder="1" applyAlignment="1">
      <alignment vertical="top"/>
    </xf>
    <xf numFmtId="0" fontId="0" fillId="10" borderId="5" xfId="0" applyFill="1" applyBorder="1" applyAlignment="1">
      <alignment horizontal="center"/>
    </xf>
    <xf numFmtId="0" fontId="0" fillId="0" borderId="5" xfId="0" applyBorder="1" applyAlignment="1">
      <alignment horizontal="center"/>
    </xf>
    <xf numFmtId="0" fontId="5" fillId="0" borderId="0" xfId="1"/>
    <xf numFmtId="2" fontId="3" fillId="0" borderId="0" xfId="3" applyNumberFormat="1" applyFont="1"/>
    <xf numFmtId="0" fontId="5" fillId="11" borderId="5" xfId="1" applyFill="1" applyBorder="1" applyAlignment="1">
      <alignment vertical="top"/>
    </xf>
    <xf numFmtId="0" fontId="0" fillId="0" borderId="5" xfId="0" applyBorder="1" applyAlignment="1">
      <alignment vertical="top"/>
    </xf>
    <xf numFmtId="0" fontId="5" fillId="0" borderId="5" xfId="1" applyBorder="1"/>
    <xf numFmtId="165" fontId="5" fillId="0" borderId="5" xfId="1" applyNumberFormat="1" applyBorder="1" applyAlignment="1">
      <alignment vertical="top"/>
    </xf>
    <xf numFmtId="2" fontId="5" fillId="11" borderId="5" xfId="1" applyNumberFormat="1" applyFill="1" applyBorder="1" applyAlignment="1">
      <alignment vertical="top"/>
    </xf>
    <xf numFmtId="0" fontId="3" fillId="0" borderId="0" xfId="0" applyFont="1"/>
    <xf numFmtId="2" fontId="9" fillId="0" borderId="7" xfId="0" applyNumberFormat="1" applyFont="1" applyBorder="1"/>
    <xf numFmtId="0" fontId="5" fillId="11" borderId="5" xfId="1" applyFill="1" applyBorder="1"/>
    <xf numFmtId="0" fontId="5" fillId="0" borderId="0" xfId="1" applyAlignment="1">
      <alignment vertical="top"/>
    </xf>
    <xf numFmtId="0" fontId="5" fillId="10" borderId="5" xfId="1" applyFill="1" applyBorder="1"/>
    <xf numFmtId="0" fontId="9" fillId="0" borderId="5" xfId="0" applyFont="1" applyBorder="1" applyAlignment="1">
      <alignment vertical="top"/>
    </xf>
    <xf numFmtId="0" fontId="9" fillId="0" borderId="5" xfId="0" applyFont="1" applyBorder="1"/>
    <xf numFmtId="0" fontId="3" fillId="0" borderId="5" xfId="0" applyFont="1" applyBorder="1"/>
    <xf numFmtId="0" fontId="0" fillId="0" borderId="5" xfId="0" applyBorder="1"/>
    <xf numFmtId="165" fontId="0" fillId="0" borderId="5" xfId="0" applyNumberFormat="1" applyBorder="1" applyAlignment="1">
      <alignment vertical="top"/>
    </xf>
    <xf numFmtId="0" fontId="0" fillId="0" borderId="0" xfId="0" applyAlignment="1">
      <alignment vertical="top"/>
    </xf>
    <xf numFmtId="0" fontId="0" fillId="11" borderId="5" xfId="0" applyFill="1" applyBorder="1" applyAlignment="1">
      <alignment vertical="top"/>
    </xf>
    <xf numFmtId="0" fontId="0" fillId="11" borderId="5" xfId="0" applyFill="1" applyBorder="1"/>
    <xf numFmtId="0" fontId="3" fillId="10" borderId="5" xfId="0" applyFont="1" applyFill="1" applyBorder="1"/>
    <xf numFmtId="0" fontId="0" fillId="10" borderId="5" xfId="0" applyFill="1" applyBorder="1"/>
    <xf numFmtId="0" fontId="9" fillId="0" borderId="0" xfId="0" applyFont="1"/>
    <xf numFmtId="0" fontId="2" fillId="0" borderId="0" xfId="5"/>
    <xf numFmtId="0" fontId="2" fillId="0" borderId="0" xfId="5" applyFont="1"/>
    <xf numFmtId="0" fontId="9" fillId="0" borderId="5" xfId="5" applyFont="1" applyBorder="1" applyAlignment="1">
      <alignment vertical="top"/>
    </xf>
    <xf numFmtId="0" fontId="2" fillId="0" borderId="5" xfId="5" applyBorder="1" applyAlignment="1">
      <alignment vertical="top"/>
    </xf>
    <xf numFmtId="165" fontId="2" fillId="0" borderId="5" xfId="5" applyNumberFormat="1" applyBorder="1" applyAlignment="1">
      <alignment horizontal="center" vertical="top"/>
    </xf>
    <xf numFmtId="2" fontId="2" fillId="11" borderId="5" xfId="5" applyNumberFormat="1" applyFill="1" applyBorder="1" applyAlignment="1">
      <alignment horizontal="center" vertical="top"/>
    </xf>
    <xf numFmtId="2" fontId="2" fillId="0" borderId="0" xfId="3" applyNumberFormat="1" applyFont="1"/>
    <xf numFmtId="2" fontId="2" fillId="0" borderId="5" xfId="5" applyNumberFormat="1" applyBorder="1" applyAlignment="1">
      <alignment horizontal="center" vertical="top"/>
    </xf>
    <xf numFmtId="165" fontId="2" fillId="11" borderId="5" xfId="5" applyNumberFormat="1" applyFill="1" applyBorder="1" applyAlignment="1">
      <alignment vertical="top"/>
    </xf>
    <xf numFmtId="0" fontId="1" fillId="0" borderId="0" xfId="6"/>
    <xf numFmtId="0" fontId="10" fillId="12" borderId="1" xfId="6" applyFont="1" applyFill="1" applyBorder="1" applyAlignment="1">
      <alignment vertical="top" wrapText="1"/>
    </xf>
    <xf numFmtId="0" fontId="10" fillId="13" borderId="1" xfId="6" applyFont="1" applyFill="1" applyBorder="1" applyAlignment="1">
      <alignment vertical="top" wrapText="1"/>
    </xf>
    <xf numFmtId="2" fontId="7" fillId="0" borderId="1" xfId="6" applyNumberFormat="1" applyFont="1" applyBorder="1" applyAlignment="1">
      <alignment horizontal="left" vertical="center"/>
    </xf>
    <xf numFmtId="0" fontId="1" fillId="0" borderId="0" xfId="6" applyFont="1"/>
    <xf numFmtId="0" fontId="9" fillId="0" borderId="5" xfId="6" applyFont="1" applyBorder="1" applyAlignment="1">
      <alignment vertical="top"/>
    </xf>
    <xf numFmtId="0" fontId="9" fillId="0" borderId="5" xfId="6" applyFont="1" applyBorder="1"/>
    <xf numFmtId="0" fontId="1" fillId="0" borderId="5" xfId="6" applyBorder="1" applyAlignment="1">
      <alignment vertical="top"/>
    </xf>
    <xf numFmtId="0" fontId="1" fillId="10" borderId="5" xfId="6" applyFont="1" applyFill="1" applyBorder="1"/>
    <xf numFmtId="0" fontId="1" fillId="10" borderId="5" xfId="6" applyFill="1" applyBorder="1"/>
    <xf numFmtId="165" fontId="1" fillId="0" borderId="5" xfId="6" applyNumberFormat="1" applyBorder="1" applyAlignment="1">
      <alignment vertical="top"/>
    </xf>
    <xf numFmtId="0" fontId="1" fillId="0" borderId="5" xfId="6" applyFont="1" applyBorder="1"/>
    <xf numFmtId="0" fontId="1" fillId="0" borderId="5" xfId="6" applyBorder="1"/>
    <xf numFmtId="0" fontId="1" fillId="0" borderId="0" xfId="6" applyAlignment="1">
      <alignment vertical="top"/>
    </xf>
    <xf numFmtId="0" fontId="1" fillId="11" borderId="5" xfId="6" applyFill="1" applyBorder="1" applyAlignment="1">
      <alignment vertical="top"/>
    </xf>
    <xf numFmtId="0" fontId="1" fillId="11" borderId="5" xfId="6" applyFill="1" applyBorder="1"/>
    <xf numFmtId="2" fontId="7" fillId="0" borderId="3" xfId="6" applyNumberFormat="1" applyFont="1" applyBorder="1" applyAlignment="1">
      <alignment horizontal="left" vertical="center"/>
    </xf>
    <xf numFmtId="165" fontId="1" fillId="0" borderId="5" xfId="6" applyNumberFormat="1" applyBorder="1"/>
    <xf numFmtId="2" fontId="1" fillId="0" borderId="5" xfId="6" applyNumberFormat="1" applyBorder="1" applyAlignment="1">
      <alignment horizontal="left"/>
    </xf>
    <xf numFmtId="0" fontId="11" fillId="0" borderId="1" xfId="0" applyFont="1" applyBorder="1" applyAlignment="1">
      <alignment horizontal="center" vertical="center"/>
    </xf>
    <xf numFmtId="0" fontId="11"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0" xfId="0" applyFont="1" applyBorder="1" applyAlignment="1">
      <alignment horizontal="center" vertical="center"/>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11" fillId="4" borderId="1" xfId="0" applyFont="1" applyFill="1" applyBorder="1" applyAlignment="1">
      <alignment horizontal="center" vertical="center" wrapText="1"/>
    </xf>
    <xf numFmtId="164" fontId="11" fillId="8" borderId="1" xfId="0" applyNumberFormat="1" applyFont="1" applyFill="1" applyBorder="1" applyAlignment="1">
      <alignment horizontal="center" vertical="center"/>
    </xf>
    <xf numFmtId="164" fontId="11" fillId="15" borderId="1" xfId="0" applyNumberFormat="1" applyFont="1" applyFill="1" applyBorder="1" applyAlignment="1">
      <alignment horizontal="center" vertical="center"/>
    </xf>
    <xf numFmtId="0" fontId="7" fillId="9" borderId="1" xfId="0" applyFont="1" applyFill="1" applyBorder="1" applyAlignment="1">
      <alignment horizontal="center" vertical="center"/>
    </xf>
    <xf numFmtId="0" fontId="0" fillId="9" borderId="5" xfId="0" applyFill="1" applyBorder="1" applyAlignment="1">
      <alignment horizontal="center" vertical="center"/>
    </xf>
    <xf numFmtId="0" fontId="7" fillId="0" borderId="1" xfId="0" applyFont="1" applyBorder="1" applyAlignment="1">
      <alignment horizontal="center" vertical="center"/>
    </xf>
    <xf numFmtId="0" fontId="7" fillId="0" borderId="6" xfId="0" applyFont="1" applyBorder="1" applyAlignment="1">
      <alignment horizontal="center" vertical="center"/>
    </xf>
    <xf numFmtId="0" fontId="11" fillId="14" borderId="1" xfId="0" applyFont="1" applyFill="1" applyBorder="1" applyAlignment="1">
      <alignment horizontal="center" vertical="center" wrapText="1"/>
    </xf>
    <xf numFmtId="0" fontId="11" fillId="16" borderId="2" xfId="0" applyFont="1" applyFill="1" applyBorder="1" applyAlignment="1">
      <alignment horizontal="center" vertical="center" wrapText="1"/>
    </xf>
    <xf numFmtId="166" fontId="11" fillId="8" borderId="1" xfId="0" applyNumberFormat="1" applyFont="1" applyFill="1" applyBorder="1" applyAlignment="1">
      <alignment horizontal="center" vertical="center"/>
    </xf>
    <xf numFmtId="166" fontId="11" fillId="15" borderId="1" xfId="0" applyNumberFormat="1" applyFont="1" applyFill="1" applyBorder="1" applyAlignment="1">
      <alignment horizontal="center" vertical="center"/>
    </xf>
    <xf numFmtId="0" fontId="11" fillId="14" borderId="8"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16" borderId="5" xfId="0" applyFont="1" applyFill="1" applyBorder="1" applyAlignment="1">
      <alignment horizontal="center" vertical="center" wrapText="1"/>
    </xf>
    <xf numFmtId="0" fontId="12" fillId="14" borderId="1" xfId="0" applyFont="1" applyFill="1" applyBorder="1" applyAlignment="1">
      <alignment horizontal="center" vertical="center" wrapText="1"/>
    </xf>
    <xf numFmtId="0" fontId="11" fillId="4" borderId="2" xfId="0" applyFont="1" applyFill="1" applyBorder="1" applyAlignment="1">
      <alignment horizontal="center" vertical="center"/>
    </xf>
    <xf numFmtId="0" fontId="0" fillId="0" borderId="5" xfId="0" applyBorder="1" applyAlignment="1">
      <alignment horizontal="center" vertical="center"/>
    </xf>
    <xf numFmtId="0" fontId="11" fillId="14"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14" borderId="1" xfId="0" applyFont="1" applyFill="1" applyBorder="1" applyAlignment="1">
      <alignment horizontal="center" vertical="center" wrapText="1"/>
    </xf>
    <xf numFmtId="14" fontId="6" fillId="2" borderId="1" xfId="0" applyNumberFormat="1" applyFont="1" applyFill="1" applyBorder="1" applyAlignment="1">
      <alignment horizontal="center" vertical="center" wrapText="1"/>
    </xf>
    <xf numFmtId="166" fontId="6" fillId="2"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0" fillId="0" borderId="0" xfId="0" applyAlignment="1">
      <alignment horizontal="center" vertical="center"/>
    </xf>
    <xf numFmtId="0" fontId="11" fillId="0" borderId="6" xfId="0" applyFont="1" applyBorder="1" applyAlignment="1">
      <alignment horizontal="center" vertical="center"/>
    </xf>
    <xf numFmtId="0" fontId="11" fillId="0" borderId="10" xfId="0" applyFont="1" applyBorder="1" applyAlignment="1">
      <alignment horizontal="center" vertical="center"/>
    </xf>
    <xf numFmtId="164" fontId="11" fillId="8" borderId="3" xfId="0" applyNumberFormat="1" applyFont="1" applyFill="1" applyBorder="1" applyAlignment="1">
      <alignment horizontal="center" vertical="center"/>
    </xf>
    <xf numFmtId="164" fontId="11" fillId="15" borderId="3" xfId="0" applyNumberFormat="1" applyFont="1" applyFill="1" applyBorder="1" applyAlignment="1">
      <alignment horizontal="center" vertical="center"/>
    </xf>
    <xf numFmtId="166" fontId="11" fillId="8" borderId="3" xfId="0" applyNumberFormat="1" applyFont="1" applyFill="1" applyBorder="1" applyAlignment="1">
      <alignment horizontal="center" vertical="center"/>
    </xf>
    <xf numFmtId="0" fontId="11" fillId="0" borderId="8" xfId="0" applyFont="1" applyBorder="1" applyAlignment="1">
      <alignment horizontal="center" vertical="center"/>
    </xf>
    <xf numFmtId="164" fontId="11" fillId="8" borderId="2" xfId="0" applyNumberFormat="1" applyFont="1" applyFill="1" applyBorder="1" applyAlignment="1">
      <alignment horizontal="center" vertical="center"/>
    </xf>
    <xf numFmtId="164" fontId="11" fillId="15" borderId="2" xfId="0" applyNumberFormat="1" applyFont="1" applyFill="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164" fontId="11" fillId="8" borderId="5" xfId="0" applyNumberFormat="1" applyFont="1" applyFill="1" applyBorder="1" applyAlignment="1">
      <alignment horizontal="center" vertical="center"/>
    </xf>
    <xf numFmtId="164" fontId="11" fillId="15" borderId="5" xfId="0" applyNumberFormat="1" applyFont="1" applyFill="1" applyBorder="1" applyAlignment="1">
      <alignment horizontal="center" vertical="center"/>
    </xf>
    <xf numFmtId="166" fontId="11" fillId="8" borderId="5" xfId="0" applyNumberFormat="1" applyFont="1" applyFill="1" applyBorder="1" applyAlignment="1">
      <alignment horizontal="center" vertical="center"/>
    </xf>
    <xf numFmtId="166" fontId="11" fillId="15" borderId="5" xfId="0" applyNumberFormat="1" applyFont="1" applyFill="1" applyBorder="1" applyAlignment="1">
      <alignment horizontal="center" vertical="center"/>
    </xf>
    <xf numFmtId="0" fontId="11" fillId="0" borderId="12" xfId="0" applyFont="1" applyBorder="1" applyAlignment="1">
      <alignment horizontal="center" vertical="center"/>
    </xf>
    <xf numFmtId="0" fontId="6"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0" fillId="0" borderId="0" xfId="0" applyAlignment="1">
      <alignment horizontal="left" vertical="top"/>
    </xf>
    <xf numFmtId="0" fontId="11" fillId="16" borderId="4" xfId="0" applyFont="1" applyFill="1" applyBorder="1" applyAlignment="1">
      <alignment horizontal="center" vertical="center"/>
    </xf>
    <xf numFmtId="0" fontId="11" fillId="16" borderId="3" xfId="0" applyFont="1" applyFill="1" applyBorder="1" applyAlignment="1">
      <alignment horizontal="center" vertical="center"/>
    </xf>
    <xf numFmtId="0" fontId="11" fillId="4" borderId="5"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11" fillId="0" borderId="5" xfId="0" applyFont="1" applyBorder="1" applyAlignment="1">
      <alignment horizontal="center" vertical="center"/>
    </xf>
    <xf numFmtId="165" fontId="0" fillId="0" borderId="0" xfId="0" applyNumberFormat="1"/>
  </cellXfs>
  <cellStyles count="7">
    <cellStyle name="Normal" xfId="0" builtinId="0"/>
    <cellStyle name="Normal 2" xfId="2"/>
    <cellStyle name="Normal 3" xfId="1"/>
    <cellStyle name="Normal 3 2" xfId="5"/>
    <cellStyle name="Normal 3 2 2" xfId="6"/>
    <cellStyle name="Normal 4" xfId="4"/>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19.png"/><Relationship Id="rId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274320</xdr:colOff>
      <xdr:row>20</xdr:row>
      <xdr:rowOff>144780</xdr:rowOff>
    </xdr:to>
    <xdr:pic>
      <xdr:nvPicPr>
        <xdr:cNvPr id="2" name="Picture 1"/>
        <xdr:cNvPicPr>
          <a:picLocks noChangeAspect="1"/>
        </xdr:cNvPicPr>
      </xdr:nvPicPr>
      <xdr:blipFill>
        <a:blip xmlns:r="http://schemas.openxmlformats.org/officeDocument/2006/relationships" r:embed="rId1"/>
        <a:stretch>
          <a:fillRect/>
        </a:stretch>
      </xdr:blipFill>
      <xdr:spPr>
        <a:xfrm>
          <a:off x="3295650" y="0"/>
          <a:ext cx="5760720" cy="3840480"/>
        </a:xfrm>
        <a:prstGeom prst="rect">
          <a:avLst/>
        </a:prstGeom>
      </xdr:spPr>
    </xdr:pic>
    <xdr:clientData/>
  </xdr:twoCellAnchor>
  <xdr:twoCellAnchor editAs="oneCell">
    <xdr:from>
      <xdr:col>14</xdr:col>
      <xdr:colOff>0</xdr:colOff>
      <xdr:row>0</xdr:row>
      <xdr:rowOff>0</xdr:rowOff>
    </xdr:from>
    <xdr:to>
      <xdr:col>23</xdr:col>
      <xdr:colOff>182880</xdr:colOff>
      <xdr:row>20</xdr:row>
      <xdr:rowOff>83820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391650" y="0"/>
          <a:ext cx="5669280" cy="3779520"/>
        </a:xfrm>
        <a:prstGeom prst="rect">
          <a:avLst/>
        </a:prstGeom>
      </xdr:spPr>
    </xdr:pic>
    <xdr:clientData/>
  </xdr:twoCellAnchor>
  <xdr:twoCellAnchor editAs="oneCell">
    <xdr:from>
      <xdr:col>0</xdr:col>
      <xdr:colOff>0</xdr:colOff>
      <xdr:row>23</xdr:row>
      <xdr:rowOff>13</xdr:rowOff>
    </xdr:from>
    <xdr:to>
      <xdr:col>8</xdr:col>
      <xdr:colOff>300990</xdr:colOff>
      <xdr:row>64</xdr:row>
      <xdr:rowOff>92459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63"/>
          <a:ext cx="6035040" cy="7642596"/>
        </a:xfrm>
        <a:prstGeom prst="rect">
          <a:avLst/>
        </a:prstGeom>
      </xdr:spPr>
    </xdr:pic>
    <xdr:clientData/>
  </xdr:twoCellAnchor>
  <xdr:twoCellAnchor editAs="oneCell">
    <xdr:from>
      <xdr:col>24</xdr:col>
      <xdr:colOff>0</xdr:colOff>
      <xdr:row>0</xdr:row>
      <xdr:rowOff>0</xdr:rowOff>
    </xdr:from>
    <xdr:to>
      <xdr:col>33</xdr:col>
      <xdr:colOff>199208</xdr:colOff>
      <xdr:row>20</xdr:row>
      <xdr:rowOff>132806</xdr:rowOff>
    </xdr:to>
    <xdr:pic>
      <xdr:nvPicPr>
        <xdr:cNvPr id="5" name="Picture 4"/>
        <xdr:cNvPicPr>
          <a:picLocks noChangeAspect="1"/>
        </xdr:cNvPicPr>
      </xdr:nvPicPr>
      <xdr:blipFill>
        <a:blip xmlns:r="http://schemas.openxmlformats.org/officeDocument/2006/relationships" r:embed="rId4"/>
        <a:stretch>
          <a:fillRect/>
        </a:stretch>
      </xdr:blipFill>
      <xdr:spPr>
        <a:xfrm>
          <a:off x="15457714" y="0"/>
          <a:ext cx="5669280" cy="3779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365760</xdr:colOff>
      <xdr:row>21</xdr:row>
      <xdr:rowOff>21590</xdr:rowOff>
    </xdr:to>
    <xdr:pic>
      <xdr:nvPicPr>
        <xdr:cNvPr id="2" name="Picture 1"/>
        <xdr:cNvPicPr>
          <a:picLocks noChangeAspect="1"/>
        </xdr:cNvPicPr>
      </xdr:nvPicPr>
      <xdr:blipFill>
        <a:blip xmlns:r="http://schemas.openxmlformats.org/officeDocument/2006/relationships" r:embed="rId1"/>
        <a:stretch>
          <a:fillRect/>
        </a:stretch>
      </xdr:blipFill>
      <xdr:spPr>
        <a:xfrm>
          <a:off x="2819400" y="0"/>
          <a:ext cx="5852160" cy="3901440"/>
        </a:xfrm>
        <a:prstGeom prst="rect">
          <a:avLst/>
        </a:prstGeom>
      </xdr:spPr>
    </xdr:pic>
    <xdr:clientData/>
  </xdr:twoCellAnchor>
  <xdr:twoCellAnchor editAs="oneCell">
    <xdr:from>
      <xdr:col>15</xdr:col>
      <xdr:colOff>0</xdr:colOff>
      <xdr:row>0</xdr:row>
      <xdr:rowOff>0</xdr:rowOff>
    </xdr:from>
    <xdr:to>
      <xdr:col>24</xdr:col>
      <xdr:colOff>274320</xdr:colOff>
      <xdr:row>20</xdr:row>
      <xdr:rowOff>144780</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00" y="0"/>
          <a:ext cx="5760720" cy="3840480"/>
        </a:xfrm>
        <a:prstGeom prst="rect">
          <a:avLst/>
        </a:prstGeom>
      </xdr:spPr>
    </xdr:pic>
    <xdr:clientData/>
  </xdr:twoCellAnchor>
  <xdr:twoCellAnchor editAs="oneCell">
    <xdr:from>
      <xdr:col>0</xdr:col>
      <xdr:colOff>0</xdr:colOff>
      <xdr:row>23</xdr:row>
      <xdr:rowOff>0</xdr:rowOff>
    </xdr:from>
    <xdr:to>
      <xdr:col>8</xdr:col>
      <xdr:colOff>502920</xdr:colOff>
      <xdr:row>66</xdr:row>
      <xdr:rowOff>183859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50"/>
          <a:ext cx="5760720" cy="8102309"/>
        </a:xfrm>
        <a:prstGeom prst="rect">
          <a:avLst/>
        </a:prstGeom>
      </xdr:spPr>
    </xdr:pic>
    <xdr:clientData/>
  </xdr:twoCellAnchor>
  <xdr:twoCellAnchor editAs="oneCell">
    <xdr:from>
      <xdr:col>25</xdr:col>
      <xdr:colOff>0</xdr:colOff>
      <xdr:row>0</xdr:row>
      <xdr:rowOff>0</xdr:rowOff>
    </xdr:from>
    <xdr:to>
      <xdr:col>34</xdr:col>
      <xdr:colOff>290649</xdr:colOff>
      <xdr:row>21</xdr:row>
      <xdr:rowOff>12337</xdr:rowOff>
    </xdr:to>
    <xdr:pic>
      <xdr:nvPicPr>
        <xdr:cNvPr id="5" name="Picture 4"/>
        <xdr:cNvPicPr>
          <a:picLocks noChangeAspect="1"/>
        </xdr:cNvPicPr>
      </xdr:nvPicPr>
      <xdr:blipFill>
        <a:blip xmlns:r="http://schemas.openxmlformats.org/officeDocument/2006/relationships" r:embed="rId4"/>
        <a:stretch>
          <a:fillRect/>
        </a:stretch>
      </xdr:blipFill>
      <xdr:spPr>
        <a:xfrm>
          <a:off x="15575643" y="0"/>
          <a:ext cx="5760720" cy="3840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13</xdr:col>
      <xdr:colOff>335280</xdr:colOff>
      <xdr:row>18</xdr:row>
      <xdr:rowOff>160020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00" y="0"/>
          <a:ext cx="5212080" cy="3474720"/>
        </a:xfrm>
        <a:prstGeom prst="rect">
          <a:avLst/>
        </a:prstGeom>
      </xdr:spPr>
    </xdr:pic>
    <xdr:clientData/>
  </xdr:twoCellAnchor>
  <xdr:twoCellAnchor editAs="oneCell">
    <xdr:from>
      <xdr:col>15</xdr:col>
      <xdr:colOff>0</xdr:colOff>
      <xdr:row>0</xdr:row>
      <xdr:rowOff>0</xdr:rowOff>
    </xdr:from>
    <xdr:to>
      <xdr:col>22</xdr:col>
      <xdr:colOff>335280</xdr:colOff>
      <xdr:row>18</xdr:row>
      <xdr:rowOff>160020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144000" y="0"/>
          <a:ext cx="5212080" cy="3474720"/>
        </a:xfrm>
        <a:prstGeom prst="rect">
          <a:avLst/>
        </a:prstGeom>
      </xdr:spPr>
    </xdr:pic>
    <xdr:clientData/>
  </xdr:twoCellAnchor>
  <xdr:twoCellAnchor editAs="oneCell">
    <xdr:from>
      <xdr:col>0</xdr:col>
      <xdr:colOff>38101</xdr:colOff>
      <xdr:row>19</xdr:row>
      <xdr:rowOff>69850</xdr:rowOff>
    </xdr:from>
    <xdr:to>
      <xdr:col>11</xdr:col>
      <xdr:colOff>452117</xdr:colOff>
      <xdr:row>75</xdr:row>
      <xdr:rowOff>165100</xdr:rowOff>
    </xdr:to>
    <xdr:pic>
      <xdr:nvPicPr>
        <xdr:cNvPr id="4" name="Picture 3"/>
        <xdr:cNvPicPr>
          <a:picLocks noChangeAspect="1"/>
        </xdr:cNvPicPr>
      </xdr:nvPicPr>
      <xdr:blipFill>
        <a:blip xmlns:r="http://schemas.openxmlformats.org/officeDocument/2006/relationships" r:embed="rId3"/>
        <a:stretch>
          <a:fillRect/>
        </a:stretch>
      </xdr:blipFill>
      <xdr:spPr>
        <a:xfrm>
          <a:off x="38101" y="3568700"/>
          <a:ext cx="7119616" cy="10407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38</xdr:row>
      <xdr:rowOff>12700</xdr:rowOff>
    </xdr:from>
    <xdr:to>
      <xdr:col>11</xdr:col>
      <xdr:colOff>398708</xdr:colOff>
      <xdr:row>95</xdr:row>
      <xdr:rowOff>155575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7023100"/>
          <a:ext cx="7104308" cy="10639425"/>
        </a:xfrm>
        <a:prstGeom prst="rect">
          <a:avLst/>
        </a:prstGeom>
      </xdr:spPr>
    </xdr:pic>
    <xdr:clientData/>
  </xdr:twoCellAnchor>
  <xdr:twoCellAnchor editAs="oneCell">
    <xdr:from>
      <xdr:col>3</xdr:col>
      <xdr:colOff>558800</xdr:colOff>
      <xdr:row>0</xdr:row>
      <xdr:rowOff>0</xdr:rowOff>
    </xdr:from>
    <xdr:to>
      <xdr:col>13</xdr:col>
      <xdr:colOff>497840</xdr:colOff>
      <xdr:row>21</xdr:row>
      <xdr:rowOff>143510</xdr:rowOff>
    </xdr:to>
    <xdr:pic>
      <xdr:nvPicPr>
        <xdr:cNvPr id="3" name="Picture 2"/>
        <xdr:cNvPicPr>
          <a:picLocks noChangeAspect="1"/>
        </xdr:cNvPicPr>
      </xdr:nvPicPr>
      <xdr:blipFill>
        <a:blip xmlns:r="http://schemas.openxmlformats.org/officeDocument/2006/relationships" r:embed="rId2"/>
        <a:stretch>
          <a:fillRect/>
        </a:stretch>
      </xdr:blipFill>
      <xdr:spPr>
        <a:xfrm>
          <a:off x="2387600" y="0"/>
          <a:ext cx="6035040" cy="4023360"/>
        </a:xfrm>
        <a:prstGeom prst="rect">
          <a:avLst/>
        </a:prstGeom>
      </xdr:spPr>
    </xdr:pic>
    <xdr:clientData/>
  </xdr:twoCellAnchor>
  <xdr:twoCellAnchor editAs="oneCell">
    <xdr:from>
      <xdr:col>15</xdr:col>
      <xdr:colOff>0</xdr:colOff>
      <xdr:row>0</xdr:row>
      <xdr:rowOff>0</xdr:rowOff>
    </xdr:from>
    <xdr:to>
      <xdr:col>24</xdr:col>
      <xdr:colOff>548640</xdr:colOff>
      <xdr:row>21</xdr:row>
      <xdr:rowOff>143510</xdr:rowOff>
    </xdr:to>
    <xdr:pic>
      <xdr:nvPicPr>
        <xdr:cNvPr id="4" name="Picture 3"/>
        <xdr:cNvPicPr>
          <a:picLocks noChangeAspect="1"/>
        </xdr:cNvPicPr>
      </xdr:nvPicPr>
      <xdr:blipFill>
        <a:blip xmlns:r="http://schemas.openxmlformats.org/officeDocument/2006/relationships" r:embed="rId3"/>
        <a:stretch>
          <a:fillRect/>
        </a:stretch>
      </xdr:blipFill>
      <xdr:spPr>
        <a:xfrm>
          <a:off x="9144000" y="0"/>
          <a:ext cx="6035040" cy="40233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584200</xdr:colOff>
      <xdr:row>49</xdr:row>
      <xdr:rowOff>95250</xdr:rowOff>
    </xdr:from>
    <xdr:to>
      <xdr:col>12</xdr:col>
      <xdr:colOff>336729</xdr:colOff>
      <xdr:row>108</xdr:row>
      <xdr:rowOff>69850</xdr:rowOff>
    </xdr:to>
    <xdr:pic>
      <xdr:nvPicPr>
        <xdr:cNvPr id="2" name="Picture 1"/>
        <xdr:cNvPicPr>
          <a:picLocks noChangeAspect="1"/>
        </xdr:cNvPicPr>
      </xdr:nvPicPr>
      <xdr:blipFill>
        <a:blip xmlns:r="http://schemas.openxmlformats.org/officeDocument/2006/relationships" r:embed="rId1"/>
        <a:stretch>
          <a:fillRect/>
        </a:stretch>
      </xdr:blipFill>
      <xdr:spPr>
        <a:xfrm>
          <a:off x="584200" y="9118600"/>
          <a:ext cx="7067729" cy="10839450"/>
        </a:xfrm>
        <a:prstGeom prst="rect">
          <a:avLst/>
        </a:prstGeom>
      </xdr:spPr>
    </xdr:pic>
    <xdr:clientData/>
  </xdr:twoCellAnchor>
  <xdr:twoCellAnchor editAs="oneCell">
    <xdr:from>
      <xdr:col>7</xdr:col>
      <xdr:colOff>0</xdr:colOff>
      <xdr:row>0</xdr:row>
      <xdr:rowOff>0</xdr:rowOff>
    </xdr:from>
    <xdr:to>
      <xdr:col>17</xdr:col>
      <xdr:colOff>366358</xdr:colOff>
      <xdr:row>23</xdr:row>
      <xdr:rowOff>32572</xdr:rowOff>
    </xdr:to>
    <xdr:pic>
      <xdr:nvPicPr>
        <xdr:cNvPr id="3" name="Picture 2"/>
        <xdr:cNvPicPr>
          <a:picLocks noChangeAspect="1"/>
        </xdr:cNvPicPr>
      </xdr:nvPicPr>
      <xdr:blipFill>
        <a:blip xmlns:r="http://schemas.openxmlformats.org/officeDocument/2006/relationships" r:embed="rId2"/>
        <a:stretch>
          <a:fillRect/>
        </a:stretch>
      </xdr:blipFill>
      <xdr:spPr>
        <a:xfrm>
          <a:off x="4267200" y="0"/>
          <a:ext cx="6462358" cy="4268022"/>
        </a:xfrm>
        <a:prstGeom prst="rect">
          <a:avLst/>
        </a:prstGeom>
      </xdr:spPr>
    </xdr:pic>
    <xdr:clientData/>
  </xdr:twoCellAnchor>
  <xdr:twoCellAnchor editAs="oneCell">
    <xdr:from>
      <xdr:col>18</xdr:col>
      <xdr:colOff>0</xdr:colOff>
      <xdr:row>0</xdr:row>
      <xdr:rowOff>0</xdr:rowOff>
    </xdr:from>
    <xdr:to>
      <xdr:col>28</xdr:col>
      <xdr:colOff>274917</xdr:colOff>
      <xdr:row>22</xdr:row>
      <xdr:rowOff>158376</xdr:rowOff>
    </xdr:to>
    <xdr:pic>
      <xdr:nvPicPr>
        <xdr:cNvPr id="4" name="Picture 3"/>
        <xdr:cNvPicPr>
          <a:picLocks noChangeAspect="1"/>
        </xdr:cNvPicPr>
      </xdr:nvPicPr>
      <xdr:blipFill>
        <a:blip xmlns:r="http://schemas.openxmlformats.org/officeDocument/2006/relationships" r:embed="rId3"/>
        <a:stretch>
          <a:fillRect/>
        </a:stretch>
      </xdr:blipFill>
      <xdr:spPr>
        <a:xfrm>
          <a:off x="10972800" y="0"/>
          <a:ext cx="6370917" cy="4209676"/>
        </a:xfrm>
        <a:prstGeom prst="rect">
          <a:avLst/>
        </a:prstGeom>
      </xdr:spPr>
    </xdr:pic>
    <xdr:clientData/>
  </xdr:twoCellAnchor>
  <xdr:twoCellAnchor editAs="oneCell">
    <xdr:from>
      <xdr:col>29</xdr:col>
      <xdr:colOff>0</xdr:colOff>
      <xdr:row>0</xdr:row>
      <xdr:rowOff>0</xdr:rowOff>
    </xdr:from>
    <xdr:to>
      <xdr:col>39</xdr:col>
      <xdr:colOff>183478</xdr:colOff>
      <xdr:row>22</xdr:row>
      <xdr:rowOff>97416</xdr:rowOff>
    </xdr:to>
    <xdr:pic>
      <xdr:nvPicPr>
        <xdr:cNvPr id="5" name="Picture 4"/>
        <xdr:cNvPicPr>
          <a:picLocks noChangeAspect="1"/>
        </xdr:cNvPicPr>
      </xdr:nvPicPr>
      <xdr:blipFill>
        <a:blip xmlns:r="http://schemas.openxmlformats.org/officeDocument/2006/relationships" r:embed="rId4"/>
        <a:stretch>
          <a:fillRect/>
        </a:stretch>
      </xdr:blipFill>
      <xdr:spPr>
        <a:xfrm>
          <a:off x="17678400" y="0"/>
          <a:ext cx="6279478" cy="4148716"/>
        </a:xfrm>
        <a:prstGeom prst="rect">
          <a:avLst/>
        </a:prstGeom>
      </xdr:spPr>
    </xdr:pic>
    <xdr:clientData/>
  </xdr:twoCellAnchor>
  <xdr:twoCellAnchor editAs="oneCell">
    <xdr:from>
      <xdr:col>40</xdr:col>
      <xdr:colOff>0</xdr:colOff>
      <xdr:row>0</xdr:row>
      <xdr:rowOff>0</xdr:rowOff>
    </xdr:from>
    <xdr:to>
      <xdr:col>50</xdr:col>
      <xdr:colOff>274917</xdr:colOff>
      <xdr:row>22</xdr:row>
      <xdr:rowOff>158376</xdr:rowOff>
    </xdr:to>
    <xdr:pic>
      <xdr:nvPicPr>
        <xdr:cNvPr id="6" name="Picture 5"/>
        <xdr:cNvPicPr>
          <a:picLocks noChangeAspect="1"/>
        </xdr:cNvPicPr>
      </xdr:nvPicPr>
      <xdr:blipFill>
        <a:blip xmlns:r="http://schemas.openxmlformats.org/officeDocument/2006/relationships" r:embed="rId5"/>
        <a:stretch>
          <a:fillRect/>
        </a:stretch>
      </xdr:blipFill>
      <xdr:spPr>
        <a:xfrm>
          <a:off x="24384000" y="0"/>
          <a:ext cx="6370917" cy="420967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0"/>
  <sheetViews>
    <sheetView tabSelected="1" topLeftCell="Y1" zoomScale="60" zoomScaleNormal="60" workbookViewId="0">
      <pane ySplit="1" topLeftCell="A17" activePane="bottomLeft" state="frozen"/>
      <selection activeCell="AC1" sqref="AC1"/>
      <selection pane="bottomLeft" activeCell="AK19" sqref="AK19"/>
    </sheetView>
  </sheetViews>
  <sheetFormatPr defaultColWidth="23.7265625" defaultRowHeight="63" customHeight="1" x14ac:dyDescent="0.35"/>
  <cols>
    <col min="1" max="1" width="3.7265625" style="101" bestFit="1" customWidth="1"/>
    <col min="2" max="2" width="11.90625" style="101" customWidth="1"/>
    <col min="3" max="3" width="13.7265625" style="101" bestFit="1" customWidth="1"/>
    <col min="4" max="4" width="10.08984375" style="101" customWidth="1"/>
    <col min="5" max="5" width="44.453125" style="101" bestFit="1" customWidth="1"/>
    <col min="6" max="6" width="52.54296875" style="119" customWidth="1"/>
    <col min="7" max="7" width="4" style="101" bestFit="1" customWidth="1"/>
    <col min="8" max="8" width="13.90625" style="101" bestFit="1" customWidth="1"/>
    <col min="9" max="9" width="15" style="101" customWidth="1"/>
    <col min="10" max="10" width="18.54296875" style="101" customWidth="1"/>
    <col min="11" max="11" width="18.36328125" style="101" customWidth="1"/>
    <col min="12" max="12" width="22.54296875" style="101" customWidth="1"/>
    <col min="13" max="13" width="21" style="101" customWidth="1"/>
    <col min="14" max="14" width="22.36328125" style="101" customWidth="1"/>
    <col min="15" max="15" width="20.08984375" style="101" customWidth="1"/>
    <col min="16" max="16" width="28.1796875" style="101" customWidth="1"/>
    <col min="17" max="17" width="26.26953125" style="101" customWidth="1"/>
    <col min="18" max="18" width="21.54296875" style="101" customWidth="1"/>
    <col min="19" max="19" width="22.1796875" style="101" customWidth="1"/>
    <col min="20" max="20" width="25.1796875" style="101" customWidth="1"/>
    <col min="21" max="21" width="23.1796875" style="101" customWidth="1"/>
    <col min="22" max="22" width="22.1796875" style="101" customWidth="1"/>
    <col min="23" max="23" width="15.453125" style="101" customWidth="1"/>
    <col min="24" max="24" width="17.54296875" style="101" customWidth="1"/>
    <col min="25" max="25" width="14.453125" style="101" customWidth="1"/>
    <col min="26" max="26" width="15.1796875" style="101" customWidth="1"/>
    <col min="27" max="27" width="16.453125" style="101" customWidth="1"/>
    <col min="28" max="28" width="17.81640625" style="101" customWidth="1"/>
    <col min="29" max="29" width="19.1796875" style="101" customWidth="1"/>
    <col min="30" max="30" width="18.54296875" style="101" customWidth="1"/>
    <col min="31" max="31" width="18.453125" style="101" customWidth="1"/>
    <col min="32" max="32" width="16.453125" style="101" customWidth="1"/>
    <col min="33" max="33" width="18.1796875" style="101" customWidth="1"/>
    <col min="34" max="34" width="15" style="101" customWidth="1"/>
    <col min="35" max="35" width="14.26953125" style="101" customWidth="1"/>
    <col min="36" max="36" width="16.81640625" style="101" customWidth="1"/>
    <col min="37" max="37" width="13.1796875" style="101" customWidth="1"/>
    <col min="38" max="38" width="8.54296875" style="101" customWidth="1"/>
    <col min="39" max="39" width="17.1796875" style="101" bestFit="1" customWidth="1"/>
    <col min="40" max="40" width="14.453125" style="101" bestFit="1" customWidth="1"/>
    <col min="41" max="41" width="14.1796875" style="101" bestFit="1" customWidth="1"/>
    <col min="42" max="42" width="16.26953125" style="101" bestFit="1" customWidth="1"/>
    <col min="43" max="43" width="14.81640625" style="101" bestFit="1" customWidth="1"/>
    <col min="44" max="44" width="15.81640625" style="101" bestFit="1" customWidth="1"/>
    <col min="45" max="46" width="14" style="101" bestFit="1" customWidth="1"/>
    <col min="47" max="47" width="13.54296875" style="101" bestFit="1" customWidth="1"/>
    <col min="48" max="49" width="14" style="101" bestFit="1" customWidth="1"/>
    <col min="50" max="50" width="30.1796875" style="101" bestFit="1" customWidth="1"/>
    <col min="51" max="51" width="29" style="101" bestFit="1" customWidth="1"/>
    <col min="52" max="52" width="21.81640625" style="101" bestFit="1" customWidth="1"/>
    <col min="53" max="16384" width="23.7265625" style="101"/>
  </cols>
  <sheetData>
    <row r="1" spans="1:52" ht="63" customHeight="1" x14ac:dyDescent="0.35">
      <c r="A1" s="91" t="s">
        <v>0</v>
      </c>
      <c r="B1" s="91" t="s">
        <v>1</v>
      </c>
      <c r="C1" s="91" t="s">
        <v>2</v>
      </c>
      <c r="D1" s="91" t="s">
        <v>3</v>
      </c>
      <c r="E1" s="91" t="s">
        <v>4</v>
      </c>
      <c r="F1" s="117" t="s">
        <v>124</v>
      </c>
      <c r="G1" s="91" t="s">
        <v>5</v>
      </c>
      <c r="H1" s="91" t="s">
        <v>6</v>
      </c>
      <c r="I1" s="92" t="s">
        <v>7</v>
      </c>
      <c r="J1" s="92" t="s">
        <v>8</v>
      </c>
      <c r="K1" s="91" t="s">
        <v>9</v>
      </c>
      <c r="L1" s="92" t="s">
        <v>10</v>
      </c>
      <c r="M1" s="92" t="s">
        <v>11</v>
      </c>
      <c r="N1" s="93" t="s">
        <v>12</v>
      </c>
      <c r="O1" s="94" t="s">
        <v>13</v>
      </c>
      <c r="P1" s="91" t="s">
        <v>14</v>
      </c>
      <c r="Q1" s="91" t="s">
        <v>15</v>
      </c>
      <c r="R1" s="91" t="s">
        <v>16</v>
      </c>
      <c r="S1" s="95" t="s">
        <v>17</v>
      </c>
      <c r="T1" s="96" t="s">
        <v>18</v>
      </c>
      <c r="U1" s="95" t="s">
        <v>19</v>
      </c>
      <c r="V1" s="95" t="s">
        <v>20</v>
      </c>
      <c r="W1" s="95" t="s">
        <v>21</v>
      </c>
      <c r="X1" s="93" t="s">
        <v>22</v>
      </c>
      <c r="Y1" s="93" t="s">
        <v>23</v>
      </c>
      <c r="Z1" s="93" t="s">
        <v>24</v>
      </c>
      <c r="AA1" s="93" t="s">
        <v>25</v>
      </c>
      <c r="AB1" s="93" t="s">
        <v>26</v>
      </c>
      <c r="AC1" s="93" t="s">
        <v>27</v>
      </c>
      <c r="AD1" s="93" t="s">
        <v>28</v>
      </c>
      <c r="AE1" s="93" t="s">
        <v>29</v>
      </c>
      <c r="AF1" s="91" t="s">
        <v>30</v>
      </c>
      <c r="AG1" s="91" t="s">
        <v>31</v>
      </c>
      <c r="AH1" s="91" t="s">
        <v>32</v>
      </c>
      <c r="AI1" s="91" t="s">
        <v>33</v>
      </c>
      <c r="AJ1" s="91" t="s">
        <v>34</v>
      </c>
      <c r="AK1" s="91" t="s">
        <v>35</v>
      </c>
      <c r="AL1" s="91"/>
      <c r="AM1" s="98" t="s">
        <v>36</v>
      </c>
      <c r="AN1" s="99" t="s">
        <v>38</v>
      </c>
      <c r="AO1" s="99" t="s">
        <v>39</v>
      </c>
      <c r="AP1" s="99" t="s">
        <v>40</v>
      </c>
      <c r="AQ1" s="99" t="s">
        <v>41</v>
      </c>
      <c r="AR1" s="97" t="s">
        <v>42</v>
      </c>
      <c r="AS1" s="91" t="s">
        <v>43</v>
      </c>
      <c r="AT1" s="91" t="s">
        <v>44</v>
      </c>
      <c r="AU1" s="91" t="s">
        <v>45</v>
      </c>
      <c r="AV1" s="91" t="s">
        <v>46</v>
      </c>
      <c r="AW1" s="92" t="s">
        <v>37</v>
      </c>
      <c r="AX1" s="100" t="s">
        <v>56</v>
      </c>
      <c r="AY1" s="91" t="s">
        <v>47</v>
      </c>
      <c r="AZ1" s="91" t="s">
        <v>48</v>
      </c>
    </row>
    <row r="2" spans="1:52" ht="63" customHeight="1" x14ac:dyDescent="0.35">
      <c r="A2" s="64">
        <v>1</v>
      </c>
      <c r="B2" s="64" t="s">
        <v>49</v>
      </c>
      <c r="C2" s="64" t="s">
        <v>50</v>
      </c>
      <c r="D2" s="125" t="s">
        <v>54</v>
      </c>
      <c r="E2" s="72" t="s">
        <v>106</v>
      </c>
      <c r="F2" s="118" t="s">
        <v>108</v>
      </c>
      <c r="G2" s="64"/>
      <c r="H2" s="64">
        <f>ROUNDUP(I2/5.6,0)</f>
        <v>22</v>
      </c>
      <c r="I2" s="64">
        <v>120</v>
      </c>
      <c r="J2" s="64">
        <v>141</v>
      </c>
      <c r="K2" s="64">
        <v>120</v>
      </c>
      <c r="L2" s="73">
        <v>46051</v>
      </c>
      <c r="M2" s="74">
        <v>46064</v>
      </c>
      <c r="N2" s="73">
        <v>46051</v>
      </c>
      <c r="O2" s="74">
        <v>46063</v>
      </c>
      <c r="P2" s="73">
        <v>46051</v>
      </c>
      <c r="Q2" s="73">
        <v>46052</v>
      </c>
      <c r="R2" s="73">
        <v>46053</v>
      </c>
      <c r="S2" s="73">
        <v>46055</v>
      </c>
      <c r="T2" s="73">
        <v>46055</v>
      </c>
      <c r="U2" s="73">
        <v>46059</v>
      </c>
      <c r="V2" s="73">
        <v>46059</v>
      </c>
      <c r="W2" s="73">
        <v>46062</v>
      </c>
      <c r="X2" s="64">
        <v>10</v>
      </c>
      <c r="Y2" s="64">
        <v>8</v>
      </c>
      <c r="Z2" s="64">
        <v>64</v>
      </c>
      <c r="AA2" s="64">
        <v>2</v>
      </c>
      <c r="AB2" s="64">
        <v>33</v>
      </c>
      <c r="AC2" s="64">
        <v>2</v>
      </c>
      <c r="AD2" s="64">
        <v>1</v>
      </c>
      <c r="AE2" s="64">
        <v>0</v>
      </c>
      <c r="AF2" s="65">
        <v>1</v>
      </c>
      <c r="AG2" s="65">
        <v>0</v>
      </c>
      <c r="AH2" s="65">
        <v>1</v>
      </c>
      <c r="AI2" s="65">
        <v>1</v>
      </c>
      <c r="AJ2" s="65">
        <v>0</v>
      </c>
      <c r="AK2" s="65">
        <v>0</v>
      </c>
      <c r="AL2" s="75"/>
      <c r="AM2" s="75">
        <f>H2/I2</f>
        <v>0.18333333333333332</v>
      </c>
      <c r="AN2" s="75">
        <f>H2/(X2+AD2)</f>
        <v>2</v>
      </c>
      <c r="AO2" s="75">
        <f>H2/(Y2+AE2)</f>
        <v>2.75</v>
      </c>
      <c r="AP2" s="75">
        <f>H2/(Z2+AA2)</f>
        <v>0.33333333333333331</v>
      </c>
      <c r="AQ2" s="75">
        <f>H2/(AB2+AC2)</f>
        <v>0.62857142857142856</v>
      </c>
      <c r="AR2" s="75">
        <f>((W2-P2)/H2)</f>
        <v>0.5</v>
      </c>
      <c r="AS2" s="75">
        <f>((Q2-P2)/H2)</f>
        <v>4.5454545454545456E-2</v>
      </c>
      <c r="AT2" s="75">
        <f>((S2-R2)/H2)</f>
        <v>9.0909090909090912E-2</v>
      </c>
      <c r="AU2" s="75">
        <f>((U2-T2)/H2)</f>
        <v>0.18181818181818182</v>
      </c>
      <c r="AV2" s="75">
        <f>((W2-V2)/H2)</f>
        <v>0.13636363636363635</v>
      </c>
      <c r="AW2" s="75">
        <f>AY2/(AY2+AZ2)</f>
        <v>0.66666666666666674</v>
      </c>
      <c r="AX2" s="76">
        <f>AH2/H2</f>
        <v>4.5454545454545456E-2</v>
      </c>
      <c r="AY2" s="77">
        <f>(AF2+AH2+AG2)/H2</f>
        <v>9.0909090909090912E-2</v>
      </c>
      <c r="AZ2" s="78">
        <f>(AI2)/H2</f>
        <v>4.5454545454545456E-2</v>
      </c>
    </row>
    <row r="3" spans="1:52" ht="63" customHeight="1" x14ac:dyDescent="0.35">
      <c r="A3" s="64"/>
      <c r="B3" s="64"/>
      <c r="C3" s="64"/>
      <c r="D3" s="127"/>
      <c r="E3" s="79" t="s">
        <v>87</v>
      </c>
      <c r="F3" s="118" t="s">
        <v>107</v>
      </c>
      <c r="G3" s="64" t="s">
        <v>88</v>
      </c>
      <c r="H3" s="64">
        <f t="shared" ref="H3:H24" si="0">ROUNDUP(I3/5.6,0)</f>
        <v>4</v>
      </c>
      <c r="I3" s="64">
        <v>21</v>
      </c>
      <c r="J3" s="64">
        <v>29</v>
      </c>
      <c r="K3" s="64">
        <v>21</v>
      </c>
      <c r="L3" s="73">
        <v>46108</v>
      </c>
      <c r="M3" s="74">
        <v>46142</v>
      </c>
      <c r="N3" s="73">
        <v>46139</v>
      </c>
      <c r="O3" s="74">
        <v>46141</v>
      </c>
      <c r="P3" s="73">
        <v>46139</v>
      </c>
      <c r="Q3" s="73">
        <v>46140</v>
      </c>
      <c r="R3" s="73">
        <v>46139</v>
      </c>
      <c r="S3" s="73">
        <v>46140</v>
      </c>
      <c r="T3" s="73">
        <v>46139</v>
      </c>
      <c r="U3" s="73">
        <v>46140</v>
      </c>
      <c r="V3" s="73">
        <v>46140</v>
      </c>
      <c r="W3" s="73">
        <v>46140</v>
      </c>
      <c r="X3" s="64">
        <v>3</v>
      </c>
      <c r="Y3" s="64">
        <v>1</v>
      </c>
      <c r="Z3" s="64">
        <v>12</v>
      </c>
      <c r="AA3" s="64">
        <v>0</v>
      </c>
      <c r="AB3" s="64">
        <v>4</v>
      </c>
      <c r="AC3" s="64">
        <v>0</v>
      </c>
      <c r="AD3" s="64">
        <v>0</v>
      </c>
      <c r="AE3" s="64">
        <v>1</v>
      </c>
      <c r="AF3" s="65">
        <v>0</v>
      </c>
      <c r="AG3" s="65">
        <v>1</v>
      </c>
      <c r="AH3" s="65">
        <v>0</v>
      </c>
      <c r="AI3" s="65">
        <v>0</v>
      </c>
      <c r="AJ3" s="65">
        <v>0</v>
      </c>
      <c r="AK3" s="65">
        <v>0</v>
      </c>
      <c r="AL3" s="75"/>
      <c r="AM3" s="75">
        <f t="shared" ref="AM3:AM30" si="1">H3/I3</f>
        <v>0.19047619047619047</v>
      </c>
      <c r="AN3" s="75">
        <f t="shared" ref="AN3:AN24" si="2">H3/(X3+AD3)</f>
        <v>1.3333333333333333</v>
      </c>
      <c r="AO3" s="75">
        <f t="shared" ref="AO3:AO24" si="3">H3/(Y3+AE3)</f>
        <v>2</v>
      </c>
      <c r="AP3" s="75">
        <f t="shared" ref="AP3:AP24" si="4">H3/(Z3+AA3)</f>
        <v>0.33333333333333331</v>
      </c>
      <c r="AQ3" s="75">
        <f t="shared" ref="AQ3:AQ24" si="5">H3/(AB3+AC3)</f>
        <v>1</v>
      </c>
      <c r="AR3" s="75">
        <f t="shared" ref="AR3:AR24" si="6">((W3-P3)/H3)</f>
        <v>0.25</v>
      </c>
      <c r="AS3" s="75">
        <f t="shared" ref="AS3:AS24" si="7">((Q3-P3)/H3)</f>
        <v>0.25</v>
      </c>
      <c r="AT3" s="75">
        <f t="shared" ref="AT3:AT24" si="8">((S3-R3)/H3)</f>
        <v>0.25</v>
      </c>
      <c r="AU3" s="75">
        <f t="shared" ref="AU3:AU24" si="9">((U3-T3)/H3)</f>
        <v>0.25</v>
      </c>
      <c r="AV3" s="75">
        <f t="shared" ref="AV3:AV24" si="10">((W3-V3)/H3)</f>
        <v>0</v>
      </c>
      <c r="AW3" s="75">
        <f t="shared" ref="AW3:AW24" si="11">AY3/(AY3+AZ3)</f>
        <v>1</v>
      </c>
      <c r="AX3" s="76">
        <f t="shared" ref="AX3:AX24" si="12">AH3/H3</f>
        <v>0</v>
      </c>
      <c r="AY3" s="77">
        <f t="shared" ref="AY3:AY24" si="13">(AF3+AH3+AG3)/H3</f>
        <v>0.25</v>
      </c>
      <c r="AZ3" s="78">
        <f t="shared" ref="AZ3:AZ24" si="14">(AI3)/H3</f>
        <v>0</v>
      </c>
    </row>
    <row r="4" spans="1:52" ht="63" customHeight="1" x14ac:dyDescent="0.35">
      <c r="A4" s="64">
        <v>2</v>
      </c>
      <c r="B4" s="64" t="s">
        <v>49</v>
      </c>
      <c r="C4" s="64" t="s">
        <v>50</v>
      </c>
      <c r="D4" s="80" t="s">
        <v>89</v>
      </c>
      <c r="E4" s="79" t="s">
        <v>109</v>
      </c>
      <c r="F4" s="118" t="s">
        <v>110</v>
      </c>
      <c r="G4" s="64"/>
      <c r="H4" s="64">
        <f t="shared" si="0"/>
        <v>9</v>
      </c>
      <c r="I4" s="64">
        <v>45</v>
      </c>
      <c r="J4" s="110">
        <v>60</v>
      </c>
      <c r="K4" s="64">
        <v>45</v>
      </c>
      <c r="L4" s="108">
        <v>46037</v>
      </c>
      <c r="M4" s="109">
        <v>46043</v>
      </c>
      <c r="N4" s="108">
        <v>46037</v>
      </c>
      <c r="O4" s="109">
        <v>46042</v>
      </c>
      <c r="P4" s="108">
        <v>46037</v>
      </c>
      <c r="Q4" s="108">
        <v>46038</v>
      </c>
      <c r="R4" s="108">
        <v>46037</v>
      </c>
      <c r="S4" s="108">
        <v>46038</v>
      </c>
      <c r="T4" s="108">
        <v>46038</v>
      </c>
      <c r="U4" s="108">
        <v>46040</v>
      </c>
      <c r="V4" s="108">
        <v>46040</v>
      </c>
      <c r="W4" s="108">
        <v>46041</v>
      </c>
      <c r="X4" s="64">
        <v>4</v>
      </c>
      <c r="Y4" s="64">
        <v>4</v>
      </c>
      <c r="Z4" s="64">
        <v>27</v>
      </c>
      <c r="AA4" s="64">
        <v>1</v>
      </c>
      <c r="AB4" s="64">
        <v>8</v>
      </c>
      <c r="AC4" s="64">
        <v>1</v>
      </c>
      <c r="AD4" s="64">
        <v>0</v>
      </c>
      <c r="AE4" s="64">
        <v>0</v>
      </c>
      <c r="AF4" s="65">
        <v>0</v>
      </c>
      <c r="AG4" s="65">
        <v>0</v>
      </c>
      <c r="AH4" s="65">
        <v>1</v>
      </c>
      <c r="AI4" s="65">
        <v>1</v>
      </c>
      <c r="AJ4" s="65">
        <v>0</v>
      </c>
      <c r="AK4" s="65">
        <v>0</v>
      </c>
      <c r="AL4" s="75"/>
      <c r="AM4" s="75">
        <f t="shared" si="1"/>
        <v>0.2</v>
      </c>
      <c r="AN4" s="75">
        <f t="shared" si="2"/>
        <v>2.25</v>
      </c>
      <c r="AO4" s="75">
        <f t="shared" si="3"/>
        <v>2.25</v>
      </c>
      <c r="AP4" s="75">
        <f t="shared" si="4"/>
        <v>0.32142857142857145</v>
      </c>
      <c r="AQ4" s="75">
        <f t="shared" si="5"/>
        <v>1</v>
      </c>
      <c r="AR4" s="75">
        <f t="shared" si="6"/>
        <v>0.44444444444444442</v>
      </c>
      <c r="AS4" s="75">
        <f t="shared" si="7"/>
        <v>0.1111111111111111</v>
      </c>
      <c r="AT4" s="75">
        <f t="shared" si="8"/>
        <v>0.1111111111111111</v>
      </c>
      <c r="AU4" s="75">
        <f t="shared" si="9"/>
        <v>0.22222222222222221</v>
      </c>
      <c r="AV4" s="75">
        <f t="shared" si="10"/>
        <v>0.1111111111111111</v>
      </c>
      <c r="AW4" s="75">
        <f t="shared" si="11"/>
        <v>0.5</v>
      </c>
      <c r="AX4" s="76">
        <f t="shared" si="12"/>
        <v>0.1111111111111111</v>
      </c>
      <c r="AY4" s="77">
        <f t="shared" si="13"/>
        <v>0.1111111111111111</v>
      </c>
      <c r="AZ4" s="78">
        <f t="shared" si="14"/>
        <v>0.1111111111111111</v>
      </c>
    </row>
    <row r="5" spans="1:52" ht="63" customHeight="1" x14ac:dyDescent="0.35">
      <c r="A5" s="64">
        <v>3</v>
      </c>
      <c r="B5" s="64" t="s">
        <v>49</v>
      </c>
      <c r="C5" s="64" t="s">
        <v>50</v>
      </c>
      <c r="D5" s="125" t="s">
        <v>57</v>
      </c>
      <c r="E5" s="79" t="s">
        <v>137</v>
      </c>
      <c r="F5" s="118" t="s">
        <v>111</v>
      </c>
      <c r="G5" s="64" t="s">
        <v>88</v>
      </c>
      <c r="H5" s="64">
        <f t="shared" si="0"/>
        <v>14</v>
      </c>
      <c r="I5" s="102">
        <v>78</v>
      </c>
      <c r="J5" s="71">
        <v>94</v>
      </c>
      <c r="K5" s="116">
        <v>127</v>
      </c>
      <c r="L5" s="112">
        <v>46133</v>
      </c>
      <c r="M5" s="113">
        <v>46140</v>
      </c>
      <c r="N5" s="114">
        <v>46133</v>
      </c>
      <c r="O5" s="115">
        <v>46139</v>
      </c>
      <c r="P5" s="112">
        <v>46133</v>
      </c>
      <c r="Q5" s="112">
        <v>46134</v>
      </c>
      <c r="R5" s="112">
        <v>46134</v>
      </c>
      <c r="S5" s="112">
        <v>46135</v>
      </c>
      <c r="T5" s="112">
        <v>46135</v>
      </c>
      <c r="U5" s="112">
        <v>46137</v>
      </c>
      <c r="V5" s="112">
        <v>46137</v>
      </c>
      <c r="W5" s="114">
        <v>46138</v>
      </c>
      <c r="X5" s="107">
        <v>4</v>
      </c>
      <c r="Y5" s="64">
        <v>7</v>
      </c>
      <c r="Z5" s="64">
        <v>42</v>
      </c>
      <c r="AA5" s="64">
        <v>2</v>
      </c>
      <c r="AB5" s="64">
        <v>21</v>
      </c>
      <c r="AC5" s="64">
        <v>1</v>
      </c>
      <c r="AD5" s="64">
        <v>0</v>
      </c>
      <c r="AE5" s="64">
        <v>1</v>
      </c>
      <c r="AF5" s="65">
        <v>0</v>
      </c>
      <c r="AG5" s="65">
        <v>1</v>
      </c>
      <c r="AH5" s="65">
        <v>1</v>
      </c>
      <c r="AI5" s="65">
        <v>1</v>
      </c>
      <c r="AJ5" s="65">
        <v>0</v>
      </c>
      <c r="AK5" s="65">
        <v>1</v>
      </c>
      <c r="AL5" s="75"/>
      <c r="AM5" s="75">
        <f t="shared" si="1"/>
        <v>0.17948717948717949</v>
      </c>
      <c r="AN5" s="75">
        <f t="shared" si="2"/>
        <v>3.5</v>
      </c>
      <c r="AO5" s="75">
        <f t="shared" si="3"/>
        <v>1.75</v>
      </c>
      <c r="AP5" s="75">
        <f t="shared" si="4"/>
        <v>0.31818181818181818</v>
      </c>
      <c r="AQ5" s="75">
        <f t="shared" si="5"/>
        <v>0.63636363636363635</v>
      </c>
      <c r="AR5" s="75">
        <f t="shared" si="6"/>
        <v>0.35714285714285715</v>
      </c>
      <c r="AS5" s="75">
        <f t="shared" si="7"/>
        <v>7.1428571428571425E-2</v>
      </c>
      <c r="AT5" s="75">
        <f t="shared" si="8"/>
        <v>7.1428571428571425E-2</v>
      </c>
      <c r="AU5" s="75">
        <f t="shared" si="9"/>
        <v>0.14285714285714285</v>
      </c>
      <c r="AV5" s="75">
        <f t="shared" si="10"/>
        <v>7.1428571428571425E-2</v>
      </c>
      <c r="AW5" s="75">
        <f t="shared" si="11"/>
        <v>0.66666666666666663</v>
      </c>
      <c r="AX5" s="76">
        <f t="shared" si="12"/>
        <v>7.1428571428571425E-2</v>
      </c>
      <c r="AY5" s="77">
        <f t="shared" si="13"/>
        <v>0.14285714285714285</v>
      </c>
      <c r="AZ5" s="78">
        <f t="shared" si="14"/>
        <v>7.1428571428571425E-2</v>
      </c>
    </row>
    <row r="6" spans="1:52" ht="63" customHeight="1" x14ac:dyDescent="0.35">
      <c r="A6" s="64"/>
      <c r="B6" s="64"/>
      <c r="C6" s="64"/>
      <c r="D6" s="127"/>
      <c r="E6" s="79" t="s">
        <v>138</v>
      </c>
      <c r="F6" s="118"/>
      <c r="G6" s="64"/>
      <c r="H6" s="64">
        <f t="shared" si="0"/>
        <v>9</v>
      </c>
      <c r="I6" s="102">
        <v>49</v>
      </c>
      <c r="J6" s="71">
        <v>58</v>
      </c>
      <c r="K6" s="116"/>
      <c r="L6" s="112">
        <v>46146</v>
      </c>
      <c r="M6" s="113">
        <v>46150</v>
      </c>
      <c r="N6" s="114">
        <v>46146</v>
      </c>
      <c r="O6" s="115">
        <v>46149</v>
      </c>
      <c r="P6" s="112">
        <v>46146</v>
      </c>
      <c r="Q6" s="112">
        <v>46147</v>
      </c>
      <c r="R6" s="112">
        <v>46146</v>
      </c>
      <c r="S6" s="112">
        <v>46147</v>
      </c>
      <c r="T6" s="112">
        <v>46147</v>
      </c>
      <c r="U6" s="112">
        <v>46148</v>
      </c>
      <c r="V6" s="112">
        <v>46148</v>
      </c>
      <c r="W6" s="114">
        <v>46149</v>
      </c>
      <c r="X6" s="107">
        <v>4</v>
      </c>
      <c r="Y6" s="64">
        <v>4</v>
      </c>
      <c r="Z6" s="64">
        <v>26</v>
      </c>
      <c r="AA6" s="64">
        <v>1</v>
      </c>
      <c r="AB6" s="64">
        <v>14</v>
      </c>
      <c r="AC6" s="64">
        <v>0</v>
      </c>
      <c r="AD6" s="64">
        <v>0</v>
      </c>
      <c r="AE6" s="64">
        <v>0</v>
      </c>
      <c r="AF6" s="65">
        <v>0</v>
      </c>
      <c r="AG6" s="65">
        <v>0</v>
      </c>
      <c r="AH6" s="65">
        <v>1</v>
      </c>
      <c r="AI6" s="65">
        <v>0</v>
      </c>
      <c r="AJ6" s="65">
        <v>0</v>
      </c>
      <c r="AK6" s="65">
        <v>0</v>
      </c>
      <c r="AL6" s="75"/>
      <c r="AM6" s="75">
        <f t="shared" si="1"/>
        <v>0.18367346938775511</v>
      </c>
      <c r="AN6" s="75">
        <f t="shared" si="2"/>
        <v>2.25</v>
      </c>
      <c r="AO6" s="75">
        <f t="shared" si="3"/>
        <v>2.25</v>
      </c>
      <c r="AP6" s="75">
        <f t="shared" si="4"/>
        <v>0.33333333333333331</v>
      </c>
      <c r="AQ6" s="75">
        <f t="shared" si="5"/>
        <v>0.6428571428571429</v>
      </c>
      <c r="AR6" s="75">
        <f t="shared" si="6"/>
        <v>0.33333333333333331</v>
      </c>
      <c r="AS6" s="75">
        <f t="shared" si="7"/>
        <v>0.1111111111111111</v>
      </c>
      <c r="AT6" s="75">
        <f t="shared" si="8"/>
        <v>0.1111111111111111</v>
      </c>
      <c r="AU6" s="75">
        <f t="shared" si="9"/>
        <v>0.1111111111111111</v>
      </c>
      <c r="AV6" s="75">
        <f t="shared" si="10"/>
        <v>0.1111111111111111</v>
      </c>
      <c r="AW6" s="75">
        <f t="shared" si="11"/>
        <v>1</v>
      </c>
      <c r="AX6" s="76">
        <f t="shared" si="12"/>
        <v>0.1111111111111111</v>
      </c>
      <c r="AY6" s="77">
        <f t="shared" si="13"/>
        <v>0.1111111111111111</v>
      </c>
      <c r="AZ6" s="78">
        <f t="shared" si="14"/>
        <v>0</v>
      </c>
    </row>
    <row r="7" spans="1:52" ht="63" customHeight="1" x14ac:dyDescent="0.35">
      <c r="A7" s="64">
        <v>5</v>
      </c>
      <c r="B7" s="64" t="s">
        <v>49</v>
      </c>
      <c r="C7" s="64" t="s">
        <v>50</v>
      </c>
      <c r="D7" s="125" t="s">
        <v>90</v>
      </c>
      <c r="E7" s="79" t="s">
        <v>91</v>
      </c>
      <c r="F7" s="118" t="s">
        <v>125</v>
      </c>
      <c r="G7" s="64"/>
      <c r="H7" s="64">
        <f t="shared" si="0"/>
        <v>12</v>
      </c>
      <c r="I7" s="64">
        <v>64</v>
      </c>
      <c r="J7" s="111">
        <v>84</v>
      </c>
      <c r="K7" s="102">
        <v>64</v>
      </c>
      <c r="L7" s="112">
        <v>46104</v>
      </c>
      <c r="M7" s="113">
        <v>46117</v>
      </c>
      <c r="N7" s="114">
        <v>46104</v>
      </c>
      <c r="O7" s="115">
        <v>46116</v>
      </c>
      <c r="P7" s="112">
        <v>46104</v>
      </c>
      <c r="Q7" s="112">
        <v>46105</v>
      </c>
      <c r="R7" s="112">
        <v>46107</v>
      </c>
      <c r="S7" s="112">
        <v>46109</v>
      </c>
      <c r="T7" s="112">
        <v>46110</v>
      </c>
      <c r="U7" s="112">
        <v>46113</v>
      </c>
      <c r="V7" s="112">
        <v>46114</v>
      </c>
      <c r="W7" s="114">
        <v>46116</v>
      </c>
      <c r="X7" s="107">
        <v>6</v>
      </c>
      <c r="Y7" s="64">
        <v>4</v>
      </c>
      <c r="Z7" s="64">
        <v>34</v>
      </c>
      <c r="AA7" s="64">
        <v>3</v>
      </c>
      <c r="AB7" s="64">
        <v>12</v>
      </c>
      <c r="AC7" s="64">
        <v>2</v>
      </c>
      <c r="AD7" s="64">
        <v>1</v>
      </c>
      <c r="AE7" s="64">
        <v>2</v>
      </c>
      <c r="AF7" s="65">
        <v>1</v>
      </c>
      <c r="AG7" s="65">
        <v>2</v>
      </c>
      <c r="AH7" s="65">
        <v>2</v>
      </c>
      <c r="AI7" s="65">
        <v>3</v>
      </c>
      <c r="AJ7" s="65">
        <v>1</v>
      </c>
      <c r="AK7" s="65">
        <v>2</v>
      </c>
      <c r="AL7" s="75"/>
      <c r="AM7" s="75">
        <f t="shared" si="1"/>
        <v>0.1875</v>
      </c>
      <c r="AN7" s="75">
        <f t="shared" si="2"/>
        <v>1.7142857142857142</v>
      </c>
      <c r="AO7" s="75">
        <f t="shared" si="3"/>
        <v>2</v>
      </c>
      <c r="AP7" s="75">
        <f t="shared" si="4"/>
        <v>0.32432432432432434</v>
      </c>
      <c r="AQ7" s="75">
        <f t="shared" si="5"/>
        <v>0.8571428571428571</v>
      </c>
      <c r="AR7" s="75">
        <f t="shared" si="6"/>
        <v>1</v>
      </c>
      <c r="AS7" s="75">
        <f t="shared" si="7"/>
        <v>8.3333333333333329E-2</v>
      </c>
      <c r="AT7" s="75">
        <f t="shared" si="8"/>
        <v>0.16666666666666666</v>
      </c>
      <c r="AU7" s="75">
        <f t="shared" si="9"/>
        <v>0.25</v>
      </c>
      <c r="AV7" s="75">
        <f t="shared" si="10"/>
        <v>0.16666666666666666</v>
      </c>
      <c r="AW7" s="75">
        <f t="shared" si="11"/>
        <v>0.625</v>
      </c>
      <c r="AX7" s="76">
        <f t="shared" si="12"/>
        <v>0.16666666666666666</v>
      </c>
      <c r="AY7" s="77">
        <f t="shared" si="13"/>
        <v>0.41666666666666669</v>
      </c>
      <c r="AZ7" s="78">
        <f t="shared" si="14"/>
        <v>0.25</v>
      </c>
    </row>
    <row r="8" spans="1:52" ht="63" customHeight="1" x14ac:dyDescent="0.35">
      <c r="A8" s="64"/>
      <c r="B8" s="64"/>
      <c r="C8" s="64"/>
      <c r="D8" s="126"/>
      <c r="E8" s="79" t="s">
        <v>55</v>
      </c>
      <c r="F8" s="118" t="s">
        <v>126</v>
      </c>
      <c r="G8" s="64"/>
      <c r="H8" s="64">
        <f t="shared" si="0"/>
        <v>31</v>
      </c>
      <c r="I8" s="64">
        <v>170</v>
      </c>
      <c r="J8" s="64">
        <v>192</v>
      </c>
      <c r="K8" s="102">
        <v>170</v>
      </c>
      <c r="L8" s="112">
        <v>46090</v>
      </c>
      <c r="M8" s="113">
        <v>46122</v>
      </c>
      <c r="N8" s="114">
        <v>46090</v>
      </c>
      <c r="O8" s="115">
        <v>46121</v>
      </c>
      <c r="P8" s="112">
        <v>46090</v>
      </c>
      <c r="Q8" s="112">
        <v>46093</v>
      </c>
      <c r="R8" s="112">
        <v>46093</v>
      </c>
      <c r="S8" s="112">
        <v>46099</v>
      </c>
      <c r="T8" s="112">
        <v>46100</v>
      </c>
      <c r="U8" s="112">
        <v>46113</v>
      </c>
      <c r="V8" s="112">
        <v>46114</v>
      </c>
      <c r="W8" s="114">
        <v>46121</v>
      </c>
      <c r="X8" s="107">
        <v>10</v>
      </c>
      <c r="Y8" s="64">
        <v>12</v>
      </c>
      <c r="Z8" s="64">
        <v>98</v>
      </c>
      <c r="AA8" s="64">
        <v>3</v>
      </c>
      <c r="AB8" s="64">
        <v>40</v>
      </c>
      <c r="AC8" s="64">
        <v>2</v>
      </c>
      <c r="AD8" s="64">
        <v>2</v>
      </c>
      <c r="AE8" s="64">
        <v>3</v>
      </c>
      <c r="AF8" s="65">
        <v>2</v>
      </c>
      <c r="AG8" s="65">
        <v>3</v>
      </c>
      <c r="AH8" s="65">
        <v>3</v>
      </c>
      <c r="AI8" s="65">
        <v>3</v>
      </c>
      <c r="AJ8" s="65">
        <v>2</v>
      </c>
      <c r="AK8" s="65">
        <v>2</v>
      </c>
      <c r="AL8" s="75"/>
      <c r="AM8" s="75">
        <f t="shared" si="1"/>
        <v>0.18235294117647058</v>
      </c>
      <c r="AN8" s="75">
        <f t="shared" si="2"/>
        <v>2.5833333333333335</v>
      </c>
      <c r="AO8" s="75">
        <f t="shared" si="3"/>
        <v>2.0666666666666669</v>
      </c>
      <c r="AP8" s="75">
        <f t="shared" si="4"/>
        <v>0.30693069306930693</v>
      </c>
      <c r="AQ8" s="75">
        <f t="shared" si="5"/>
        <v>0.73809523809523814</v>
      </c>
      <c r="AR8" s="75">
        <f t="shared" si="6"/>
        <v>1</v>
      </c>
      <c r="AS8" s="75">
        <f t="shared" si="7"/>
        <v>9.6774193548387094E-2</v>
      </c>
      <c r="AT8" s="75">
        <f t="shared" si="8"/>
        <v>0.19354838709677419</v>
      </c>
      <c r="AU8" s="75">
        <f t="shared" si="9"/>
        <v>0.41935483870967744</v>
      </c>
      <c r="AV8" s="75">
        <f t="shared" si="10"/>
        <v>0.22580645161290322</v>
      </c>
      <c r="AW8" s="75">
        <f t="shared" si="11"/>
        <v>0.72727272727272718</v>
      </c>
      <c r="AX8" s="76">
        <f t="shared" si="12"/>
        <v>9.6774193548387094E-2</v>
      </c>
      <c r="AY8" s="77">
        <f t="shared" si="13"/>
        <v>0.25806451612903225</v>
      </c>
      <c r="AZ8" s="78">
        <f t="shared" si="14"/>
        <v>9.6774193548387094E-2</v>
      </c>
    </row>
    <row r="9" spans="1:52" ht="63" customHeight="1" x14ac:dyDescent="0.35">
      <c r="A9" s="64"/>
      <c r="B9" s="64"/>
      <c r="C9" s="64"/>
      <c r="D9" s="126"/>
      <c r="E9" s="79" t="s">
        <v>127</v>
      </c>
      <c r="F9" s="118" t="s">
        <v>118</v>
      </c>
      <c r="G9" s="64"/>
      <c r="H9" s="64">
        <f t="shared" si="0"/>
        <v>14</v>
      </c>
      <c r="I9" s="64">
        <v>78</v>
      </c>
      <c r="J9" s="64">
        <v>94</v>
      </c>
      <c r="K9" s="102">
        <v>78</v>
      </c>
      <c r="L9" s="112">
        <v>46112</v>
      </c>
      <c r="M9" s="113">
        <v>46122</v>
      </c>
      <c r="N9" s="114">
        <v>46112</v>
      </c>
      <c r="O9" s="115">
        <v>46121</v>
      </c>
      <c r="P9" s="112">
        <v>46112</v>
      </c>
      <c r="Q9" s="112">
        <v>46115</v>
      </c>
      <c r="R9" s="112">
        <v>46115</v>
      </c>
      <c r="S9" s="112">
        <v>46117</v>
      </c>
      <c r="T9" s="112">
        <v>46118</v>
      </c>
      <c r="U9" s="112">
        <v>46121</v>
      </c>
      <c r="V9" s="112">
        <v>46120</v>
      </c>
      <c r="W9" s="114">
        <v>46121</v>
      </c>
      <c r="X9" s="107">
        <v>6</v>
      </c>
      <c r="Y9" s="64">
        <v>4</v>
      </c>
      <c r="Z9" s="64">
        <v>38</v>
      </c>
      <c r="AA9" s="64">
        <v>2</v>
      </c>
      <c r="AB9" s="64">
        <v>24</v>
      </c>
      <c r="AC9" s="64">
        <v>2</v>
      </c>
      <c r="AD9" s="64">
        <v>1</v>
      </c>
      <c r="AE9" s="64">
        <v>1</v>
      </c>
      <c r="AF9" s="65">
        <v>1</v>
      </c>
      <c r="AG9" s="65">
        <v>1</v>
      </c>
      <c r="AH9" s="65">
        <v>2</v>
      </c>
      <c r="AI9" s="65">
        <v>2</v>
      </c>
      <c r="AJ9" s="65">
        <v>1</v>
      </c>
      <c r="AK9" s="65">
        <v>0</v>
      </c>
      <c r="AL9" s="75"/>
      <c r="AM9" s="75">
        <f t="shared" si="1"/>
        <v>0.17948717948717949</v>
      </c>
      <c r="AN9" s="75">
        <f t="shared" si="2"/>
        <v>2</v>
      </c>
      <c r="AO9" s="75">
        <f t="shared" si="3"/>
        <v>2.8</v>
      </c>
      <c r="AP9" s="75">
        <f t="shared" si="4"/>
        <v>0.35</v>
      </c>
      <c r="AQ9" s="75">
        <f t="shared" si="5"/>
        <v>0.53846153846153844</v>
      </c>
      <c r="AR9" s="75">
        <f t="shared" si="6"/>
        <v>0.6428571428571429</v>
      </c>
      <c r="AS9" s="75">
        <f t="shared" si="7"/>
        <v>0.21428571428571427</v>
      </c>
      <c r="AT9" s="75">
        <f t="shared" si="8"/>
        <v>0.14285714285714285</v>
      </c>
      <c r="AU9" s="75">
        <f t="shared" si="9"/>
        <v>0.21428571428571427</v>
      </c>
      <c r="AV9" s="75">
        <f t="shared" si="10"/>
        <v>7.1428571428571425E-2</v>
      </c>
      <c r="AW9" s="75">
        <f t="shared" si="11"/>
        <v>0.66666666666666663</v>
      </c>
      <c r="AX9" s="76">
        <f t="shared" si="12"/>
        <v>0.14285714285714285</v>
      </c>
      <c r="AY9" s="77">
        <f t="shared" si="13"/>
        <v>0.2857142857142857</v>
      </c>
      <c r="AZ9" s="78">
        <f t="shared" si="14"/>
        <v>0.14285714285714285</v>
      </c>
    </row>
    <row r="10" spans="1:52" ht="63" customHeight="1" x14ac:dyDescent="0.35">
      <c r="A10" s="64"/>
      <c r="B10" s="64"/>
      <c r="C10" s="64"/>
      <c r="D10" s="127"/>
      <c r="E10" s="79" t="s">
        <v>5</v>
      </c>
      <c r="F10" s="118" t="s">
        <v>128</v>
      </c>
      <c r="G10" s="64"/>
      <c r="H10" s="64">
        <f t="shared" si="0"/>
        <v>12</v>
      </c>
      <c r="I10" s="67">
        <v>67</v>
      </c>
      <c r="J10" s="67">
        <v>83</v>
      </c>
      <c r="K10" s="103">
        <v>67</v>
      </c>
      <c r="L10" s="112">
        <v>46140</v>
      </c>
      <c r="M10" s="113">
        <v>46141</v>
      </c>
      <c r="N10" s="114">
        <v>46140</v>
      </c>
      <c r="O10" s="115">
        <v>46141</v>
      </c>
      <c r="P10" s="112">
        <v>46140</v>
      </c>
      <c r="Q10" s="112">
        <v>46141</v>
      </c>
      <c r="R10" s="112">
        <v>46140</v>
      </c>
      <c r="S10" s="112">
        <v>46141</v>
      </c>
      <c r="T10" s="112">
        <v>46140</v>
      </c>
      <c r="U10" s="112">
        <v>46141</v>
      </c>
      <c r="V10" s="112">
        <v>46140</v>
      </c>
      <c r="W10" s="114">
        <v>46141</v>
      </c>
      <c r="X10" s="107">
        <v>6</v>
      </c>
      <c r="Y10" s="64">
        <v>4</v>
      </c>
      <c r="Z10" s="64">
        <v>34</v>
      </c>
      <c r="AA10" s="64">
        <v>1</v>
      </c>
      <c r="AB10" s="64">
        <v>20</v>
      </c>
      <c r="AC10" s="64">
        <v>1</v>
      </c>
      <c r="AD10" s="64">
        <v>0</v>
      </c>
      <c r="AE10" s="64">
        <v>1</v>
      </c>
      <c r="AF10" s="65">
        <v>0</v>
      </c>
      <c r="AG10" s="65">
        <v>1</v>
      </c>
      <c r="AH10" s="65">
        <v>1</v>
      </c>
      <c r="AI10" s="65">
        <v>1</v>
      </c>
      <c r="AJ10" s="65">
        <v>0</v>
      </c>
      <c r="AK10" s="65">
        <v>0</v>
      </c>
      <c r="AL10" s="75"/>
      <c r="AM10" s="75">
        <f t="shared" si="1"/>
        <v>0.17910447761194029</v>
      </c>
      <c r="AN10" s="75">
        <f t="shared" si="2"/>
        <v>2</v>
      </c>
      <c r="AO10" s="75">
        <f t="shared" si="3"/>
        <v>2.4</v>
      </c>
      <c r="AP10" s="75">
        <f t="shared" si="4"/>
        <v>0.34285714285714286</v>
      </c>
      <c r="AQ10" s="75">
        <f t="shared" si="5"/>
        <v>0.5714285714285714</v>
      </c>
      <c r="AR10" s="75">
        <f t="shared" si="6"/>
        <v>8.3333333333333329E-2</v>
      </c>
      <c r="AS10" s="75">
        <f t="shared" si="7"/>
        <v>8.3333333333333329E-2</v>
      </c>
      <c r="AT10" s="75">
        <f t="shared" si="8"/>
        <v>8.3333333333333329E-2</v>
      </c>
      <c r="AU10" s="75">
        <f t="shared" si="9"/>
        <v>8.3333333333333329E-2</v>
      </c>
      <c r="AV10" s="75">
        <f t="shared" si="10"/>
        <v>8.3333333333333329E-2</v>
      </c>
      <c r="AW10" s="75">
        <f t="shared" si="11"/>
        <v>0.66666666666666663</v>
      </c>
      <c r="AX10" s="76">
        <f t="shared" si="12"/>
        <v>8.3333333333333329E-2</v>
      </c>
      <c r="AY10" s="77">
        <f t="shared" si="13"/>
        <v>0.16666666666666666</v>
      </c>
      <c r="AZ10" s="78">
        <f t="shared" si="14"/>
        <v>8.3333333333333329E-2</v>
      </c>
    </row>
    <row r="11" spans="1:52" ht="63" customHeight="1" x14ac:dyDescent="0.35">
      <c r="A11" s="64"/>
      <c r="B11" s="64"/>
      <c r="C11" s="64"/>
      <c r="D11" s="125" t="s">
        <v>92</v>
      </c>
      <c r="E11" s="72" t="s">
        <v>141</v>
      </c>
      <c r="F11" s="118"/>
      <c r="G11" s="64"/>
      <c r="H11" s="64">
        <f t="shared" si="0"/>
        <v>17</v>
      </c>
      <c r="I11" s="70">
        <v>91</v>
      </c>
      <c r="J11" s="70">
        <v>96</v>
      </c>
      <c r="K11" s="70"/>
      <c r="L11" s="112">
        <v>46147</v>
      </c>
      <c r="M11" s="113">
        <v>46165</v>
      </c>
      <c r="N11" s="114">
        <v>46147</v>
      </c>
      <c r="O11" s="115">
        <v>46164</v>
      </c>
      <c r="P11" s="112">
        <v>46147</v>
      </c>
      <c r="Q11" s="112">
        <v>46149</v>
      </c>
      <c r="R11" s="112">
        <v>46150</v>
      </c>
      <c r="S11" s="112">
        <v>46153</v>
      </c>
      <c r="T11" s="112">
        <v>46153</v>
      </c>
      <c r="U11" s="112">
        <v>46160</v>
      </c>
      <c r="V11" s="112">
        <v>46160</v>
      </c>
      <c r="W11" s="114">
        <v>46163</v>
      </c>
      <c r="X11" s="107">
        <v>4</v>
      </c>
      <c r="Y11" s="64">
        <v>6</v>
      </c>
      <c r="Z11" s="64">
        <v>54</v>
      </c>
      <c r="AA11" s="64">
        <v>1</v>
      </c>
      <c r="AB11" s="64">
        <v>25</v>
      </c>
      <c r="AC11" s="64">
        <v>1</v>
      </c>
      <c r="AD11" s="64">
        <v>0</v>
      </c>
      <c r="AE11" s="64">
        <v>0</v>
      </c>
      <c r="AF11" s="65">
        <v>0</v>
      </c>
      <c r="AG11" s="65">
        <v>0</v>
      </c>
      <c r="AH11" s="65">
        <v>1</v>
      </c>
      <c r="AI11" s="65">
        <v>1</v>
      </c>
      <c r="AJ11" s="65">
        <v>0</v>
      </c>
      <c r="AK11" s="65">
        <v>0</v>
      </c>
      <c r="AL11" s="75"/>
      <c r="AM11" s="75">
        <f t="shared" si="1"/>
        <v>0.18681318681318682</v>
      </c>
      <c r="AN11" s="75">
        <f t="shared" si="2"/>
        <v>4.25</v>
      </c>
      <c r="AO11" s="75">
        <f t="shared" si="3"/>
        <v>2.8333333333333335</v>
      </c>
      <c r="AP11" s="75">
        <f t="shared" si="4"/>
        <v>0.30909090909090908</v>
      </c>
      <c r="AQ11" s="75">
        <f t="shared" si="5"/>
        <v>0.65384615384615385</v>
      </c>
      <c r="AR11" s="75">
        <f t="shared" si="6"/>
        <v>0.94117647058823528</v>
      </c>
      <c r="AS11" s="75">
        <f t="shared" si="7"/>
        <v>0.11764705882352941</v>
      </c>
      <c r="AT11" s="75">
        <f t="shared" si="8"/>
        <v>0.17647058823529413</v>
      </c>
      <c r="AU11" s="75">
        <f t="shared" si="9"/>
        <v>0.41176470588235292</v>
      </c>
      <c r="AV11" s="75">
        <f t="shared" si="10"/>
        <v>0.17647058823529413</v>
      </c>
      <c r="AW11" s="75">
        <f t="shared" si="11"/>
        <v>0.5</v>
      </c>
      <c r="AX11" s="76">
        <f t="shared" si="12"/>
        <v>5.8823529411764705E-2</v>
      </c>
      <c r="AY11" s="77">
        <f t="shared" si="13"/>
        <v>5.8823529411764705E-2</v>
      </c>
      <c r="AZ11" s="78">
        <f t="shared" si="14"/>
        <v>5.8823529411764705E-2</v>
      </c>
    </row>
    <row r="12" spans="1:52" ht="63" customHeight="1" x14ac:dyDescent="0.35">
      <c r="A12" s="64">
        <v>6</v>
      </c>
      <c r="B12" s="64" t="s">
        <v>49</v>
      </c>
      <c r="C12" s="64" t="s">
        <v>50</v>
      </c>
      <c r="D12" s="126"/>
      <c r="E12" s="72" t="s">
        <v>140</v>
      </c>
      <c r="F12" s="118" t="s">
        <v>129</v>
      </c>
      <c r="G12" s="64"/>
      <c r="H12" s="64">
        <f t="shared" si="0"/>
        <v>30</v>
      </c>
      <c r="I12" s="68">
        <v>163</v>
      </c>
      <c r="J12" s="68">
        <v>186</v>
      </c>
      <c r="K12" s="68">
        <v>254</v>
      </c>
      <c r="L12" s="104">
        <v>46094</v>
      </c>
      <c r="M12" s="105">
        <v>46108</v>
      </c>
      <c r="N12" s="104">
        <v>46094</v>
      </c>
      <c r="O12" s="105">
        <v>46107</v>
      </c>
      <c r="P12" s="104">
        <v>46094</v>
      </c>
      <c r="Q12" s="104">
        <v>46096</v>
      </c>
      <c r="R12" s="104">
        <v>46097</v>
      </c>
      <c r="S12" s="104">
        <v>46100</v>
      </c>
      <c r="T12" s="106">
        <v>46100</v>
      </c>
      <c r="U12" s="104">
        <v>46103</v>
      </c>
      <c r="V12" s="106">
        <v>46103</v>
      </c>
      <c r="W12" s="106">
        <v>46105</v>
      </c>
      <c r="X12" s="64">
        <v>12</v>
      </c>
      <c r="Y12" s="64">
        <v>14</v>
      </c>
      <c r="Z12" s="64">
        <v>95</v>
      </c>
      <c r="AA12" s="64">
        <v>3</v>
      </c>
      <c r="AB12" s="64">
        <v>36</v>
      </c>
      <c r="AC12" s="64">
        <v>2</v>
      </c>
      <c r="AD12" s="64">
        <v>0</v>
      </c>
      <c r="AE12" s="64">
        <v>1</v>
      </c>
      <c r="AF12" s="65">
        <v>0</v>
      </c>
      <c r="AG12" s="65">
        <v>1</v>
      </c>
      <c r="AH12" s="65">
        <v>1</v>
      </c>
      <c r="AI12" s="65">
        <v>1</v>
      </c>
      <c r="AJ12" s="65">
        <v>0</v>
      </c>
      <c r="AK12" s="65">
        <v>0</v>
      </c>
      <c r="AL12" s="75"/>
      <c r="AM12" s="75">
        <f t="shared" si="1"/>
        <v>0.18404907975460122</v>
      </c>
      <c r="AN12" s="75">
        <f t="shared" si="2"/>
        <v>2.5</v>
      </c>
      <c r="AO12" s="75">
        <f t="shared" si="3"/>
        <v>2</v>
      </c>
      <c r="AP12" s="75">
        <f t="shared" si="4"/>
        <v>0.30612244897959184</v>
      </c>
      <c r="AQ12" s="75">
        <f t="shared" si="5"/>
        <v>0.78947368421052633</v>
      </c>
      <c r="AR12" s="75">
        <f t="shared" si="6"/>
        <v>0.36666666666666664</v>
      </c>
      <c r="AS12" s="75">
        <f t="shared" si="7"/>
        <v>6.6666666666666666E-2</v>
      </c>
      <c r="AT12" s="75">
        <f t="shared" si="8"/>
        <v>0.1</v>
      </c>
      <c r="AU12" s="75">
        <f t="shared" si="9"/>
        <v>0.1</v>
      </c>
      <c r="AV12" s="75">
        <f t="shared" si="10"/>
        <v>6.6666666666666666E-2</v>
      </c>
      <c r="AW12" s="75">
        <f t="shared" si="11"/>
        <v>0.66666666666666663</v>
      </c>
      <c r="AX12" s="76">
        <f t="shared" si="12"/>
        <v>3.3333333333333333E-2</v>
      </c>
      <c r="AY12" s="77">
        <f t="shared" si="13"/>
        <v>6.6666666666666666E-2</v>
      </c>
      <c r="AZ12" s="78">
        <f t="shared" si="14"/>
        <v>3.3333333333333333E-2</v>
      </c>
    </row>
    <row r="13" spans="1:52" ht="63" customHeight="1" x14ac:dyDescent="0.35">
      <c r="A13" s="64"/>
      <c r="B13" s="64"/>
      <c r="C13" s="64"/>
      <c r="D13" s="128"/>
      <c r="E13" s="79" t="s">
        <v>139</v>
      </c>
      <c r="F13" s="118" t="s">
        <v>130</v>
      </c>
      <c r="G13" s="64" t="s">
        <v>88</v>
      </c>
      <c r="H13" s="64">
        <f t="shared" si="0"/>
        <v>43</v>
      </c>
      <c r="I13" s="64">
        <v>236</v>
      </c>
      <c r="J13" s="64">
        <v>306</v>
      </c>
      <c r="K13" s="64">
        <v>236</v>
      </c>
      <c r="L13" s="73">
        <v>46140</v>
      </c>
      <c r="M13" s="74">
        <v>46126</v>
      </c>
      <c r="N13" s="73">
        <v>46140</v>
      </c>
      <c r="O13" s="74">
        <v>46125</v>
      </c>
      <c r="P13" s="73">
        <v>46140</v>
      </c>
      <c r="Q13" s="73">
        <v>46141</v>
      </c>
      <c r="R13" s="73">
        <v>46142</v>
      </c>
      <c r="S13" s="73">
        <v>46144</v>
      </c>
      <c r="T13" s="81">
        <v>46145</v>
      </c>
      <c r="U13" s="73">
        <v>46151</v>
      </c>
      <c r="V13" s="81">
        <v>46151</v>
      </c>
      <c r="W13" s="81">
        <v>46154</v>
      </c>
      <c r="X13" s="64">
        <v>10</v>
      </c>
      <c r="Y13" s="64">
        <v>18</v>
      </c>
      <c r="Z13" s="64">
        <v>132</v>
      </c>
      <c r="AA13" s="64">
        <v>2</v>
      </c>
      <c r="AB13" s="64">
        <v>69</v>
      </c>
      <c r="AC13" s="64">
        <v>3</v>
      </c>
      <c r="AD13" s="64">
        <v>2</v>
      </c>
      <c r="AE13" s="64">
        <v>0</v>
      </c>
      <c r="AF13" s="65">
        <v>1</v>
      </c>
      <c r="AG13" s="65">
        <v>0</v>
      </c>
      <c r="AH13" s="65">
        <v>1</v>
      </c>
      <c r="AI13" s="65">
        <v>1</v>
      </c>
      <c r="AJ13" s="65">
        <v>1</v>
      </c>
      <c r="AK13" s="65">
        <v>0</v>
      </c>
      <c r="AL13" s="75"/>
      <c r="AM13" s="75">
        <f t="shared" si="1"/>
        <v>0.18220338983050846</v>
      </c>
      <c r="AN13" s="75">
        <f t="shared" si="2"/>
        <v>3.5833333333333335</v>
      </c>
      <c r="AO13" s="75">
        <f t="shared" si="3"/>
        <v>2.3888888888888888</v>
      </c>
      <c r="AP13" s="75">
        <f t="shared" si="4"/>
        <v>0.32089552238805968</v>
      </c>
      <c r="AQ13" s="75">
        <f t="shared" si="5"/>
        <v>0.59722222222222221</v>
      </c>
      <c r="AR13" s="75">
        <f t="shared" si="6"/>
        <v>0.32558139534883723</v>
      </c>
      <c r="AS13" s="75">
        <f t="shared" si="7"/>
        <v>2.3255813953488372E-2</v>
      </c>
      <c r="AT13" s="75">
        <f t="shared" si="8"/>
        <v>4.6511627906976744E-2</v>
      </c>
      <c r="AU13" s="75">
        <f t="shared" si="9"/>
        <v>0.13953488372093023</v>
      </c>
      <c r="AV13" s="75">
        <f t="shared" si="10"/>
        <v>6.9767441860465115E-2</v>
      </c>
      <c r="AW13" s="75">
        <f t="shared" si="11"/>
        <v>0.66666666666666663</v>
      </c>
      <c r="AX13" s="76">
        <f t="shared" si="12"/>
        <v>2.3255813953488372E-2</v>
      </c>
      <c r="AY13" s="77">
        <f t="shared" si="13"/>
        <v>4.6511627906976744E-2</v>
      </c>
      <c r="AZ13" s="78">
        <f t="shared" si="14"/>
        <v>2.3255813953488372E-2</v>
      </c>
    </row>
    <row r="14" spans="1:52" ht="63" customHeight="1" x14ac:dyDescent="0.35">
      <c r="A14" s="64">
        <v>7</v>
      </c>
      <c r="B14" s="64" t="s">
        <v>49</v>
      </c>
      <c r="C14" s="102" t="s">
        <v>50</v>
      </c>
      <c r="D14" s="123" t="s">
        <v>51</v>
      </c>
      <c r="E14" s="83" t="s">
        <v>131</v>
      </c>
      <c r="F14" s="118" t="s">
        <v>132</v>
      </c>
      <c r="G14" s="64" t="s">
        <v>88</v>
      </c>
      <c r="H14" s="64">
        <f t="shared" si="0"/>
        <v>53</v>
      </c>
      <c r="I14" s="64">
        <v>296</v>
      </c>
      <c r="J14" s="64">
        <v>334</v>
      </c>
      <c r="K14" s="64">
        <v>296</v>
      </c>
      <c r="L14" s="73">
        <v>46104</v>
      </c>
      <c r="M14" s="74">
        <v>46149</v>
      </c>
      <c r="N14" s="73">
        <v>46104</v>
      </c>
      <c r="O14" s="74">
        <v>46148</v>
      </c>
      <c r="P14" s="73">
        <v>46104</v>
      </c>
      <c r="Q14" s="73">
        <v>46105</v>
      </c>
      <c r="R14" s="73">
        <v>46106</v>
      </c>
      <c r="S14" s="73">
        <v>46113</v>
      </c>
      <c r="T14" s="81">
        <v>46114</v>
      </c>
      <c r="U14" s="73">
        <v>46137</v>
      </c>
      <c r="V14" s="81">
        <v>46138</v>
      </c>
      <c r="W14" s="73">
        <v>46147</v>
      </c>
      <c r="X14" s="64">
        <v>16</v>
      </c>
      <c r="Y14" s="64">
        <v>24</v>
      </c>
      <c r="Z14" s="64">
        <v>168</v>
      </c>
      <c r="AA14" s="64">
        <v>2</v>
      </c>
      <c r="AB14" s="64">
        <v>82</v>
      </c>
      <c r="AC14" s="64">
        <v>1</v>
      </c>
      <c r="AD14" s="64">
        <v>2</v>
      </c>
      <c r="AE14" s="64">
        <v>1</v>
      </c>
      <c r="AF14" s="65">
        <v>1</v>
      </c>
      <c r="AG14" s="65">
        <v>1</v>
      </c>
      <c r="AH14" s="65">
        <v>1</v>
      </c>
      <c r="AI14" s="65">
        <v>1</v>
      </c>
      <c r="AJ14" s="65">
        <v>0</v>
      </c>
      <c r="AK14" s="65">
        <v>0</v>
      </c>
      <c r="AL14" s="75"/>
      <c r="AM14" s="75">
        <f t="shared" si="1"/>
        <v>0.17905405405405406</v>
      </c>
      <c r="AN14" s="75">
        <f t="shared" si="2"/>
        <v>2.9444444444444446</v>
      </c>
      <c r="AO14" s="75">
        <f t="shared" si="3"/>
        <v>2.12</v>
      </c>
      <c r="AP14" s="75">
        <f t="shared" si="4"/>
        <v>0.31176470588235294</v>
      </c>
      <c r="AQ14" s="75">
        <f t="shared" si="5"/>
        <v>0.63855421686746983</v>
      </c>
      <c r="AR14" s="75">
        <f t="shared" si="6"/>
        <v>0.81132075471698117</v>
      </c>
      <c r="AS14" s="75">
        <f t="shared" si="7"/>
        <v>1.8867924528301886E-2</v>
      </c>
      <c r="AT14" s="75">
        <f t="shared" si="8"/>
        <v>0.13207547169811321</v>
      </c>
      <c r="AU14" s="75">
        <f t="shared" si="9"/>
        <v>0.43396226415094341</v>
      </c>
      <c r="AV14" s="75">
        <f t="shared" si="10"/>
        <v>0.16981132075471697</v>
      </c>
      <c r="AW14" s="75">
        <f t="shared" si="11"/>
        <v>0.75</v>
      </c>
      <c r="AX14" s="76">
        <f t="shared" si="12"/>
        <v>1.8867924528301886E-2</v>
      </c>
      <c r="AY14" s="77">
        <f t="shared" si="13"/>
        <v>5.6603773584905662E-2</v>
      </c>
      <c r="AZ14" s="78">
        <f t="shared" si="14"/>
        <v>1.8867924528301886E-2</v>
      </c>
    </row>
    <row r="15" spans="1:52" ht="63" customHeight="1" x14ac:dyDescent="0.35">
      <c r="A15" s="67"/>
      <c r="B15" s="67"/>
      <c r="C15" s="103"/>
      <c r="D15" s="124"/>
      <c r="E15" s="84" t="s">
        <v>104</v>
      </c>
      <c r="F15" s="118" t="s">
        <v>105</v>
      </c>
      <c r="G15" s="64"/>
      <c r="H15" s="64">
        <f t="shared" si="0"/>
        <v>13</v>
      </c>
      <c r="I15" s="64">
        <v>69</v>
      </c>
      <c r="J15" s="64">
        <v>96</v>
      </c>
      <c r="K15" s="64">
        <v>69</v>
      </c>
      <c r="L15" s="73">
        <v>46150</v>
      </c>
      <c r="M15" s="74">
        <v>46167</v>
      </c>
      <c r="N15" s="73">
        <v>46150</v>
      </c>
      <c r="O15" s="74">
        <v>46166</v>
      </c>
      <c r="P15" s="73">
        <v>46150</v>
      </c>
      <c r="Q15" s="73">
        <v>46161</v>
      </c>
      <c r="R15" s="73">
        <v>46151</v>
      </c>
      <c r="S15" s="73">
        <v>46153</v>
      </c>
      <c r="T15" s="81">
        <v>46153</v>
      </c>
      <c r="U15" s="73">
        <v>46161</v>
      </c>
      <c r="V15" s="81">
        <v>46160</v>
      </c>
      <c r="W15" s="73">
        <v>46165</v>
      </c>
      <c r="X15" s="64">
        <v>8</v>
      </c>
      <c r="Y15" s="64">
        <v>4</v>
      </c>
      <c r="Z15" s="64">
        <v>40</v>
      </c>
      <c r="AA15" s="64">
        <v>1</v>
      </c>
      <c r="AB15" s="64">
        <v>15</v>
      </c>
      <c r="AC15" s="64">
        <v>1</v>
      </c>
      <c r="AD15" s="64">
        <v>0</v>
      </c>
      <c r="AE15" s="64">
        <v>0</v>
      </c>
      <c r="AF15" s="65">
        <v>0</v>
      </c>
      <c r="AG15" s="65">
        <v>1</v>
      </c>
      <c r="AH15" s="65">
        <v>0</v>
      </c>
      <c r="AI15" s="65">
        <v>1</v>
      </c>
      <c r="AJ15" s="65">
        <v>0</v>
      </c>
      <c r="AK15" s="65">
        <v>0</v>
      </c>
      <c r="AL15" s="75"/>
      <c r="AM15" s="75">
        <f t="shared" si="1"/>
        <v>0.18840579710144928</v>
      </c>
      <c r="AN15" s="75">
        <f t="shared" si="2"/>
        <v>1.625</v>
      </c>
      <c r="AO15" s="75">
        <f t="shared" si="3"/>
        <v>3.25</v>
      </c>
      <c r="AP15" s="75">
        <f t="shared" si="4"/>
        <v>0.31707317073170732</v>
      </c>
      <c r="AQ15" s="75">
        <f t="shared" si="5"/>
        <v>0.8125</v>
      </c>
      <c r="AR15" s="75">
        <f t="shared" si="6"/>
        <v>1.1538461538461537</v>
      </c>
      <c r="AS15" s="75">
        <f t="shared" si="7"/>
        <v>0.84615384615384615</v>
      </c>
      <c r="AT15" s="75">
        <f t="shared" si="8"/>
        <v>0.15384615384615385</v>
      </c>
      <c r="AU15" s="75">
        <f t="shared" si="9"/>
        <v>0.61538461538461542</v>
      </c>
      <c r="AV15" s="75">
        <f t="shared" si="10"/>
        <v>0.38461538461538464</v>
      </c>
      <c r="AW15" s="75">
        <f t="shared" si="11"/>
        <v>0.5</v>
      </c>
      <c r="AX15" s="76">
        <f t="shared" si="12"/>
        <v>0</v>
      </c>
      <c r="AY15" s="77">
        <f t="shared" si="13"/>
        <v>7.6923076923076927E-2</v>
      </c>
      <c r="AZ15" s="78">
        <f t="shared" si="14"/>
        <v>7.6923076923076927E-2</v>
      </c>
    </row>
    <row r="16" spans="1:52" ht="63" customHeight="1" x14ac:dyDescent="0.35">
      <c r="A16" s="70">
        <v>8</v>
      </c>
      <c r="B16" s="70" t="s">
        <v>49</v>
      </c>
      <c r="C16" s="70" t="s">
        <v>50</v>
      </c>
      <c r="D16" s="85" t="s">
        <v>93</v>
      </c>
      <c r="E16" s="84" t="s">
        <v>94</v>
      </c>
      <c r="F16" s="118" t="s">
        <v>133</v>
      </c>
      <c r="G16" s="64" t="s">
        <v>88</v>
      </c>
      <c r="H16" s="64">
        <f t="shared" si="0"/>
        <v>38</v>
      </c>
      <c r="I16" s="64">
        <v>210</v>
      </c>
      <c r="J16" s="64">
        <v>255</v>
      </c>
      <c r="K16" s="64">
        <v>210</v>
      </c>
      <c r="L16" s="73">
        <v>46092</v>
      </c>
      <c r="M16" s="74">
        <v>46106</v>
      </c>
      <c r="N16" s="73">
        <v>46092</v>
      </c>
      <c r="O16" s="74">
        <v>46105</v>
      </c>
      <c r="P16" s="73">
        <v>46093</v>
      </c>
      <c r="Q16" s="73">
        <v>46095</v>
      </c>
      <c r="R16" s="73">
        <v>46093</v>
      </c>
      <c r="S16" s="73">
        <v>46096</v>
      </c>
      <c r="T16" s="81">
        <v>46096</v>
      </c>
      <c r="U16" s="73">
        <v>46101</v>
      </c>
      <c r="V16" s="81">
        <v>46102</v>
      </c>
      <c r="W16" s="81">
        <v>23</v>
      </c>
      <c r="X16" s="64">
        <v>16</v>
      </c>
      <c r="Y16" s="64">
        <v>12</v>
      </c>
      <c r="Z16" s="64">
        <v>125</v>
      </c>
      <c r="AA16" s="64">
        <v>1</v>
      </c>
      <c r="AB16" s="64">
        <v>55</v>
      </c>
      <c r="AC16" s="64">
        <v>1</v>
      </c>
      <c r="AD16" s="64">
        <v>0</v>
      </c>
      <c r="AE16" s="64">
        <v>0</v>
      </c>
      <c r="AF16" s="65">
        <v>0</v>
      </c>
      <c r="AG16" s="65">
        <v>0</v>
      </c>
      <c r="AH16" s="65">
        <v>1</v>
      </c>
      <c r="AI16" s="65">
        <v>1</v>
      </c>
      <c r="AJ16" s="65">
        <v>0</v>
      </c>
      <c r="AK16" s="65">
        <v>0</v>
      </c>
      <c r="AL16" s="75"/>
      <c r="AM16" s="75">
        <f t="shared" si="1"/>
        <v>0.18095238095238095</v>
      </c>
      <c r="AN16" s="75">
        <f t="shared" si="2"/>
        <v>2.375</v>
      </c>
      <c r="AO16" s="75">
        <f t="shared" si="3"/>
        <v>3.1666666666666665</v>
      </c>
      <c r="AP16" s="75">
        <f t="shared" si="4"/>
        <v>0.30158730158730157</v>
      </c>
      <c r="AQ16" s="75">
        <f t="shared" si="5"/>
        <v>0.6785714285714286</v>
      </c>
      <c r="AR16" s="75">
        <f t="shared" si="6"/>
        <v>-1212.3684210526317</v>
      </c>
      <c r="AS16" s="75">
        <f t="shared" si="7"/>
        <v>5.2631578947368418E-2</v>
      </c>
      <c r="AT16" s="75">
        <f t="shared" si="8"/>
        <v>7.8947368421052627E-2</v>
      </c>
      <c r="AU16" s="75">
        <f t="shared" si="9"/>
        <v>0.13157894736842105</v>
      </c>
      <c r="AV16" s="75">
        <f t="shared" si="10"/>
        <v>-1212.6052631578948</v>
      </c>
      <c r="AW16" s="75">
        <f t="shared" si="11"/>
        <v>0.5</v>
      </c>
      <c r="AX16" s="76">
        <f t="shared" si="12"/>
        <v>2.6315789473684209E-2</v>
      </c>
      <c r="AY16" s="77">
        <f t="shared" si="13"/>
        <v>2.6315789473684209E-2</v>
      </c>
      <c r="AZ16" s="78">
        <f t="shared" si="14"/>
        <v>2.6315789473684209E-2</v>
      </c>
    </row>
    <row r="17" spans="1:52" ht="63" customHeight="1" x14ac:dyDescent="0.35">
      <c r="A17" s="129">
        <v>9</v>
      </c>
      <c r="B17" s="129" t="s">
        <v>49</v>
      </c>
      <c r="C17" s="129" t="s">
        <v>50</v>
      </c>
      <c r="D17" s="122" t="s">
        <v>95</v>
      </c>
      <c r="E17" s="83" t="s">
        <v>55</v>
      </c>
      <c r="F17" s="118" t="s">
        <v>119</v>
      </c>
      <c r="G17" s="64"/>
      <c r="H17" s="64">
        <f t="shared" si="0"/>
        <v>6</v>
      </c>
      <c r="I17" s="64">
        <v>30</v>
      </c>
      <c r="J17" s="64">
        <v>43</v>
      </c>
      <c r="K17" s="64">
        <v>30</v>
      </c>
      <c r="L17" s="73">
        <v>46087</v>
      </c>
      <c r="M17" s="74">
        <v>46093</v>
      </c>
      <c r="N17" s="73">
        <v>46087</v>
      </c>
      <c r="O17" s="74">
        <v>46092</v>
      </c>
      <c r="P17" s="73">
        <v>46087</v>
      </c>
      <c r="Q17" s="73">
        <v>46088</v>
      </c>
      <c r="R17" s="73">
        <v>46087</v>
      </c>
      <c r="S17" s="73">
        <v>46088</v>
      </c>
      <c r="T17" s="81">
        <v>46088</v>
      </c>
      <c r="U17" s="73">
        <v>46090</v>
      </c>
      <c r="V17" s="81">
        <v>46090</v>
      </c>
      <c r="W17" s="81">
        <v>46091</v>
      </c>
      <c r="X17" s="66">
        <v>2</v>
      </c>
      <c r="Y17" s="66">
        <v>2</v>
      </c>
      <c r="Z17" s="66">
        <v>16</v>
      </c>
      <c r="AA17" s="66">
        <v>2</v>
      </c>
      <c r="AB17" s="66">
        <v>4</v>
      </c>
      <c r="AC17" s="66">
        <v>2</v>
      </c>
      <c r="AD17" s="66">
        <v>1</v>
      </c>
      <c r="AE17" s="66">
        <v>1</v>
      </c>
      <c r="AF17" s="65">
        <v>1</v>
      </c>
      <c r="AG17" s="65">
        <v>1</v>
      </c>
      <c r="AH17" s="65">
        <v>1</v>
      </c>
      <c r="AI17" s="65">
        <v>1</v>
      </c>
      <c r="AJ17" s="65">
        <v>0</v>
      </c>
      <c r="AK17" s="65">
        <v>0</v>
      </c>
      <c r="AL17" s="75"/>
      <c r="AM17" s="75">
        <f t="shared" si="1"/>
        <v>0.2</v>
      </c>
      <c r="AN17" s="75">
        <f t="shared" si="2"/>
        <v>2</v>
      </c>
      <c r="AO17" s="75">
        <f t="shared" si="3"/>
        <v>2</v>
      </c>
      <c r="AP17" s="75">
        <f t="shared" si="4"/>
        <v>0.33333333333333331</v>
      </c>
      <c r="AQ17" s="75">
        <f t="shared" si="5"/>
        <v>1</v>
      </c>
      <c r="AR17" s="75">
        <f t="shared" si="6"/>
        <v>0.66666666666666663</v>
      </c>
      <c r="AS17" s="75">
        <f t="shared" si="7"/>
        <v>0.16666666666666666</v>
      </c>
      <c r="AT17" s="75">
        <f t="shared" si="8"/>
        <v>0.16666666666666666</v>
      </c>
      <c r="AU17" s="75">
        <f t="shared" si="9"/>
        <v>0.33333333333333331</v>
      </c>
      <c r="AV17" s="75">
        <f t="shared" si="10"/>
        <v>0.16666666666666666</v>
      </c>
      <c r="AW17" s="75">
        <f t="shared" si="11"/>
        <v>0.75</v>
      </c>
      <c r="AX17" s="76">
        <f t="shared" si="12"/>
        <v>0.16666666666666666</v>
      </c>
      <c r="AY17" s="77">
        <f t="shared" si="13"/>
        <v>0.5</v>
      </c>
      <c r="AZ17" s="78">
        <f t="shared" si="14"/>
        <v>0.16666666666666666</v>
      </c>
    </row>
    <row r="18" spans="1:52" ht="63" customHeight="1" x14ac:dyDescent="0.35">
      <c r="A18" s="129"/>
      <c r="B18" s="129"/>
      <c r="C18" s="129"/>
      <c r="D18" s="122"/>
      <c r="E18" s="83" t="s">
        <v>96</v>
      </c>
      <c r="F18" s="118" t="s">
        <v>134</v>
      </c>
      <c r="G18" s="64"/>
      <c r="H18" s="64">
        <f t="shared" si="0"/>
        <v>45</v>
      </c>
      <c r="I18" s="64">
        <v>250</v>
      </c>
      <c r="J18" s="64">
        <v>293</v>
      </c>
      <c r="K18" s="64">
        <v>250</v>
      </c>
      <c r="L18" s="73">
        <v>46038</v>
      </c>
      <c r="M18" s="74">
        <v>46079</v>
      </c>
      <c r="N18" s="73">
        <v>46038</v>
      </c>
      <c r="O18" s="74">
        <v>46078</v>
      </c>
      <c r="P18" s="73">
        <v>46038</v>
      </c>
      <c r="Q18" s="73">
        <v>46039</v>
      </c>
      <c r="R18" s="73">
        <v>46039</v>
      </c>
      <c r="S18" s="73">
        <v>46047</v>
      </c>
      <c r="T18" s="81">
        <v>46048</v>
      </c>
      <c r="U18" s="73">
        <v>46067</v>
      </c>
      <c r="V18" s="81">
        <v>46068</v>
      </c>
      <c r="W18" s="81">
        <v>46077</v>
      </c>
      <c r="X18" s="64">
        <v>15</v>
      </c>
      <c r="Y18" s="64">
        <v>15</v>
      </c>
      <c r="Z18" s="64">
        <v>134</v>
      </c>
      <c r="AA18" s="64">
        <v>3</v>
      </c>
      <c r="AB18" s="64">
        <v>76</v>
      </c>
      <c r="AC18" s="64">
        <v>3</v>
      </c>
      <c r="AD18" s="64">
        <v>2</v>
      </c>
      <c r="AE18" s="64">
        <v>2</v>
      </c>
      <c r="AF18" s="65">
        <v>1</v>
      </c>
      <c r="AG18" s="65">
        <v>2</v>
      </c>
      <c r="AH18" s="65">
        <v>2</v>
      </c>
      <c r="AI18" s="65">
        <v>2</v>
      </c>
      <c r="AJ18" s="65">
        <v>0</v>
      </c>
      <c r="AK18" s="65">
        <v>2</v>
      </c>
      <c r="AL18" s="75"/>
      <c r="AM18" s="75">
        <f t="shared" si="1"/>
        <v>0.18</v>
      </c>
      <c r="AN18" s="75">
        <f t="shared" si="2"/>
        <v>2.6470588235294117</v>
      </c>
      <c r="AO18" s="75">
        <f t="shared" si="3"/>
        <v>2.6470588235294117</v>
      </c>
      <c r="AP18" s="75">
        <f t="shared" si="4"/>
        <v>0.32846715328467152</v>
      </c>
      <c r="AQ18" s="75">
        <f t="shared" si="5"/>
        <v>0.569620253164557</v>
      </c>
      <c r="AR18" s="75">
        <f t="shared" si="6"/>
        <v>0.8666666666666667</v>
      </c>
      <c r="AS18" s="75">
        <f t="shared" si="7"/>
        <v>2.2222222222222223E-2</v>
      </c>
      <c r="AT18" s="75">
        <f t="shared" si="8"/>
        <v>0.17777777777777778</v>
      </c>
      <c r="AU18" s="75">
        <f t="shared" si="9"/>
        <v>0.42222222222222222</v>
      </c>
      <c r="AV18" s="75">
        <f t="shared" si="10"/>
        <v>0.2</v>
      </c>
      <c r="AW18" s="75">
        <f t="shared" si="11"/>
        <v>0.71428571428571419</v>
      </c>
      <c r="AX18" s="76">
        <f t="shared" si="12"/>
        <v>4.4444444444444446E-2</v>
      </c>
      <c r="AY18" s="77">
        <f t="shared" si="13"/>
        <v>0.1111111111111111</v>
      </c>
      <c r="AZ18" s="78">
        <f t="shared" si="14"/>
        <v>4.4444444444444446E-2</v>
      </c>
    </row>
    <row r="19" spans="1:52" ht="63" customHeight="1" x14ac:dyDescent="0.35">
      <c r="A19" s="70">
        <v>10</v>
      </c>
      <c r="B19" s="70" t="s">
        <v>49</v>
      </c>
      <c r="C19" s="70" t="s">
        <v>50</v>
      </c>
      <c r="D19" s="86" t="s">
        <v>52</v>
      </c>
      <c r="E19" s="83" t="s">
        <v>5</v>
      </c>
      <c r="F19" s="118" t="s">
        <v>135</v>
      </c>
      <c r="G19" s="64" t="s">
        <v>88</v>
      </c>
      <c r="H19" s="64">
        <f t="shared" si="0"/>
        <v>22</v>
      </c>
      <c r="I19" s="64">
        <v>123</v>
      </c>
      <c r="J19" s="64">
        <v>145</v>
      </c>
      <c r="K19" s="64">
        <v>123</v>
      </c>
      <c r="L19" s="73">
        <v>46042</v>
      </c>
      <c r="M19" s="74">
        <v>46057</v>
      </c>
      <c r="N19" s="73">
        <v>46042</v>
      </c>
      <c r="O19" s="74">
        <v>46056</v>
      </c>
      <c r="P19" s="73">
        <v>46042</v>
      </c>
      <c r="Q19" s="73">
        <v>46043</v>
      </c>
      <c r="R19" s="73">
        <v>46043</v>
      </c>
      <c r="S19" s="73">
        <v>46045</v>
      </c>
      <c r="T19" s="81">
        <v>46045</v>
      </c>
      <c r="U19" s="81">
        <v>46050</v>
      </c>
      <c r="V19" s="81">
        <v>46049</v>
      </c>
      <c r="W19" s="81">
        <v>46054</v>
      </c>
      <c r="X19" s="64">
        <v>8</v>
      </c>
      <c r="Y19" s="64">
        <v>6</v>
      </c>
      <c r="Z19" s="64">
        <v>68</v>
      </c>
      <c r="AA19" s="64">
        <v>1</v>
      </c>
      <c r="AB19" s="64">
        <v>39</v>
      </c>
      <c r="AC19" s="64">
        <v>1</v>
      </c>
      <c r="AD19" s="64">
        <v>0</v>
      </c>
      <c r="AE19" s="64">
        <v>0</v>
      </c>
      <c r="AF19" s="65">
        <v>0</v>
      </c>
      <c r="AG19" s="65">
        <v>0</v>
      </c>
      <c r="AH19" s="65">
        <v>1</v>
      </c>
      <c r="AI19" s="65">
        <v>1</v>
      </c>
      <c r="AJ19" s="65">
        <v>0</v>
      </c>
      <c r="AK19" s="65">
        <v>0</v>
      </c>
      <c r="AL19" s="75"/>
      <c r="AM19" s="75">
        <f t="shared" si="1"/>
        <v>0.17886178861788618</v>
      </c>
      <c r="AN19" s="75">
        <f t="shared" si="2"/>
        <v>2.75</v>
      </c>
      <c r="AO19" s="75">
        <f t="shared" si="3"/>
        <v>3.6666666666666665</v>
      </c>
      <c r="AP19" s="75">
        <f t="shared" si="4"/>
        <v>0.3188405797101449</v>
      </c>
      <c r="AQ19" s="75">
        <f t="shared" si="5"/>
        <v>0.55000000000000004</v>
      </c>
      <c r="AR19" s="75">
        <f t="shared" si="6"/>
        <v>0.54545454545454541</v>
      </c>
      <c r="AS19" s="75">
        <f t="shared" si="7"/>
        <v>4.5454545454545456E-2</v>
      </c>
      <c r="AT19" s="75">
        <f t="shared" si="8"/>
        <v>9.0909090909090912E-2</v>
      </c>
      <c r="AU19" s="75">
        <f>((U19-T19)/H19)</f>
        <v>0.22727272727272727</v>
      </c>
      <c r="AV19" s="75">
        <f t="shared" si="10"/>
        <v>0.22727272727272727</v>
      </c>
      <c r="AW19" s="75">
        <f t="shared" si="11"/>
        <v>0.5</v>
      </c>
      <c r="AX19" s="76">
        <f t="shared" si="12"/>
        <v>4.5454545454545456E-2</v>
      </c>
      <c r="AY19" s="77">
        <f t="shared" si="13"/>
        <v>4.5454545454545456E-2</v>
      </c>
      <c r="AZ19" s="78">
        <f t="shared" si="14"/>
        <v>4.5454545454545456E-2</v>
      </c>
    </row>
    <row r="20" spans="1:52" ht="63" customHeight="1" x14ac:dyDescent="0.35">
      <c r="A20" s="68">
        <v>11</v>
      </c>
      <c r="B20" s="68" t="s">
        <v>49</v>
      </c>
      <c r="C20" s="68" t="s">
        <v>50</v>
      </c>
      <c r="D20" s="120" t="s">
        <v>97</v>
      </c>
      <c r="E20" s="87" t="s">
        <v>98</v>
      </c>
      <c r="F20" s="118" t="s">
        <v>120</v>
      </c>
      <c r="G20" s="64" t="s">
        <v>88</v>
      </c>
      <c r="H20" s="64">
        <f t="shared" si="0"/>
        <v>46</v>
      </c>
      <c r="I20" s="64">
        <v>256</v>
      </c>
      <c r="J20" s="64">
        <v>320</v>
      </c>
      <c r="K20" s="64">
        <v>256</v>
      </c>
      <c r="L20" s="73">
        <v>46130</v>
      </c>
      <c r="M20" s="74">
        <v>46142</v>
      </c>
      <c r="N20" s="81">
        <v>46130</v>
      </c>
      <c r="O20" s="82">
        <v>46141</v>
      </c>
      <c r="P20" s="81">
        <v>46130</v>
      </c>
      <c r="Q20" s="81">
        <v>46131</v>
      </c>
      <c r="R20" s="81">
        <v>46131</v>
      </c>
      <c r="S20" s="73">
        <v>46133</v>
      </c>
      <c r="T20" s="73">
        <v>46137</v>
      </c>
      <c r="U20" s="73">
        <v>46137</v>
      </c>
      <c r="V20" s="81">
        <v>46140</v>
      </c>
      <c r="W20" s="81">
        <v>46140</v>
      </c>
      <c r="X20" s="64">
        <v>22</v>
      </c>
      <c r="Y20" s="64">
        <v>18</v>
      </c>
      <c r="Z20" s="64">
        <v>138</v>
      </c>
      <c r="AA20" s="64">
        <v>2</v>
      </c>
      <c r="AB20" s="64">
        <v>71</v>
      </c>
      <c r="AC20" s="64">
        <v>2</v>
      </c>
      <c r="AD20" s="64">
        <v>2</v>
      </c>
      <c r="AE20" s="64">
        <v>1</v>
      </c>
      <c r="AF20" s="65">
        <v>1</v>
      </c>
      <c r="AG20" s="65">
        <v>2</v>
      </c>
      <c r="AH20" s="65">
        <v>4</v>
      </c>
      <c r="AI20" s="65">
        <v>2</v>
      </c>
      <c r="AJ20" s="65">
        <v>1</v>
      </c>
      <c r="AK20" s="65">
        <v>1</v>
      </c>
      <c r="AL20" s="75"/>
      <c r="AM20" s="75">
        <f t="shared" si="1"/>
        <v>0.1796875</v>
      </c>
      <c r="AN20" s="75">
        <f t="shared" si="2"/>
        <v>1.9166666666666667</v>
      </c>
      <c r="AO20" s="75">
        <f t="shared" si="3"/>
        <v>2.4210526315789473</v>
      </c>
      <c r="AP20" s="75">
        <f t="shared" si="4"/>
        <v>0.32857142857142857</v>
      </c>
      <c r="AQ20" s="75">
        <f t="shared" si="5"/>
        <v>0.63013698630136983</v>
      </c>
      <c r="AR20" s="75">
        <f t="shared" si="6"/>
        <v>0.21739130434782608</v>
      </c>
      <c r="AS20" s="75">
        <f t="shared" si="7"/>
        <v>2.1739130434782608E-2</v>
      </c>
      <c r="AT20" s="75">
        <f t="shared" si="8"/>
        <v>4.3478260869565216E-2</v>
      </c>
      <c r="AU20" s="75">
        <f t="shared" si="9"/>
        <v>0</v>
      </c>
      <c r="AV20" s="75">
        <f t="shared" si="10"/>
        <v>0</v>
      </c>
      <c r="AW20" s="75">
        <f t="shared" si="11"/>
        <v>0.77777777777777779</v>
      </c>
      <c r="AX20" s="76">
        <f t="shared" si="12"/>
        <v>8.6956521739130432E-2</v>
      </c>
      <c r="AY20" s="77">
        <f t="shared" si="13"/>
        <v>0.15217391304347827</v>
      </c>
      <c r="AZ20" s="78">
        <f t="shared" si="14"/>
        <v>4.3478260869565216E-2</v>
      </c>
    </row>
    <row r="21" spans="1:52" ht="63" customHeight="1" x14ac:dyDescent="0.35">
      <c r="A21" s="64"/>
      <c r="B21" s="64"/>
      <c r="C21" s="64"/>
      <c r="D21" s="120"/>
      <c r="E21" s="87" t="s">
        <v>99</v>
      </c>
      <c r="F21" s="118" t="s">
        <v>136</v>
      </c>
      <c r="G21" s="64" t="s">
        <v>88</v>
      </c>
      <c r="H21" s="64">
        <f t="shared" si="0"/>
        <v>45</v>
      </c>
      <c r="I21" s="64">
        <v>249</v>
      </c>
      <c r="J21" s="64">
        <v>290</v>
      </c>
      <c r="K21" s="64">
        <v>249</v>
      </c>
      <c r="L21" s="73">
        <v>46094</v>
      </c>
      <c r="M21" s="74">
        <v>46113</v>
      </c>
      <c r="N21" s="81">
        <v>46094</v>
      </c>
      <c r="O21" s="82">
        <v>46112</v>
      </c>
      <c r="P21" s="81">
        <v>46094</v>
      </c>
      <c r="Q21" s="73">
        <v>46095</v>
      </c>
      <c r="R21" s="73">
        <v>46095</v>
      </c>
      <c r="S21" s="73">
        <v>46098</v>
      </c>
      <c r="T21" s="73">
        <v>46099</v>
      </c>
      <c r="U21" s="73">
        <v>46106</v>
      </c>
      <c r="V21" s="73">
        <v>46107</v>
      </c>
      <c r="W21" s="81">
        <v>46111</v>
      </c>
      <c r="X21" s="66">
        <v>22</v>
      </c>
      <c r="Y21" s="66">
        <v>15</v>
      </c>
      <c r="Z21" s="66">
        <v>138</v>
      </c>
      <c r="AA21" s="66">
        <v>2</v>
      </c>
      <c r="AB21" s="66">
        <v>68</v>
      </c>
      <c r="AC21" s="66">
        <v>2</v>
      </c>
      <c r="AD21" s="66">
        <v>1</v>
      </c>
      <c r="AE21" s="66">
        <v>1</v>
      </c>
      <c r="AF21" s="65">
        <v>1</v>
      </c>
      <c r="AG21" s="65">
        <v>1</v>
      </c>
      <c r="AH21" s="65">
        <v>4</v>
      </c>
      <c r="AI21" s="65">
        <v>2</v>
      </c>
      <c r="AJ21" s="65">
        <v>1</v>
      </c>
      <c r="AK21" s="65">
        <v>0</v>
      </c>
      <c r="AL21" s="75"/>
      <c r="AM21" s="75">
        <f t="shared" si="1"/>
        <v>0.18072289156626506</v>
      </c>
      <c r="AN21" s="75">
        <f t="shared" si="2"/>
        <v>1.9565217391304348</v>
      </c>
      <c r="AO21" s="75">
        <f t="shared" si="3"/>
        <v>2.8125</v>
      </c>
      <c r="AP21" s="75">
        <f t="shared" si="4"/>
        <v>0.32142857142857145</v>
      </c>
      <c r="AQ21" s="75">
        <f t="shared" si="5"/>
        <v>0.6428571428571429</v>
      </c>
      <c r="AR21" s="75">
        <f t="shared" si="6"/>
        <v>0.37777777777777777</v>
      </c>
      <c r="AS21" s="75">
        <f t="shared" si="7"/>
        <v>2.2222222222222223E-2</v>
      </c>
      <c r="AT21" s="75">
        <f t="shared" si="8"/>
        <v>6.6666666666666666E-2</v>
      </c>
      <c r="AU21" s="75">
        <f t="shared" si="9"/>
        <v>0.15555555555555556</v>
      </c>
      <c r="AV21" s="75">
        <f t="shared" si="10"/>
        <v>8.8888888888888892E-2</v>
      </c>
      <c r="AW21" s="75">
        <f t="shared" si="11"/>
        <v>0.75</v>
      </c>
      <c r="AX21" s="76">
        <f t="shared" si="12"/>
        <v>8.8888888888888892E-2</v>
      </c>
      <c r="AY21" s="77">
        <f t="shared" si="13"/>
        <v>0.13333333333333333</v>
      </c>
      <c r="AZ21" s="78">
        <f t="shared" si="14"/>
        <v>4.4444444444444446E-2</v>
      </c>
    </row>
    <row r="22" spans="1:52" ht="63" customHeight="1" x14ac:dyDescent="0.35">
      <c r="A22" s="64"/>
      <c r="B22" s="64"/>
      <c r="C22" s="64"/>
      <c r="D22" s="121"/>
      <c r="E22" s="87" t="s">
        <v>100</v>
      </c>
      <c r="F22" s="118" t="s">
        <v>121</v>
      </c>
      <c r="G22" s="64"/>
      <c r="H22" s="64">
        <f t="shared" si="0"/>
        <v>5</v>
      </c>
      <c r="I22" s="64">
        <v>26</v>
      </c>
      <c r="J22" s="64">
        <v>45</v>
      </c>
      <c r="K22" s="64">
        <v>26</v>
      </c>
      <c r="L22" s="73">
        <v>46087</v>
      </c>
      <c r="M22" s="74">
        <v>46091</v>
      </c>
      <c r="N22" s="81">
        <v>46087</v>
      </c>
      <c r="O22" s="82">
        <v>46090</v>
      </c>
      <c r="P22" s="81">
        <v>46087</v>
      </c>
      <c r="Q22" s="73">
        <v>46088</v>
      </c>
      <c r="R22" s="73">
        <v>46088</v>
      </c>
      <c r="S22" s="73">
        <v>46089</v>
      </c>
      <c r="T22" s="73">
        <v>46088</v>
      </c>
      <c r="U22" s="73">
        <v>46089</v>
      </c>
      <c r="V22" s="73">
        <v>46089</v>
      </c>
      <c r="W22" s="81">
        <v>46089</v>
      </c>
      <c r="X22" s="66">
        <v>3</v>
      </c>
      <c r="Y22" s="66">
        <v>1</v>
      </c>
      <c r="Z22" s="66">
        <v>14</v>
      </c>
      <c r="AA22" s="66">
        <v>1</v>
      </c>
      <c r="AB22" s="66">
        <v>7</v>
      </c>
      <c r="AC22" s="66">
        <v>0</v>
      </c>
      <c r="AD22" s="66">
        <v>0</v>
      </c>
      <c r="AE22" s="66">
        <v>0</v>
      </c>
      <c r="AF22" s="65">
        <v>0</v>
      </c>
      <c r="AG22" s="65">
        <v>0</v>
      </c>
      <c r="AH22" s="65">
        <v>1</v>
      </c>
      <c r="AI22" s="65">
        <v>0</v>
      </c>
      <c r="AJ22" s="65">
        <v>0</v>
      </c>
      <c r="AK22" s="65">
        <v>0</v>
      </c>
      <c r="AL22" s="75"/>
      <c r="AM22" s="75">
        <f t="shared" si="1"/>
        <v>0.19230769230769232</v>
      </c>
      <c r="AN22" s="75">
        <f t="shared" si="2"/>
        <v>1.6666666666666667</v>
      </c>
      <c r="AO22" s="75">
        <f t="shared" si="3"/>
        <v>5</v>
      </c>
      <c r="AP22" s="75">
        <f t="shared" si="4"/>
        <v>0.33333333333333331</v>
      </c>
      <c r="AQ22" s="75">
        <f t="shared" si="5"/>
        <v>0.7142857142857143</v>
      </c>
      <c r="AR22" s="75">
        <f t="shared" si="6"/>
        <v>0.4</v>
      </c>
      <c r="AS22" s="75">
        <f t="shared" si="7"/>
        <v>0.2</v>
      </c>
      <c r="AT22" s="75">
        <f t="shared" si="8"/>
        <v>0.2</v>
      </c>
      <c r="AU22" s="75">
        <f t="shared" si="9"/>
        <v>0.2</v>
      </c>
      <c r="AV22" s="75">
        <f t="shared" si="10"/>
        <v>0</v>
      </c>
      <c r="AW22" s="75">
        <f t="shared" si="11"/>
        <v>1</v>
      </c>
      <c r="AX22" s="76">
        <f t="shared" si="12"/>
        <v>0.2</v>
      </c>
      <c r="AY22" s="77">
        <f t="shared" si="13"/>
        <v>0.2</v>
      </c>
      <c r="AZ22" s="78">
        <f t="shared" si="14"/>
        <v>0</v>
      </c>
    </row>
    <row r="23" spans="1:52" ht="63" customHeight="1" x14ac:dyDescent="0.35">
      <c r="A23" s="64">
        <v>12</v>
      </c>
      <c r="B23" s="64" t="s">
        <v>49</v>
      </c>
      <c r="C23" s="64" t="s">
        <v>50</v>
      </c>
      <c r="D23" s="88" t="s">
        <v>53</v>
      </c>
      <c r="E23" s="72" t="s">
        <v>101</v>
      </c>
      <c r="F23" s="118" t="s">
        <v>122</v>
      </c>
      <c r="G23" s="64" t="s">
        <v>88</v>
      </c>
      <c r="H23" s="64">
        <f t="shared" si="0"/>
        <v>10</v>
      </c>
      <c r="I23" s="64">
        <v>54</v>
      </c>
      <c r="J23" s="64">
        <v>72</v>
      </c>
      <c r="K23" s="64">
        <v>54</v>
      </c>
      <c r="L23" s="73">
        <v>46154</v>
      </c>
      <c r="M23" s="74">
        <v>46157</v>
      </c>
      <c r="N23" s="73">
        <v>46154</v>
      </c>
      <c r="O23" s="82">
        <v>46157</v>
      </c>
      <c r="P23" s="73">
        <v>46154</v>
      </c>
      <c r="Q23" s="81">
        <v>46155</v>
      </c>
      <c r="R23" s="73">
        <v>46155</v>
      </c>
      <c r="S23" s="73">
        <v>46156</v>
      </c>
      <c r="T23" s="73">
        <v>46155</v>
      </c>
      <c r="U23" s="73">
        <v>46156</v>
      </c>
      <c r="V23" s="73">
        <v>46155</v>
      </c>
      <c r="W23" s="73">
        <v>46156</v>
      </c>
      <c r="X23" s="65">
        <v>2</v>
      </c>
      <c r="Y23" s="64">
        <v>2</v>
      </c>
      <c r="Z23" s="64">
        <v>32</v>
      </c>
      <c r="AA23" s="64">
        <v>1</v>
      </c>
      <c r="AB23" s="64">
        <v>16</v>
      </c>
      <c r="AC23" s="64">
        <v>1</v>
      </c>
      <c r="AD23" s="64">
        <v>0</v>
      </c>
      <c r="AE23" s="64">
        <v>0</v>
      </c>
      <c r="AF23" s="64">
        <v>0</v>
      </c>
      <c r="AG23" s="64">
        <v>0</v>
      </c>
      <c r="AH23" s="64">
        <v>2</v>
      </c>
      <c r="AI23" s="64">
        <v>1</v>
      </c>
      <c r="AJ23" s="64">
        <v>0</v>
      </c>
      <c r="AK23" s="64">
        <v>0</v>
      </c>
      <c r="AL23" s="77"/>
      <c r="AM23" s="75">
        <f t="shared" si="1"/>
        <v>0.18518518518518517</v>
      </c>
      <c r="AN23" s="75">
        <f t="shared" si="2"/>
        <v>5</v>
      </c>
      <c r="AO23" s="75">
        <f t="shared" si="3"/>
        <v>5</v>
      </c>
      <c r="AP23" s="75">
        <f t="shared" si="4"/>
        <v>0.30303030303030304</v>
      </c>
      <c r="AQ23" s="75">
        <f t="shared" si="5"/>
        <v>0.58823529411764708</v>
      </c>
      <c r="AR23" s="75">
        <f t="shared" si="6"/>
        <v>0.2</v>
      </c>
      <c r="AS23" s="75">
        <f t="shared" si="7"/>
        <v>0.1</v>
      </c>
      <c r="AT23" s="75">
        <f t="shared" si="8"/>
        <v>0.1</v>
      </c>
      <c r="AU23" s="75">
        <f t="shared" si="9"/>
        <v>0.1</v>
      </c>
      <c r="AV23" s="75">
        <f t="shared" si="10"/>
        <v>0.1</v>
      </c>
      <c r="AW23" s="75">
        <f t="shared" si="11"/>
        <v>0.66666666666666663</v>
      </c>
      <c r="AX23" s="76">
        <f t="shared" si="12"/>
        <v>0.2</v>
      </c>
      <c r="AY23" s="77">
        <f t="shared" si="13"/>
        <v>0.2</v>
      </c>
      <c r="AZ23" s="78">
        <f t="shared" si="14"/>
        <v>0.1</v>
      </c>
    </row>
    <row r="24" spans="1:52" ht="63" customHeight="1" x14ac:dyDescent="0.35">
      <c r="A24" s="64">
        <v>13</v>
      </c>
      <c r="B24" s="64" t="s">
        <v>49</v>
      </c>
      <c r="C24" s="64" t="s">
        <v>50</v>
      </c>
      <c r="D24" s="88" t="s">
        <v>102</v>
      </c>
      <c r="E24" s="72" t="s">
        <v>103</v>
      </c>
      <c r="F24" s="118" t="s">
        <v>123</v>
      </c>
      <c r="G24" s="64"/>
      <c r="H24" s="64">
        <f t="shared" si="0"/>
        <v>11</v>
      </c>
      <c r="I24" s="64">
        <v>61</v>
      </c>
      <c r="J24" s="64">
        <v>91</v>
      </c>
      <c r="K24" s="64">
        <v>61</v>
      </c>
      <c r="L24" s="73">
        <v>46154</v>
      </c>
      <c r="M24" s="74">
        <v>46164</v>
      </c>
      <c r="N24" s="73">
        <v>46154</v>
      </c>
      <c r="O24" s="74">
        <v>46163</v>
      </c>
      <c r="P24" s="73">
        <v>46154</v>
      </c>
      <c r="Q24" s="73">
        <v>46155</v>
      </c>
      <c r="R24" s="73">
        <v>46155</v>
      </c>
      <c r="S24" s="73">
        <v>46156</v>
      </c>
      <c r="T24" s="81">
        <v>46156</v>
      </c>
      <c r="U24" s="73">
        <v>46159</v>
      </c>
      <c r="V24" s="81">
        <v>46160</v>
      </c>
      <c r="W24" s="81">
        <v>46162</v>
      </c>
      <c r="X24" s="64">
        <v>4</v>
      </c>
      <c r="Y24" s="64">
        <v>1</v>
      </c>
      <c r="Z24" s="64">
        <v>41</v>
      </c>
      <c r="AA24" s="64">
        <v>0</v>
      </c>
      <c r="AB24" s="64">
        <v>15</v>
      </c>
      <c r="AC24" s="64">
        <v>0</v>
      </c>
      <c r="AD24" s="64">
        <v>0</v>
      </c>
      <c r="AE24" s="64">
        <v>0</v>
      </c>
      <c r="AF24" s="64">
        <v>0</v>
      </c>
      <c r="AG24" s="64">
        <v>0</v>
      </c>
      <c r="AH24" s="64">
        <v>1</v>
      </c>
      <c r="AI24" s="64">
        <v>0</v>
      </c>
      <c r="AJ24" s="64">
        <v>0</v>
      </c>
      <c r="AK24" s="64">
        <v>0</v>
      </c>
      <c r="AL24" s="77"/>
      <c r="AM24" s="75">
        <f t="shared" si="1"/>
        <v>0.18032786885245902</v>
      </c>
      <c r="AN24" s="75">
        <f t="shared" si="2"/>
        <v>2.75</v>
      </c>
      <c r="AO24" s="75">
        <f t="shared" si="3"/>
        <v>11</v>
      </c>
      <c r="AP24" s="75">
        <f t="shared" si="4"/>
        <v>0.26829268292682928</v>
      </c>
      <c r="AQ24" s="75">
        <f t="shared" si="5"/>
        <v>0.73333333333333328</v>
      </c>
      <c r="AR24" s="75">
        <f t="shared" si="6"/>
        <v>0.72727272727272729</v>
      </c>
      <c r="AS24" s="75">
        <f t="shared" si="7"/>
        <v>9.0909090909090912E-2</v>
      </c>
      <c r="AT24" s="75">
        <f t="shared" si="8"/>
        <v>9.0909090909090912E-2</v>
      </c>
      <c r="AU24" s="75">
        <f t="shared" si="9"/>
        <v>0.27272727272727271</v>
      </c>
      <c r="AV24" s="75">
        <f t="shared" si="10"/>
        <v>0.18181818181818182</v>
      </c>
      <c r="AW24" s="75">
        <f t="shared" si="11"/>
        <v>1</v>
      </c>
      <c r="AX24" s="76">
        <f t="shared" si="12"/>
        <v>9.0909090909090912E-2</v>
      </c>
      <c r="AY24" s="77">
        <f t="shared" si="13"/>
        <v>9.0909090909090912E-2</v>
      </c>
      <c r="AZ24" s="78">
        <f t="shared" si="14"/>
        <v>0</v>
      </c>
    </row>
    <row r="25" spans="1:52" ht="63" customHeight="1" x14ac:dyDescent="0.35">
      <c r="H25" s="69"/>
      <c r="AM25" s="75"/>
    </row>
    <row r="26" spans="1:52" ht="63" customHeight="1" x14ac:dyDescent="0.35">
      <c r="H26" s="69"/>
      <c r="AM26" s="75"/>
    </row>
    <row r="27" spans="1:52" ht="63" customHeight="1" x14ac:dyDescent="0.35">
      <c r="H27" s="69"/>
      <c r="AM27" s="75"/>
    </row>
    <row r="28" spans="1:52" ht="63" customHeight="1" x14ac:dyDescent="0.35">
      <c r="A28" s="64">
        <v>4</v>
      </c>
      <c r="B28" s="64" t="s">
        <v>49</v>
      </c>
      <c r="C28" s="64" t="s">
        <v>50</v>
      </c>
      <c r="D28" s="90" t="s">
        <v>86</v>
      </c>
      <c r="E28" s="79" t="s">
        <v>112</v>
      </c>
      <c r="F28" s="118" t="s">
        <v>113</v>
      </c>
      <c r="G28" s="64"/>
      <c r="H28" s="68">
        <f>ROUNDUP(I28/5.6,0)</f>
        <v>44</v>
      </c>
      <c r="I28" s="64">
        <v>241</v>
      </c>
      <c r="J28" s="64"/>
      <c r="K28" s="64"/>
      <c r="L28" s="73"/>
      <c r="M28" s="74"/>
      <c r="N28" s="73"/>
      <c r="O28" s="74"/>
      <c r="P28" s="73"/>
      <c r="Q28" s="73"/>
      <c r="R28" s="73"/>
      <c r="S28" s="73"/>
      <c r="T28" s="81"/>
      <c r="U28" s="73"/>
      <c r="V28" s="81"/>
      <c r="W28" s="81"/>
      <c r="X28" s="64"/>
      <c r="Y28" s="64"/>
      <c r="Z28" s="64"/>
      <c r="AA28" s="64"/>
      <c r="AB28" s="64"/>
      <c r="AC28" s="64"/>
      <c r="AD28" s="64"/>
      <c r="AE28" s="64"/>
      <c r="AF28" s="64"/>
      <c r="AG28" s="64"/>
      <c r="AH28" s="64"/>
      <c r="AI28" s="64"/>
      <c r="AJ28" s="64"/>
      <c r="AK28" s="64"/>
      <c r="AL28" s="77"/>
      <c r="AM28" s="75">
        <f t="shared" si="1"/>
        <v>0.18257261410788381</v>
      </c>
      <c r="AN28" s="77"/>
      <c r="AO28" s="77"/>
      <c r="AP28" s="77"/>
      <c r="AQ28" s="77"/>
      <c r="AR28" s="77"/>
      <c r="AS28" s="77"/>
      <c r="AT28" s="77"/>
      <c r="AU28" s="77"/>
      <c r="AV28" s="77"/>
      <c r="AW28" s="77"/>
      <c r="AX28" s="89"/>
      <c r="AY28" s="77"/>
      <c r="AZ28" s="78"/>
    </row>
    <row r="29" spans="1:52" ht="63" customHeight="1" x14ac:dyDescent="0.35">
      <c r="A29" s="64"/>
      <c r="B29" s="64"/>
      <c r="C29" s="64"/>
      <c r="D29" s="90"/>
      <c r="E29" s="79" t="s">
        <v>114</v>
      </c>
      <c r="F29" s="118" t="s">
        <v>117</v>
      </c>
      <c r="G29" s="64"/>
      <c r="H29" s="111">
        <f t="shared" ref="H29:H30" si="15">ROUNDUP(I29/5.6,0)</f>
        <v>33</v>
      </c>
      <c r="I29" s="64">
        <v>182</v>
      </c>
      <c r="J29" s="64"/>
      <c r="K29" s="64"/>
      <c r="L29" s="73"/>
      <c r="M29" s="74"/>
      <c r="N29" s="73"/>
      <c r="O29" s="74"/>
      <c r="P29" s="73"/>
      <c r="Q29" s="73"/>
      <c r="R29" s="73"/>
      <c r="S29" s="73"/>
      <c r="T29" s="81"/>
      <c r="U29" s="73"/>
      <c r="V29" s="81"/>
      <c r="W29" s="81"/>
      <c r="X29" s="64"/>
      <c r="Y29" s="64"/>
      <c r="Z29" s="64"/>
      <c r="AA29" s="64"/>
      <c r="AB29" s="64"/>
      <c r="AC29" s="64"/>
      <c r="AD29" s="64"/>
      <c r="AE29" s="64"/>
      <c r="AF29" s="64"/>
      <c r="AG29" s="64"/>
      <c r="AH29" s="64"/>
      <c r="AI29" s="64"/>
      <c r="AJ29" s="64"/>
      <c r="AK29" s="64"/>
      <c r="AL29" s="77"/>
      <c r="AM29" s="75">
        <f t="shared" si="1"/>
        <v>0.18131868131868131</v>
      </c>
      <c r="AN29" s="77"/>
      <c r="AO29" s="77"/>
      <c r="AP29" s="77"/>
      <c r="AQ29" s="77"/>
      <c r="AR29" s="77"/>
      <c r="AS29" s="77"/>
      <c r="AT29" s="77"/>
      <c r="AU29" s="77"/>
      <c r="AV29" s="77"/>
      <c r="AW29" s="77"/>
      <c r="AX29" s="89"/>
      <c r="AY29" s="77"/>
      <c r="AZ29" s="78"/>
    </row>
    <row r="30" spans="1:52" ht="63" customHeight="1" x14ac:dyDescent="0.35">
      <c r="A30" s="64"/>
      <c r="B30" s="64"/>
      <c r="C30" s="64"/>
      <c r="D30" s="90"/>
      <c r="E30" s="79" t="s">
        <v>115</v>
      </c>
      <c r="F30" s="118" t="s">
        <v>116</v>
      </c>
      <c r="G30" s="64"/>
      <c r="H30" s="111">
        <f t="shared" si="15"/>
        <v>20</v>
      </c>
      <c r="I30" s="64">
        <v>108</v>
      </c>
      <c r="J30" s="64"/>
      <c r="K30" s="64"/>
      <c r="L30" s="73"/>
      <c r="M30" s="74"/>
      <c r="N30" s="73"/>
      <c r="O30" s="74"/>
      <c r="P30" s="73"/>
      <c r="Q30" s="73"/>
      <c r="R30" s="73"/>
      <c r="S30" s="73"/>
      <c r="T30" s="81"/>
      <c r="U30" s="73"/>
      <c r="V30" s="81"/>
      <c r="W30" s="81"/>
      <c r="X30" s="64"/>
      <c r="Y30" s="64"/>
      <c r="Z30" s="64"/>
      <c r="AA30" s="64"/>
      <c r="AB30" s="64"/>
      <c r="AC30" s="64"/>
      <c r="AD30" s="64"/>
      <c r="AE30" s="64"/>
      <c r="AF30" s="64"/>
      <c r="AG30" s="64"/>
      <c r="AH30" s="64"/>
      <c r="AI30" s="64"/>
      <c r="AJ30" s="64"/>
      <c r="AK30" s="64"/>
      <c r="AL30" s="77"/>
      <c r="AM30" s="75">
        <f t="shared" si="1"/>
        <v>0.18518518518518517</v>
      </c>
      <c r="AN30" s="77"/>
      <c r="AO30" s="77"/>
      <c r="AP30" s="77"/>
      <c r="AQ30" s="77"/>
      <c r="AR30" s="77"/>
      <c r="AS30" s="77"/>
      <c r="AT30" s="77"/>
      <c r="AU30" s="77"/>
      <c r="AV30" s="77"/>
      <c r="AW30" s="77"/>
      <c r="AX30" s="89"/>
      <c r="AY30" s="77"/>
      <c r="AZ30" s="78"/>
    </row>
  </sheetData>
  <mergeCells count="10">
    <mergeCell ref="A17:A18"/>
    <mergeCell ref="B17:B18"/>
    <mergeCell ref="C17:C18"/>
    <mergeCell ref="D2:D3"/>
    <mergeCell ref="D20:D22"/>
    <mergeCell ref="D17:D18"/>
    <mergeCell ref="D14:D15"/>
    <mergeCell ref="D7:D10"/>
    <mergeCell ref="D5:D6"/>
    <mergeCell ref="D11:D13"/>
  </mergeCells>
  <pageMargins left="0.7" right="0.7" top="0.75" bottom="0.75" header="0.3" footer="0.3"/>
  <pageSetup orientation="portrait" r:id="rId1"/>
  <ignoredErrors>
    <ignoredError sqref="AU19 AW3"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C1" sqref="C1:C1048576"/>
    </sheetView>
  </sheetViews>
  <sheetFormatPr defaultRowHeight="14.5" x14ac:dyDescent="0.35"/>
  <sheetData>
    <row r="1" spans="1:3" x14ac:dyDescent="0.35">
      <c r="A1" t="s">
        <v>36</v>
      </c>
      <c r="B1" t="s">
        <v>40</v>
      </c>
      <c r="C1" t="s">
        <v>41</v>
      </c>
    </row>
    <row r="2" spans="1:3" x14ac:dyDescent="0.35">
      <c r="A2" s="130">
        <v>0.18333333333333332</v>
      </c>
      <c r="B2" s="130">
        <v>0.33333333333333331</v>
      </c>
      <c r="C2" s="130">
        <v>0.62857142857142856</v>
      </c>
    </row>
    <row r="3" spans="1:3" x14ac:dyDescent="0.35">
      <c r="A3" s="130">
        <v>0.19047619047619047</v>
      </c>
      <c r="B3" s="130">
        <v>0.33333333333333331</v>
      </c>
      <c r="C3" s="130">
        <v>1</v>
      </c>
    </row>
    <row r="4" spans="1:3" x14ac:dyDescent="0.35">
      <c r="A4" s="130">
        <v>0.2</v>
      </c>
      <c r="B4" s="130">
        <v>0.32142857142857145</v>
      </c>
      <c r="C4" s="130">
        <v>1</v>
      </c>
    </row>
    <row r="5" spans="1:3" x14ac:dyDescent="0.35">
      <c r="A5" s="130">
        <v>0.17948717948717949</v>
      </c>
      <c r="B5" s="130">
        <v>0.31818181818181818</v>
      </c>
      <c r="C5" s="130">
        <v>0.63636363636363635</v>
      </c>
    </row>
    <row r="6" spans="1:3" x14ac:dyDescent="0.35">
      <c r="A6" s="130">
        <v>0.18367346938775511</v>
      </c>
      <c r="B6" s="130">
        <v>0.33333333333333331</v>
      </c>
      <c r="C6" s="130">
        <v>0.6428571428571429</v>
      </c>
    </row>
    <row r="7" spans="1:3" x14ac:dyDescent="0.35">
      <c r="A7" s="130">
        <v>0.1875</v>
      </c>
      <c r="B7" s="130">
        <v>0.32432432432432434</v>
      </c>
      <c r="C7" s="130">
        <v>0.8571428571428571</v>
      </c>
    </row>
    <row r="8" spans="1:3" x14ac:dyDescent="0.35">
      <c r="A8" s="130">
        <v>0.18235294117647058</v>
      </c>
      <c r="B8" s="130">
        <v>0.30693069306930693</v>
      </c>
      <c r="C8" s="130">
        <v>0.73809523809523814</v>
      </c>
    </row>
    <row r="9" spans="1:3" x14ac:dyDescent="0.35">
      <c r="A9" s="130">
        <v>0.17948717948717949</v>
      </c>
      <c r="B9" s="130">
        <v>0.35</v>
      </c>
      <c r="C9" s="130">
        <v>0.53846153846153844</v>
      </c>
    </row>
    <row r="10" spans="1:3" x14ac:dyDescent="0.35">
      <c r="A10" s="130">
        <v>0.17910447761194029</v>
      </c>
      <c r="B10" s="130">
        <v>0.34285714285714286</v>
      </c>
      <c r="C10" s="130">
        <v>0.5714285714285714</v>
      </c>
    </row>
    <row r="11" spans="1:3" x14ac:dyDescent="0.35">
      <c r="A11" s="130">
        <v>0.18681318681318682</v>
      </c>
      <c r="B11" s="130">
        <v>0.30909090909090908</v>
      </c>
      <c r="C11" s="130">
        <v>0.65384615384615385</v>
      </c>
    </row>
    <row r="12" spans="1:3" x14ac:dyDescent="0.35">
      <c r="A12" s="130">
        <v>0.18404907975460122</v>
      </c>
      <c r="B12" s="130">
        <v>0.30612244897959184</v>
      </c>
      <c r="C12" s="130">
        <v>0.78947368421052633</v>
      </c>
    </row>
    <row r="13" spans="1:3" x14ac:dyDescent="0.35">
      <c r="A13" s="130">
        <v>0.18220338983050846</v>
      </c>
      <c r="B13" s="130">
        <v>0.32089552238805968</v>
      </c>
      <c r="C13" s="130">
        <v>0.59722222222222221</v>
      </c>
    </row>
    <row r="14" spans="1:3" x14ac:dyDescent="0.35">
      <c r="A14" s="130">
        <v>0.17905405405405406</v>
      </c>
      <c r="B14" s="130">
        <v>0.31176470588235294</v>
      </c>
      <c r="C14" s="130">
        <v>0.63855421686746983</v>
      </c>
    </row>
    <row r="15" spans="1:3" x14ac:dyDescent="0.35">
      <c r="A15" s="130">
        <v>0.18840579710144928</v>
      </c>
      <c r="B15" s="130">
        <v>0.31707317073170732</v>
      </c>
      <c r="C15" s="130">
        <v>0.8125</v>
      </c>
    </row>
    <row r="16" spans="1:3" x14ac:dyDescent="0.35">
      <c r="A16" s="130">
        <v>0.18095238095238095</v>
      </c>
      <c r="B16" s="130">
        <v>0.30158730158730157</v>
      </c>
      <c r="C16" s="130">
        <v>0.6785714285714286</v>
      </c>
    </row>
    <row r="17" spans="1:3" x14ac:dyDescent="0.35">
      <c r="A17" s="130">
        <v>0.2</v>
      </c>
      <c r="B17" s="130">
        <v>0.33300000000000002</v>
      </c>
      <c r="C17" s="130">
        <v>0.75</v>
      </c>
    </row>
    <row r="18" spans="1:3" x14ac:dyDescent="0.35">
      <c r="A18" s="130">
        <v>0.18</v>
      </c>
      <c r="B18" s="130">
        <v>0.32846715328467152</v>
      </c>
      <c r="C18" s="130">
        <v>0.569620253164557</v>
      </c>
    </row>
    <row r="19" spans="1:3" x14ac:dyDescent="0.35">
      <c r="A19" s="130">
        <v>0.17886178861788618</v>
      </c>
      <c r="B19" s="130">
        <v>0.3188405797101449</v>
      </c>
      <c r="C19" s="130">
        <v>0.55000000000000004</v>
      </c>
    </row>
    <row r="20" spans="1:3" x14ac:dyDescent="0.35">
      <c r="A20" s="130">
        <v>0.1796875</v>
      </c>
      <c r="B20" s="130">
        <v>0.32857142857142857</v>
      </c>
      <c r="C20" s="130">
        <v>0.63013698630136983</v>
      </c>
    </row>
    <row r="21" spans="1:3" x14ac:dyDescent="0.35">
      <c r="A21" s="130">
        <v>0.18072289156626506</v>
      </c>
      <c r="B21" s="130">
        <v>0.32142857142857145</v>
      </c>
      <c r="C21" s="130">
        <v>0.6428571428571429</v>
      </c>
    </row>
    <row r="22" spans="1:3" x14ac:dyDescent="0.35">
      <c r="A22" s="130">
        <v>0.19230769230769232</v>
      </c>
      <c r="B22" s="130">
        <v>0.33333333333333331</v>
      </c>
      <c r="C22" s="130">
        <v>0.7142857142857143</v>
      </c>
    </row>
    <row r="23" spans="1:3" x14ac:dyDescent="0.35">
      <c r="A23" s="130">
        <v>0.18518518518518517</v>
      </c>
      <c r="B23" s="130">
        <v>0.30299999999999999</v>
      </c>
      <c r="C23" s="130">
        <v>0.66666666666666663</v>
      </c>
    </row>
    <row r="24" spans="1:3" x14ac:dyDescent="0.35">
      <c r="A24" s="130">
        <v>0.18032786885245902</v>
      </c>
      <c r="B24" s="130">
        <v>0.26829268292682928</v>
      </c>
      <c r="C24" s="130">
        <v>0.73333333333333328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
  <sheetViews>
    <sheetView zoomScale="70" zoomScaleNormal="70" workbookViewId="0">
      <selection activeCell="C1" sqref="C1:C1048576"/>
    </sheetView>
  </sheetViews>
  <sheetFormatPr defaultRowHeight="14.5" x14ac:dyDescent="0.35"/>
  <cols>
    <col min="1" max="3" width="12.81640625" customWidth="1"/>
  </cols>
  <sheetData>
    <row r="1" spans="1:3" ht="15.5" x14ac:dyDescent="0.35">
      <c r="A1" s="3" t="s">
        <v>36</v>
      </c>
      <c r="B1" s="4" t="s">
        <v>40</v>
      </c>
      <c r="C1" s="4" t="s">
        <v>41</v>
      </c>
    </row>
    <row r="2" spans="1:3" x14ac:dyDescent="0.35">
      <c r="A2" s="6">
        <v>0.17391304347826086</v>
      </c>
      <c r="B2" s="6">
        <v>0.27272727272727271</v>
      </c>
      <c r="C2" s="6">
        <v>0.63157894736842102</v>
      </c>
    </row>
    <row r="3" spans="1:3" x14ac:dyDescent="0.35">
      <c r="A3" s="6">
        <v>0.16167664670658682</v>
      </c>
      <c r="B3" s="6">
        <v>0.25233644859813081</v>
      </c>
      <c r="C3" s="6">
        <v>0.67500000000000004</v>
      </c>
    </row>
    <row r="4" spans="1:3" x14ac:dyDescent="0.35">
      <c r="A4" s="6">
        <v>0.16107382550335569</v>
      </c>
      <c r="B4" s="6">
        <v>0.23762376237623761</v>
      </c>
      <c r="C4" s="6">
        <v>0.72727272727272729</v>
      </c>
    </row>
    <row r="5" spans="1:3" x14ac:dyDescent="0.35">
      <c r="A5" s="6">
        <v>0.17647058823529413</v>
      </c>
      <c r="B5" s="6">
        <v>0.2608695652173913</v>
      </c>
      <c r="C5" s="6">
        <v>0.8571428571428571</v>
      </c>
    </row>
    <row r="6" spans="1:3" x14ac:dyDescent="0.35">
      <c r="A6" s="6">
        <v>0.16176470588235295</v>
      </c>
      <c r="B6" s="6">
        <v>0.22602739726027396</v>
      </c>
      <c r="C6" s="6">
        <v>0.84615384615384615</v>
      </c>
    </row>
    <row r="7" spans="1:3" x14ac:dyDescent="0.35">
      <c r="A7" s="6">
        <v>0.18181818181818182</v>
      </c>
      <c r="B7" s="6">
        <v>0.27586206896551724</v>
      </c>
      <c r="C7" s="6">
        <v>1</v>
      </c>
    </row>
    <row r="8" spans="1:3" x14ac:dyDescent="0.35">
      <c r="A8" s="6">
        <v>0.16296296296296298</v>
      </c>
      <c r="B8" s="6">
        <v>0.25882352941176473</v>
      </c>
      <c r="C8" s="6">
        <v>0.6470588235294118</v>
      </c>
    </row>
    <row r="9" spans="1:3" x14ac:dyDescent="0.35">
      <c r="A9" s="6">
        <v>0.16666666666666666</v>
      </c>
      <c r="B9" s="6">
        <v>0.25490196078431371</v>
      </c>
      <c r="C9" s="6">
        <v>0.61904761904761907</v>
      </c>
    </row>
    <row r="10" spans="1:3" x14ac:dyDescent="0.35">
      <c r="A10" s="6">
        <v>0.16417910447761194</v>
      </c>
      <c r="B10" s="6">
        <v>0.2558139534883721</v>
      </c>
      <c r="C10" s="6">
        <v>0.61111111111111116</v>
      </c>
    </row>
    <row r="11" spans="1:3" x14ac:dyDescent="0.35">
      <c r="A11" s="6">
        <v>0.16279069767441862</v>
      </c>
      <c r="B11" s="6">
        <v>0.25</v>
      </c>
      <c r="C11" s="6">
        <v>0.875</v>
      </c>
    </row>
    <row r="12" spans="1:3" x14ac:dyDescent="0.35">
      <c r="A12" s="6">
        <v>0.16260162601626016</v>
      </c>
      <c r="B12" s="6">
        <v>0.25316455696202533</v>
      </c>
      <c r="C12" s="6">
        <v>0.625</v>
      </c>
    </row>
    <row r="13" spans="1:3" x14ac:dyDescent="0.35">
      <c r="A13" s="6">
        <v>0.16355140186915887</v>
      </c>
      <c r="B13" s="6">
        <v>0.22727272727272727</v>
      </c>
      <c r="C13" s="6">
        <v>0.85365853658536583</v>
      </c>
    </row>
    <row r="14" spans="1:3" x14ac:dyDescent="0.35">
      <c r="A14" s="6">
        <v>0.17391304347826086</v>
      </c>
      <c r="B14" s="6">
        <v>0.33333333333333331</v>
      </c>
      <c r="C14" s="6">
        <v>0.5714285714285714</v>
      </c>
    </row>
    <row r="15" spans="1:3" x14ac:dyDescent="0.35">
      <c r="A15" s="6">
        <v>0.17391304347826086</v>
      </c>
      <c r="B15" s="6">
        <v>0.26666666666666666</v>
      </c>
      <c r="C15" s="6">
        <v>0.88888888888888884</v>
      </c>
    </row>
    <row r="16" spans="1:3" x14ac:dyDescent="0.35">
      <c r="A16" s="6">
        <v>0.16393442622950818</v>
      </c>
      <c r="B16" s="6">
        <v>0.25641025641025639</v>
      </c>
      <c r="C16" s="6">
        <v>0.625</v>
      </c>
    </row>
    <row r="17" spans="1:13" x14ac:dyDescent="0.35">
      <c r="A17" s="6">
        <v>0.16107382550335569</v>
      </c>
      <c r="B17" s="6">
        <v>0.24242424242424243</v>
      </c>
      <c r="C17" s="6">
        <v>0.72727272727272729</v>
      </c>
    </row>
    <row r="18" spans="1:13" x14ac:dyDescent="0.35">
      <c r="A18" s="6">
        <v>0.16666666666666666</v>
      </c>
      <c r="B18" s="6">
        <v>0.27586206896551724</v>
      </c>
      <c r="C18" s="6">
        <v>0.61538461538461542</v>
      </c>
    </row>
    <row r="19" spans="1:13" x14ac:dyDescent="0.35">
      <c r="A19" s="6">
        <v>0.16176470588235295</v>
      </c>
      <c r="B19" s="6">
        <v>0.25</v>
      </c>
      <c r="C19" s="6">
        <v>0.61111111111111116</v>
      </c>
    </row>
    <row r="20" spans="1:13" x14ac:dyDescent="0.35">
      <c r="A20" s="6">
        <v>0.17647058823529413</v>
      </c>
      <c r="B20" s="6">
        <v>0.28125</v>
      </c>
      <c r="C20" s="6">
        <v>0.6</v>
      </c>
    </row>
    <row r="27" spans="1:13" x14ac:dyDescent="0.35">
      <c r="K27" t="s">
        <v>77</v>
      </c>
    </row>
    <row r="28" spans="1:13" x14ac:dyDescent="0.35">
      <c r="K28" t="s">
        <v>36</v>
      </c>
      <c r="L28" t="s">
        <v>78</v>
      </c>
      <c r="M28" s="20" t="s">
        <v>79</v>
      </c>
    </row>
    <row r="33" spans="13:19" x14ac:dyDescent="0.35">
      <c r="M33" s="8" t="s">
        <v>58</v>
      </c>
      <c r="N33" s="9" t="s">
        <v>36</v>
      </c>
      <c r="O33" s="9" t="s">
        <v>40</v>
      </c>
      <c r="P33" s="9" t="s">
        <v>41</v>
      </c>
    </row>
    <row r="34" spans="13:19" x14ac:dyDescent="0.35">
      <c r="M34" s="10" t="s">
        <v>60</v>
      </c>
      <c r="N34" s="24">
        <v>0.1668</v>
      </c>
      <c r="O34" s="24">
        <v>0.2606</v>
      </c>
      <c r="P34" s="24">
        <v>1.0752999999999999</v>
      </c>
      <c r="S34">
        <f>1/N34</f>
        <v>5.9952038369304557</v>
      </c>
    </row>
    <row r="35" spans="13:19" x14ac:dyDescent="0.35">
      <c r="M35" s="10" t="s">
        <v>61</v>
      </c>
      <c r="N35" s="18">
        <f>(N36-N37)/6</f>
        <v>5.4783333333333351E-3</v>
      </c>
      <c r="O35" s="18">
        <f t="shared" ref="O35:P35" si="0">(O36-O37)/6</f>
        <v>2.1483333333333337E-2</v>
      </c>
      <c r="P35" s="18">
        <f t="shared" si="0"/>
        <v>6.3916666666666663E-2</v>
      </c>
    </row>
    <row r="36" spans="13:19" x14ac:dyDescent="0.35">
      <c r="M36" s="10" t="s">
        <v>62</v>
      </c>
      <c r="N36" s="17">
        <v>0.18312</v>
      </c>
      <c r="O36" s="17">
        <v>0.32500000000000001</v>
      </c>
      <c r="P36" s="17">
        <v>0.69179999999999997</v>
      </c>
      <c r="S36">
        <f>1/N36</f>
        <v>5.4608999563128</v>
      </c>
    </row>
    <row r="37" spans="13:19" x14ac:dyDescent="0.35">
      <c r="M37" s="10" t="s">
        <v>63</v>
      </c>
      <c r="N37" s="17">
        <v>0.15024999999999999</v>
      </c>
      <c r="O37" s="17">
        <v>0.1961</v>
      </c>
      <c r="P37" s="17">
        <v>0.30830000000000002</v>
      </c>
      <c r="S37">
        <f>1/N37</f>
        <v>6.6555740432612316</v>
      </c>
    </row>
    <row r="39" spans="13:19" x14ac:dyDescent="0.35">
      <c r="M39" s="8" t="s">
        <v>64</v>
      </c>
      <c r="N39" s="8" t="s">
        <v>36</v>
      </c>
      <c r="O39" s="13"/>
      <c r="P39" s="13"/>
      <c r="Q39" s="13"/>
    </row>
    <row r="40" spans="13:19" x14ac:dyDescent="0.35">
      <c r="M40" s="10" t="s">
        <v>60</v>
      </c>
      <c r="N40" s="19">
        <f>N34+P40</f>
        <v>0.18348</v>
      </c>
      <c r="O40" s="14"/>
      <c r="P40" s="13">
        <f>N34*10%</f>
        <v>1.668E-2</v>
      </c>
      <c r="Q40" s="13"/>
      <c r="R40" s="20" t="s">
        <v>68</v>
      </c>
      <c r="S40">
        <f>1/N40</f>
        <v>5.4501853063004138</v>
      </c>
    </row>
    <row r="41" spans="13:19" x14ac:dyDescent="0.35">
      <c r="M41" s="10" t="s">
        <v>61</v>
      </c>
      <c r="N41" s="10">
        <v>0.05</v>
      </c>
      <c r="O41" s="13"/>
      <c r="P41" s="13"/>
      <c r="Q41" s="13"/>
      <c r="R41" s="20" t="s">
        <v>69</v>
      </c>
      <c r="S41">
        <v>0.17199999999999999</v>
      </c>
    </row>
    <row r="42" spans="13:19" x14ac:dyDescent="0.35">
      <c r="R42" s="20" t="s">
        <v>70</v>
      </c>
      <c r="S42">
        <v>0.13800000000000001</v>
      </c>
    </row>
    <row r="43" spans="13:19" x14ac:dyDescent="0.35">
      <c r="M43" s="8" t="s">
        <v>65</v>
      </c>
      <c r="N43" s="9" t="s">
        <v>36</v>
      </c>
      <c r="O43" s="9" t="s">
        <v>40</v>
      </c>
      <c r="P43" s="9" t="s">
        <v>41</v>
      </c>
      <c r="R43" s="21" t="s">
        <v>71</v>
      </c>
      <c r="S43">
        <f>(S41+S42)/6</f>
        <v>5.1666666666666666E-2</v>
      </c>
    </row>
    <row r="44" spans="13:19" x14ac:dyDescent="0.35">
      <c r="M44" s="10" t="s">
        <v>60</v>
      </c>
      <c r="N44" s="15">
        <f>0.0974 + (0.208*O44) + (0.0219*P44)</f>
        <v>0.17929</v>
      </c>
      <c r="O44" s="22">
        <v>0.32</v>
      </c>
      <c r="P44" s="22">
        <v>0.7</v>
      </c>
    </row>
    <row r="45" spans="13:19" x14ac:dyDescent="0.35">
      <c r="M45" s="10" t="s">
        <v>61</v>
      </c>
      <c r="N45" s="18">
        <v>0.05</v>
      </c>
      <c r="O45" s="18">
        <v>0.05</v>
      </c>
      <c r="P45" s="18">
        <v>0.05</v>
      </c>
    </row>
    <row r="46" spans="13:19" x14ac:dyDescent="0.35">
      <c r="M46" s="10" t="s">
        <v>66</v>
      </c>
      <c r="N46" s="10">
        <f>N44+(3*N45)</f>
        <v>0.32929000000000003</v>
      </c>
      <c r="O46" s="10">
        <f t="shared" ref="O46:P46" si="1">O44+(3*O45)</f>
        <v>0.47000000000000003</v>
      </c>
      <c r="P46" s="10">
        <f t="shared" si="1"/>
        <v>0.85</v>
      </c>
    </row>
    <row r="47" spans="13:19" x14ac:dyDescent="0.35">
      <c r="M47" s="10" t="s">
        <v>67</v>
      </c>
      <c r="N47" s="10">
        <f>N44-(3*N45)</f>
        <v>2.9289999999999983E-2</v>
      </c>
      <c r="O47" s="10">
        <f t="shared" ref="O47:P47" si="2">O44-(3*O45)</f>
        <v>0.16999999999999998</v>
      </c>
      <c r="P47" s="10">
        <f t="shared" si="2"/>
        <v>0.54999999999999993</v>
      </c>
    </row>
    <row r="50" spans="12:13" x14ac:dyDescent="0.35">
      <c r="M50" s="23" t="s">
        <v>72</v>
      </c>
    </row>
    <row r="51" spans="12:13" x14ac:dyDescent="0.35">
      <c r="L51">
        <v>1</v>
      </c>
      <c r="M51" s="23" t="s">
        <v>73</v>
      </c>
    </row>
    <row r="52" spans="12:13" x14ac:dyDescent="0.35">
      <c r="L52">
        <v>2</v>
      </c>
      <c r="M52" s="23" t="s">
        <v>74</v>
      </c>
    </row>
    <row r="55" spans="12:13" x14ac:dyDescent="0.35">
      <c r="L55" s="20" t="s">
        <v>75</v>
      </c>
    </row>
    <row r="57" spans="12:13" x14ac:dyDescent="0.35">
      <c r="L57" s="20" t="s">
        <v>76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zoomScale="70" zoomScaleNormal="70" workbookViewId="0">
      <selection activeCell="A27" sqref="A27"/>
    </sheetView>
  </sheetViews>
  <sheetFormatPr defaultRowHeight="14.5" x14ac:dyDescent="0.35"/>
  <cols>
    <col min="1" max="3" width="10.54296875" customWidth="1"/>
  </cols>
  <sheetData>
    <row r="1" spans="1:3" ht="31" x14ac:dyDescent="0.35">
      <c r="A1" s="2" t="s">
        <v>42</v>
      </c>
      <c r="B1" s="1" t="s">
        <v>45</v>
      </c>
      <c r="C1" s="1" t="s">
        <v>46</v>
      </c>
    </row>
    <row r="2" spans="1:3" x14ac:dyDescent="0.35">
      <c r="A2" s="5">
        <v>0.75</v>
      </c>
      <c r="B2" s="5">
        <v>0.25</v>
      </c>
      <c r="C2" s="5">
        <v>0.16666666666666666</v>
      </c>
    </row>
    <row r="3" spans="1:3" x14ac:dyDescent="0.35">
      <c r="A3" s="5">
        <v>0.81481481481481477</v>
      </c>
      <c r="B3" s="5">
        <v>0.37037037037037035</v>
      </c>
      <c r="C3" s="5">
        <v>0.14814814814814814</v>
      </c>
    </row>
    <row r="4" spans="1:3" x14ac:dyDescent="0.35">
      <c r="A4" s="5">
        <v>0.66666666666666663</v>
      </c>
      <c r="B4" s="5">
        <v>0.25</v>
      </c>
      <c r="C4" s="5">
        <v>0.16666666666666666</v>
      </c>
    </row>
    <row r="5" spans="1:3" x14ac:dyDescent="0.35">
      <c r="A5" s="5">
        <v>0.66666666666666663</v>
      </c>
      <c r="B5" s="5">
        <v>0.16666666666666666</v>
      </c>
      <c r="C5" s="5">
        <v>0.16666666666666666</v>
      </c>
    </row>
    <row r="6" spans="1:3" x14ac:dyDescent="0.35">
      <c r="A6" s="5">
        <v>0.81818181818181823</v>
      </c>
      <c r="B6" s="5">
        <v>0.36363636363636365</v>
      </c>
      <c r="C6" s="5">
        <v>0.18181818181818182</v>
      </c>
    </row>
    <row r="7" spans="1:3" x14ac:dyDescent="0.35">
      <c r="A7" s="5">
        <v>0.92307692307692313</v>
      </c>
      <c r="B7" s="5">
        <v>0.38461538461538464</v>
      </c>
      <c r="C7" s="5">
        <v>0.23076923076923078</v>
      </c>
    </row>
    <row r="8" spans="1:3" x14ac:dyDescent="0.35">
      <c r="A8" s="5">
        <v>0.90909090909090906</v>
      </c>
      <c r="B8" s="5">
        <v>0.45454545454545453</v>
      </c>
      <c r="C8" s="5">
        <v>0.18181818181818182</v>
      </c>
    </row>
    <row r="9" spans="1:3" x14ac:dyDescent="0.35">
      <c r="A9" s="5">
        <v>0.8571428571428571</v>
      </c>
      <c r="B9" s="5">
        <v>0.2857142857142857</v>
      </c>
      <c r="C9" s="5">
        <v>0.2857142857142857</v>
      </c>
    </row>
    <row r="10" spans="1:3" x14ac:dyDescent="0.35">
      <c r="A10" s="5">
        <v>0.8</v>
      </c>
      <c r="B10" s="5">
        <v>0.3</v>
      </c>
      <c r="C10" s="5">
        <v>0.1</v>
      </c>
    </row>
    <row r="11" spans="1:3" x14ac:dyDescent="0.35">
      <c r="A11" s="5">
        <v>0.91428571428571426</v>
      </c>
      <c r="B11" s="5">
        <v>0.4</v>
      </c>
      <c r="C11" s="5">
        <v>0.2</v>
      </c>
    </row>
    <row r="12" spans="1:3" x14ac:dyDescent="0.35">
      <c r="A12" s="5">
        <v>1</v>
      </c>
      <c r="B12" s="5">
        <v>0.25</v>
      </c>
      <c r="C12" s="5">
        <v>0.25</v>
      </c>
    </row>
    <row r="13" spans="1:3" x14ac:dyDescent="0.35">
      <c r="A13" s="5">
        <v>0.625</v>
      </c>
      <c r="B13" s="5">
        <v>0.25</v>
      </c>
      <c r="C13" s="5">
        <v>0.125</v>
      </c>
    </row>
    <row r="14" spans="1:3" x14ac:dyDescent="0.35">
      <c r="A14" s="5">
        <v>0.8</v>
      </c>
      <c r="B14" s="5">
        <v>0.3</v>
      </c>
      <c r="C14" s="5">
        <v>0.2</v>
      </c>
    </row>
    <row r="15" spans="1:3" x14ac:dyDescent="0.35">
      <c r="A15" s="5">
        <v>0.91666666666666663</v>
      </c>
      <c r="B15" s="5">
        <v>0.45833333333333331</v>
      </c>
      <c r="C15" s="5">
        <v>0.16666666666666666</v>
      </c>
    </row>
    <row r="16" spans="1:3" x14ac:dyDescent="0.35">
      <c r="A16" s="5">
        <v>0.5625</v>
      </c>
      <c r="B16" s="5">
        <v>0.25</v>
      </c>
      <c r="C16" s="5">
        <v>0.125</v>
      </c>
    </row>
    <row r="17" spans="1:16" x14ac:dyDescent="0.35">
      <c r="A17" s="5">
        <v>0.81818181818181823</v>
      </c>
      <c r="B17" s="5">
        <v>0.27272727272727271</v>
      </c>
      <c r="C17" s="5">
        <v>0.27272727272727271</v>
      </c>
    </row>
    <row r="18" spans="1:16" x14ac:dyDescent="0.35">
      <c r="A18" s="5">
        <v>0.77777777777777779</v>
      </c>
      <c r="B18" s="5">
        <v>0.33333333333333331</v>
      </c>
      <c r="C18" s="5">
        <v>0.22222222222222221</v>
      </c>
    </row>
    <row r="28" spans="1:16" x14ac:dyDescent="0.35">
      <c r="L28" t="s">
        <v>77</v>
      </c>
    </row>
    <row r="29" spans="1:16" x14ac:dyDescent="0.35">
      <c r="L29" t="s">
        <v>42</v>
      </c>
      <c r="M29" t="s">
        <v>78</v>
      </c>
      <c r="N29" s="20" t="s">
        <v>81</v>
      </c>
    </row>
    <row r="32" spans="1:16" x14ac:dyDescent="0.35">
      <c r="M32" s="25" t="s">
        <v>58</v>
      </c>
      <c r="N32" s="25" t="s">
        <v>80</v>
      </c>
      <c r="O32" s="26" t="s">
        <v>45</v>
      </c>
      <c r="P32" s="26" t="s">
        <v>46</v>
      </c>
    </row>
    <row r="33" spans="13:16" x14ac:dyDescent="0.35">
      <c r="M33" s="16" t="s">
        <v>60</v>
      </c>
      <c r="N33" s="33">
        <v>0.80120000000000002</v>
      </c>
      <c r="O33" s="34">
        <v>0.31409999999999999</v>
      </c>
      <c r="P33" s="34">
        <v>0.18759999999999999</v>
      </c>
    </row>
    <row r="34" spans="13:16" x14ac:dyDescent="0.35">
      <c r="M34" s="16" t="s">
        <v>61</v>
      </c>
      <c r="N34" s="29">
        <f>(N35-N36)/6</f>
        <v>0.11686666666666666</v>
      </c>
      <c r="O34" s="29">
        <f t="shared" ref="O34" si="0">(O35-O36)/6</f>
        <v>8.5599999999999996E-2</v>
      </c>
      <c r="P34" s="29">
        <f>(P35-P36)/6</f>
        <v>5.8883333333333336E-2</v>
      </c>
    </row>
    <row r="35" spans="13:16" x14ac:dyDescent="0.35">
      <c r="M35" s="16" t="s">
        <v>62</v>
      </c>
      <c r="N35" s="27">
        <v>1.1517999999999999</v>
      </c>
      <c r="O35" s="28">
        <v>0.57089999999999996</v>
      </c>
      <c r="P35" s="28">
        <v>0.36430000000000001</v>
      </c>
    </row>
    <row r="36" spans="13:16" x14ac:dyDescent="0.35">
      <c r="M36" s="16" t="s">
        <v>63</v>
      </c>
      <c r="N36" s="27">
        <v>0.4506</v>
      </c>
      <c r="O36" s="28">
        <v>5.7299999999999997E-2</v>
      </c>
      <c r="P36" s="28">
        <v>1.0999999999999999E-2</v>
      </c>
    </row>
    <row r="37" spans="13:16" x14ac:dyDescent="0.35">
      <c r="M37" s="30"/>
      <c r="N37" s="30"/>
      <c r="O37" s="30"/>
      <c r="P37" s="30"/>
    </row>
    <row r="38" spans="13:16" x14ac:dyDescent="0.35">
      <c r="M38" s="30"/>
      <c r="N38" s="30"/>
      <c r="O38" s="30"/>
      <c r="P38" s="30"/>
    </row>
    <row r="39" spans="13:16" x14ac:dyDescent="0.35">
      <c r="M39" s="30"/>
      <c r="N39" s="30"/>
      <c r="O39" s="30"/>
      <c r="P39" s="30"/>
    </row>
    <row r="40" spans="13:16" x14ac:dyDescent="0.35">
      <c r="M40" s="25" t="s">
        <v>64</v>
      </c>
      <c r="N40" s="25" t="s">
        <v>80</v>
      </c>
      <c r="O40" s="30"/>
      <c r="P40" s="30"/>
    </row>
    <row r="41" spans="13:16" x14ac:dyDescent="0.35">
      <c r="M41" s="16" t="s">
        <v>60</v>
      </c>
      <c r="N41" s="31">
        <f>N33-P41</f>
        <v>0.72108000000000005</v>
      </c>
      <c r="O41" s="30"/>
      <c r="P41" s="30">
        <f>N33*10%</f>
        <v>8.0120000000000011E-2</v>
      </c>
    </row>
    <row r="42" spans="13:16" x14ac:dyDescent="0.35">
      <c r="M42" s="16" t="s">
        <v>61</v>
      </c>
      <c r="N42" s="16">
        <v>0.25</v>
      </c>
      <c r="O42" s="30"/>
      <c r="P42" s="30"/>
    </row>
    <row r="43" spans="13:16" x14ac:dyDescent="0.35">
      <c r="M43" s="30"/>
      <c r="N43" s="30"/>
      <c r="O43" s="30"/>
      <c r="P43" s="30"/>
    </row>
    <row r="44" spans="13:16" x14ac:dyDescent="0.35">
      <c r="M44" s="30"/>
      <c r="N44" s="30"/>
      <c r="O44" s="30"/>
      <c r="P44" s="30"/>
    </row>
    <row r="45" spans="13:16" x14ac:dyDescent="0.35">
      <c r="M45" s="25" t="s">
        <v>65</v>
      </c>
      <c r="N45" s="25" t="s">
        <v>80</v>
      </c>
      <c r="O45" s="26" t="s">
        <v>45</v>
      </c>
      <c r="P45" s="26" t="s">
        <v>46</v>
      </c>
    </row>
    <row r="46" spans="13:16" x14ac:dyDescent="0.35">
      <c r="M46" s="16" t="s">
        <v>60</v>
      </c>
      <c r="N46" s="32">
        <f>0.3011 + (0.875*O46) + (1.201*P46)</f>
        <v>0.72401999999999989</v>
      </c>
      <c r="O46" s="32">
        <v>0.25</v>
      </c>
      <c r="P46" s="32">
        <v>0.17</v>
      </c>
    </row>
    <row r="47" spans="13:16" x14ac:dyDescent="0.35">
      <c r="M47" s="16" t="s">
        <v>61</v>
      </c>
      <c r="N47" s="16">
        <v>0.25</v>
      </c>
      <c r="O47" s="16">
        <v>0.1</v>
      </c>
      <c r="P47" s="16">
        <v>0.5</v>
      </c>
    </row>
    <row r="48" spans="13:16" x14ac:dyDescent="0.35">
      <c r="M48" s="16" t="s">
        <v>66</v>
      </c>
      <c r="N48" s="16">
        <f>N46+(3*N47)</f>
        <v>1.4740199999999999</v>
      </c>
      <c r="O48" s="16">
        <f t="shared" ref="O48:P48" si="1">O46+(3*O47)</f>
        <v>0.55000000000000004</v>
      </c>
      <c r="P48" s="16">
        <f t="shared" si="1"/>
        <v>1.67</v>
      </c>
    </row>
    <row r="49" spans="13:16" x14ac:dyDescent="0.35">
      <c r="M49" s="16" t="s">
        <v>67</v>
      </c>
      <c r="N49" s="16">
        <f>N46-(3*N47)</f>
        <v>-2.5980000000000114E-2</v>
      </c>
      <c r="O49" s="16">
        <f t="shared" ref="O49:P49" si="2">O46-(3*O47)</f>
        <v>-5.0000000000000044E-2</v>
      </c>
      <c r="P49" s="16">
        <f t="shared" si="2"/>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zoomScale="70" zoomScaleNormal="70" workbookViewId="0">
      <selection activeCell="E10" sqref="E10"/>
    </sheetView>
  </sheetViews>
  <sheetFormatPr defaultRowHeight="14.5" x14ac:dyDescent="0.35"/>
  <cols>
    <col min="16" max="16" width="17.453125" customWidth="1"/>
  </cols>
  <sheetData>
    <row r="1" spans="1:2" x14ac:dyDescent="0.35">
      <c r="A1" s="35" t="s">
        <v>37</v>
      </c>
      <c r="B1" s="35" t="s">
        <v>56</v>
      </c>
    </row>
    <row r="2" spans="1:2" x14ac:dyDescent="0.35">
      <c r="A2" s="7">
        <v>0.83333333333333337</v>
      </c>
      <c r="B2" s="7">
        <v>0.33333333333333331</v>
      </c>
    </row>
    <row r="3" spans="1:2" x14ac:dyDescent="0.35">
      <c r="A3" s="7">
        <v>0.83333333333333337</v>
      </c>
      <c r="B3" s="7">
        <v>0.22222222222222221</v>
      </c>
    </row>
    <row r="4" spans="1:2" x14ac:dyDescent="0.35">
      <c r="A4" s="7">
        <v>0.75</v>
      </c>
      <c r="B4" s="7">
        <v>0.16666666666666666</v>
      </c>
    </row>
    <row r="5" spans="1:2" x14ac:dyDescent="0.35">
      <c r="A5" s="7">
        <v>0.66666666666666663</v>
      </c>
      <c r="B5" s="7">
        <v>0.16666666666666666</v>
      </c>
    </row>
    <row r="6" spans="1:2" x14ac:dyDescent="0.35">
      <c r="A6" s="7">
        <v>0.79999999999999993</v>
      </c>
      <c r="B6" s="7">
        <v>0.22727272727272727</v>
      </c>
    </row>
    <row r="7" spans="1:2" x14ac:dyDescent="0.35">
      <c r="A7" s="7">
        <v>0.83333333333333337</v>
      </c>
      <c r="B7" s="7">
        <v>0.23076923076923078</v>
      </c>
    </row>
    <row r="8" spans="1:2" x14ac:dyDescent="0.35">
      <c r="A8" s="7">
        <v>0.74999999999999989</v>
      </c>
      <c r="B8" s="7">
        <v>0.18181818181818182</v>
      </c>
    </row>
    <row r="9" spans="1:2" x14ac:dyDescent="0.35">
      <c r="A9" s="7">
        <v>0.66666666666666663</v>
      </c>
      <c r="B9" s="7">
        <v>0.14285714285714285</v>
      </c>
    </row>
    <row r="10" spans="1:2" x14ac:dyDescent="0.35">
      <c r="A10" s="7">
        <v>0.77777777777777779</v>
      </c>
      <c r="B10" s="7">
        <v>0.2</v>
      </c>
    </row>
    <row r="11" spans="1:2" x14ac:dyDescent="0.35">
      <c r="A11" s="7">
        <v>0.75</v>
      </c>
      <c r="B11" s="7">
        <v>8.5714285714285715E-2</v>
      </c>
    </row>
    <row r="12" spans="1:2" x14ac:dyDescent="0.35">
      <c r="A12" s="7">
        <v>1</v>
      </c>
      <c r="B12" s="7">
        <v>0.25</v>
      </c>
    </row>
    <row r="13" spans="1:2" x14ac:dyDescent="0.35">
      <c r="A13" s="7">
        <v>0.75</v>
      </c>
      <c r="B13" s="7">
        <v>0.25</v>
      </c>
    </row>
    <row r="14" spans="1:2" x14ac:dyDescent="0.35">
      <c r="A14" s="7">
        <v>0.74999999999999989</v>
      </c>
      <c r="B14" s="7">
        <v>0.2</v>
      </c>
    </row>
    <row r="15" spans="1:2" x14ac:dyDescent="0.35">
      <c r="A15" s="7">
        <v>0.875</v>
      </c>
      <c r="B15" s="7">
        <v>0.16666666666666666</v>
      </c>
    </row>
    <row r="16" spans="1:2" x14ac:dyDescent="0.35">
      <c r="A16" s="7">
        <v>0.77777777777777779</v>
      </c>
      <c r="B16" s="7">
        <v>0.25</v>
      </c>
    </row>
    <row r="17" spans="1:17" x14ac:dyDescent="0.35">
      <c r="A17" s="7">
        <v>0.66666666666666674</v>
      </c>
      <c r="B17" s="7">
        <v>9.0909090909090912E-2</v>
      </c>
    </row>
    <row r="18" spans="1:17" x14ac:dyDescent="0.35">
      <c r="A18" s="7">
        <v>0.75</v>
      </c>
      <c r="B18" s="7">
        <v>0.22222222222222221</v>
      </c>
    </row>
    <row r="23" spans="1:17" x14ac:dyDescent="0.35">
      <c r="N23" t="s">
        <v>77</v>
      </c>
    </row>
    <row r="24" spans="1:17" x14ac:dyDescent="0.35">
      <c r="M24" s="36"/>
      <c r="N24" t="s">
        <v>37</v>
      </c>
      <c r="O24" t="s">
        <v>78</v>
      </c>
      <c r="P24" t="s">
        <v>82</v>
      </c>
    </row>
    <row r="25" spans="1:17" x14ac:dyDescent="0.35">
      <c r="M25" s="36"/>
      <c r="N25" s="36"/>
      <c r="O25" s="37"/>
      <c r="P25" s="36"/>
      <c r="Q25" s="36"/>
    </row>
    <row r="28" spans="1:17" x14ac:dyDescent="0.35">
      <c r="N28" s="38" t="s">
        <v>58</v>
      </c>
      <c r="O28" s="9" t="s">
        <v>37</v>
      </c>
      <c r="P28" s="9" t="s">
        <v>59</v>
      </c>
    </row>
    <row r="29" spans="1:17" x14ac:dyDescent="0.35">
      <c r="N29" s="39" t="s">
        <v>60</v>
      </c>
      <c r="O29" s="11">
        <v>0.77800000000000002</v>
      </c>
      <c r="P29" s="12">
        <v>0.19919999999999999</v>
      </c>
    </row>
    <row r="30" spans="1:17" x14ac:dyDescent="0.35">
      <c r="N30" s="39" t="s">
        <v>61</v>
      </c>
      <c r="O30" s="40">
        <f>(O31-O32)/6</f>
        <v>8.618333333333332E-2</v>
      </c>
      <c r="P30" s="40">
        <f>(P31-P32)/6</f>
        <v>6.158333333333333E-2</v>
      </c>
    </row>
    <row r="31" spans="1:17" x14ac:dyDescent="0.35">
      <c r="N31" s="39" t="s">
        <v>62</v>
      </c>
      <c r="O31" s="12">
        <v>1.0367999999999999</v>
      </c>
      <c r="P31" s="12">
        <v>0.38400000000000001</v>
      </c>
    </row>
    <row r="32" spans="1:17" x14ac:dyDescent="0.35">
      <c r="N32" s="39" t="s">
        <v>63</v>
      </c>
      <c r="O32" s="12">
        <v>0.51970000000000005</v>
      </c>
      <c r="P32" s="12">
        <v>1.4500000000000001E-2</v>
      </c>
    </row>
    <row r="34" spans="14:17" x14ac:dyDescent="0.35">
      <c r="N34" s="38" t="s">
        <v>64</v>
      </c>
      <c r="O34" s="38" t="s">
        <v>37</v>
      </c>
      <c r="P34" s="36"/>
      <c r="Q34" s="36"/>
    </row>
    <row r="35" spans="14:17" x14ac:dyDescent="0.35">
      <c r="N35" s="39" t="s">
        <v>60</v>
      </c>
      <c r="O35" s="41">
        <v>0.8</v>
      </c>
      <c r="P35" s="42"/>
      <c r="Q35" s="36">
        <f>O29*5%</f>
        <v>3.8900000000000004E-2</v>
      </c>
    </row>
    <row r="36" spans="14:17" x14ac:dyDescent="0.35">
      <c r="N36" s="39" t="s">
        <v>61</v>
      </c>
      <c r="O36" s="43">
        <v>0.1</v>
      </c>
      <c r="P36" s="36"/>
      <c r="Q36" s="36"/>
    </row>
    <row r="38" spans="14:17" x14ac:dyDescent="0.35">
      <c r="N38" s="38" t="s">
        <v>65</v>
      </c>
      <c r="O38" s="9" t="s">
        <v>37</v>
      </c>
      <c r="P38" s="9" t="s">
        <v>59</v>
      </c>
    </row>
    <row r="39" spans="14:17" x14ac:dyDescent="0.35">
      <c r="N39" s="39" t="s">
        <v>60</v>
      </c>
      <c r="O39" s="44">
        <f>0.6331 + 0.729*P39</f>
        <v>0.79347999999999996</v>
      </c>
      <c r="P39" s="12">
        <v>0.22</v>
      </c>
    </row>
    <row r="40" spans="14:17" x14ac:dyDescent="0.35">
      <c r="N40" s="39" t="s">
        <v>61</v>
      </c>
      <c r="O40" s="16">
        <v>0.1</v>
      </c>
      <c r="P40" s="16">
        <v>0.05</v>
      </c>
    </row>
    <row r="41" spans="14:17" x14ac:dyDescent="0.35">
      <c r="N41" s="39" t="s">
        <v>66</v>
      </c>
      <c r="O41" s="39">
        <f>O39+(3*O40)</f>
        <v>1.09348</v>
      </c>
      <c r="P41" s="39">
        <f>P39+(3*P40)</f>
        <v>0.37</v>
      </c>
    </row>
    <row r="42" spans="14:17" x14ac:dyDescent="0.35">
      <c r="N42" s="39" t="s">
        <v>67</v>
      </c>
      <c r="O42" s="39">
        <f>O39-3*O40</f>
        <v>0.49347999999999992</v>
      </c>
      <c r="P42" s="39">
        <f>P39-3*P40</f>
        <v>6.9999999999999979E-2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3"/>
  <sheetViews>
    <sheetView zoomScale="90" zoomScaleNormal="90" workbookViewId="0">
      <selection activeCell="A4" sqref="A4"/>
    </sheetView>
  </sheetViews>
  <sheetFormatPr defaultColWidth="8.7265625" defaultRowHeight="14.5" x14ac:dyDescent="0.35"/>
  <cols>
    <col min="1" max="16384" width="8.7265625" style="45"/>
  </cols>
  <sheetData>
    <row r="1" spans="1:7" ht="15.5" x14ac:dyDescent="0.35">
      <c r="A1" s="62" t="s">
        <v>42</v>
      </c>
      <c r="B1" s="62" t="s">
        <v>45</v>
      </c>
      <c r="C1" s="62" t="s">
        <v>46</v>
      </c>
      <c r="E1" s="46"/>
      <c r="F1" s="47"/>
      <c r="G1" s="47"/>
    </row>
    <row r="2" spans="1:7" x14ac:dyDescent="0.35">
      <c r="A2" s="63">
        <v>1.1818181818181819</v>
      </c>
      <c r="B2" s="63">
        <v>0.45454545454545453</v>
      </c>
      <c r="C2" s="63">
        <v>0.21212121212121213</v>
      </c>
    </row>
    <row r="3" spans="1:7" x14ac:dyDescent="0.35">
      <c r="A3" s="63">
        <v>0.9375</v>
      </c>
      <c r="B3" s="63">
        <v>0.3125</v>
      </c>
      <c r="C3" s="63">
        <v>0.1875</v>
      </c>
    </row>
    <row r="4" spans="1:7" x14ac:dyDescent="0.35">
      <c r="A4" s="63">
        <v>0.78048780487804881</v>
      </c>
      <c r="B4" s="63">
        <v>0.34146341463414637</v>
      </c>
      <c r="C4" s="63">
        <v>0.17073170731707318</v>
      </c>
    </row>
    <row r="5" spans="1:7" x14ac:dyDescent="0.35">
      <c r="A5" s="63">
        <v>0.5625</v>
      </c>
      <c r="B5" s="63">
        <v>0.25</v>
      </c>
      <c r="C5" s="63">
        <v>0.15625</v>
      </c>
    </row>
    <row r="6" spans="1:7" x14ac:dyDescent="0.35">
      <c r="A6" s="63">
        <v>0.5</v>
      </c>
      <c r="B6" s="63">
        <v>0.1875</v>
      </c>
      <c r="C6" s="63">
        <v>0.1875</v>
      </c>
    </row>
    <row r="7" spans="1:7" x14ac:dyDescent="0.35">
      <c r="A7" s="63">
        <v>0.76190476190476186</v>
      </c>
      <c r="B7" s="63">
        <v>0.2857142857142857</v>
      </c>
      <c r="C7" s="63">
        <v>0.16666666666666666</v>
      </c>
    </row>
    <row r="8" spans="1:7" x14ac:dyDescent="0.35">
      <c r="A8" s="63">
        <v>0.6</v>
      </c>
      <c r="B8" s="63">
        <v>0.2</v>
      </c>
      <c r="C8" s="63">
        <v>0.1</v>
      </c>
    </row>
    <row r="9" spans="1:7" x14ac:dyDescent="0.35">
      <c r="A9" s="63">
        <v>0.8</v>
      </c>
      <c r="B9" s="63">
        <v>0.3</v>
      </c>
      <c r="C9" s="63">
        <v>0.2</v>
      </c>
    </row>
    <row r="10" spans="1:7" x14ac:dyDescent="0.35">
      <c r="A10" s="63">
        <v>0.43478260869565216</v>
      </c>
      <c r="B10" s="63">
        <v>0.14130434782608695</v>
      </c>
      <c r="C10" s="63">
        <v>0.11956521739130435</v>
      </c>
    </row>
    <row r="11" spans="1:7" x14ac:dyDescent="0.35">
      <c r="A11" s="63">
        <v>0.36585365853658536</v>
      </c>
      <c r="B11" s="63">
        <v>0.14634146341463414</v>
      </c>
      <c r="C11" s="63">
        <v>9.7560975609756101E-2</v>
      </c>
    </row>
    <row r="12" spans="1:7" x14ac:dyDescent="0.35">
      <c r="A12" s="63">
        <v>0.8</v>
      </c>
      <c r="B12" s="63">
        <v>0.3</v>
      </c>
      <c r="C12" s="63">
        <v>0.16666666666666666</v>
      </c>
    </row>
    <row r="13" spans="1:7" x14ac:dyDescent="0.35">
      <c r="A13" s="63">
        <v>0.47368421052631576</v>
      </c>
      <c r="B13" s="63">
        <v>0.21052631578947367</v>
      </c>
      <c r="C13" s="63">
        <v>0.10526315789473684</v>
      </c>
    </row>
    <row r="14" spans="1:7" x14ac:dyDescent="0.35">
      <c r="A14" s="63">
        <v>0.8</v>
      </c>
      <c r="B14" s="63">
        <v>0.4</v>
      </c>
      <c r="C14" s="63">
        <v>0.1</v>
      </c>
    </row>
    <row r="15" spans="1:7" x14ac:dyDescent="0.35">
      <c r="A15" s="63">
        <v>0.83333333333333337</v>
      </c>
      <c r="B15" s="63">
        <v>0.5</v>
      </c>
      <c r="C15" s="63">
        <v>0.33333333333333331</v>
      </c>
    </row>
    <row r="16" spans="1:7" x14ac:dyDescent="0.35">
      <c r="A16" s="63">
        <v>1</v>
      </c>
      <c r="B16" s="63">
        <v>0.2</v>
      </c>
      <c r="C16" s="63">
        <v>0.2</v>
      </c>
    </row>
    <row r="17" spans="1:3" x14ac:dyDescent="0.35">
      <c r="A17" s="63">
        <v>1.6</v>
      </c>
      <c r="B17" s="63">
        <v>0.4</v>
      </c>
      <c r="C17" s="63">
        <v>0.2</v>
      </c>
    </row>
    <row r="18" spans="1:3" x14ac:dyDescent="0.35">
      <c r="A18" s="63">
        <v>1.4</v>
      </c>
      <c r="B18" s="63">
        <v>0.4</v>
      </c>
      <c r="C18" s="63">
        <v>0.4</v>
      </c>
    </row>
    <row r="19" spans="1:3" x14ac:dyDescent="0.35">
      <c r="A19" s="63">
        <v>0.6071428571428571</v>
      </c>
      <c r="B19" s="63">
        <v>0.25</v>
      </c>
      <c r="C19" s="63">
        <v>0.16071428571428573</v>
      </c>
    </row>
    <row r="20" spans="1:3" x14ac:dyDescent="0.35">
      <c r="A20" s="63">
        <v>1.04</v>
      </c>
      <c r="B20" s="63">
        <v>0.36</v>
      </c>
      <c r="C20" s="63">
        <v>0.16</v>
      </c>
    </row>
    <row r="21" spans="1:3" x14ac:dyDescent="0.35">
      <c r="A21" s="61">
        <v>0.75</v>
      </c>
      <c r="B21" s="61">
        <v>0.25</v>
      </c>
      <c r="C21" s="61">
        <v>0.16666666666666666</v>
      </c>
    </row>
    <row r="22" spans="1:3" x14ac:dyDescent="0.35">
      <c r="A22" s="48">
        <v>0.81481481481481477</v>
      </c>
      <c r="B22" s="48">
        <v>0.37037037037037035</v>
      </c>
      <c r="C22" s="48">
        <v>0.14814814814814814</v>
      </c>
    </row>
    <row r="23" spans="1:3" x14ac:dyDescent="0.35">
      <c r="A23" s="48">
        <v>0.66666666666666663</v>
      </c>
      <c r="B23" s="48">
        <v>0.25</v>
      </c>
      <c r="C23" s="48">
        <v>0.16666666666666666</v>
      </c>
    </row>
    <row r="24" spans="1:3" x14ac:dyDescent="0.35">
      <c r="A24" s="48">
        <v>0.66666666666666663</v>
      </c>
      <c r="B24" s="48">
        <v>0.16666666666666666</v>
      </c>
      <c r="C24" s="48">
        <v>0.16666666666666666</v>
      </c>
    </row>
    <row r="25" spans="1:3" x14ac:dyDescent="0.35">
      <c r="A25" s="48">
        <v>0.81818181818181823</v>
      </c>
      <c r="B25" s="48">
        <v>0.36363636363636365</v>
      </c>
      <c r="C25" s="48">
        <v>0.18181818181818182</v>
      </c>
    </row>
    <row r="26" spans="1:3" x14ac:dyDescent="0.35">
      <c r="A26" s="48">
        <v>0.92307692307692313</v>
      </c>
      <c r="B26" s="48">
        <v>0.38461538461538464</v>
      </c>
      <c r="C26" s="48">
        <v>0.23076923076923078</v>
      </c>
    </row>
    <row r="27" spans="1:3" x14ac:dyDescent="0.35">
      <c r="A27" s="48">
        <v>0.90909090909090906</v>
      </c>
      <c r="B27" s="48">
        <v>0.45454545454545453</v>
      </c>
      <c r="C27" s="48">
        <v>0.18181818181818182</v>
      </c>
    </row>
    <row r="28" spans="1:3" x14ac:dyDescent="0.35">
      <c r="A28" s="48">
        <v>0.8571428571428571</v>
      </c>
      <c r="B28" s="48">
        <v>0.2857142857142857</v>
      </c>
      <c r="C28" s="48">
        <v>0.2857142857142857</v>
      </c>
    </row>
    <row r="29" spans="1:3" x14ac:dyDescent="0.35">
      <c r="A29" s="48">
        <v>0.8</v>
      </c>
      <c r="B29" s="48">
        <v>0.3</v>
      </c>
      <c r="C29" s="48">
        <v>0.1</v>
      </c>
    </row>
    <row r="30" spans="1:3" x14ac:dyDescent="0.35">
      <c r="A30" s="48">
        <v>0.91428571428571426</v>
      </c>
      <c r="B30" s="48">
        <v>0.4</v>
      </c>
      <c r="C30" s="48">
        <v>0.2</v>
      </c>
    </row>
    <row r="31" spans="1:3" x14ac:dyDescent="0.35">
      <c r="A31" s="48">
        <v>1</v>
      </c>
      <c r="B31" s="48">
        <v>0.25</v>
      </c>
      <c r="C31" s="48">
        <v>0.25</v>
      </c>
    </row>
    <row r="32" spans="1:3" x14ac:dyDescent="0.35">
      <c r="A32" s="48">
        <v>0.625</v>
      </c>
      <c r="B32" s="48">
        <v>0.25</v>
      </c>
      <c r="C32" s="48">
        <v>0.125</v>
      </c>
    </row>
    <row r="33" spans="1:23" x14ac:dyDescent="0.35">
      <c r="A33" s="48">
        <v>0.8</v>
      </c>
      <c r="B33" s="48">
        <v>0.3</v>
      </c>
      <c r="C33" s="48">
        <v>0.2</v>
      </c>
    </row>
    <row r="34" spans="1:23" x14ac:dyDescent="0.35">
      <c r="A34" s="48">
        <v>0.91666666666666663</v>
      </c>
      <c r="B34" s="48">
        <v>0.45833333333333331</v>
      </c>
      <c r="C34" s="48">
        <v>0.16666666666666666</v>
      </c>
    </row>
    <row r="35" spans="1:23" x14ac:dyDescent="0.35">
      <c r="A35" s="48">
        <v>0.5625</v>
      </c>
      <c r="B35" s="48">
        <v>0.25</v>
      </c>
      <c r="C35" s="48">
        <v>0.125</v>
      </c>
    </row>
    <row r="36" spans="1:23" x14ac:dyDescent="0.35">
      <c r="A36" s="48">
        <v>0.81818181818181823</v>
      </c>
      <c r="B36" s="48">
        <v>0.27272727272727271</v>
      </c>
      <c r="C36" s="48">
        <v>0.27272727272727271</v>
      </c>
    </row>
    <row r="37" spans="1:23" x14ac:dyDescent="0.35">
      <c r="A37" s="48">
        <v>0.77777777777777779</v>
      </c>
      <c r="B37" s="48">
        <v>0.33333333333333331</v>
      </c>
      <c r="C37" s="48">
        <v>0.22222222222222221</v>
      </c>
    </row>
    <row r="42" spans="1:23" x14ac:dyDescent="0.35">
      <c r="N42" s="45" t="s">
        <v>77</v>
      </c>
    </row>
    <row r="43" spans="1:23" x14ac:dyDescent="0.35">
      <c r="N43" s="45" t="s">
        <v>42</v>
      </c>
      <c r="O43" s="45" t="s">
        <v>78</v>
      </c>
      <c r="P43" s="49" t="s">
        <v>83</v>
      </c>
    </row>
    <row r="46" spans="1:23" x14ac:dyDescent="0.35">
      <c r="O46" s="50" t="s">
        <v>58</v>
      </c>
      <c r="P46" s="50" t="s">
        <v>80</v>
      </c>
      <c r="Q46" s="51" t="s">
        <v>45</v>
      </c>
      <c r="R46" s="51" t="s">
        <v>46</v>
      </c>
      <c r="T46" s="45" t="s">
        <v>58</v>
      </c>
      <c r="U46" s="45" t="s">
        <v>80</v>
      </c>
      <c r="V46" s="45" t="s">
        <v>45</v>
      </c>
      <c r="W46" s="45" t="s">
        <v>46</v>
      </c>
    </row>
    <row r="47" spans="1:23" x14ac:dyDescent="0.35">
      <c r="O47" s="52" t="s">
        <v>60</v>
      </c>
      <c r="P47" s="53">
        <v>0.80800000000000005</v>
      </c>
      <c r="Q47" s="54">
        <v>0.30499999999999999</v>
      </c>
      <c r="R47" s="54">
        <v>0.1837</v>
      </c>
      <c r="T47" s="45" t="s">
        <v>60</v>
      </c>
      <c r="U47" s="45">
        <v>0.81499999999999995</v>
      </c>
      <c r="V47" s="45">
        <v>0.29680000000000001</v>
      </c>
      <c r="W47" s="45">
        <v>0.17169999999999999</v>
      </c>
    </row>
    <row r="48" spans="1:23" x14ac:dyDescent="0.35">
      <c r="O48" s="52" t="s">
        <v>61</v>
      </c>
      <c r="P48" s="55">
        <f>(P49-P50)/6</f>
        <v>0.18883333333333333</v>
      </c>
      <c r="Q48" s="55">
        <f t="shared" ref="Q48" si="0">(Q49-Q50)/6</f>
        <v>9.4233333333333336E-2</v>
      </c>
      <c r="R48" s="55">
        <f>(R49-R50)/6</f>
        <v>6.051666666666667E-2</v>
      </c>
      <c r="T48" s="45" t="s">
        <v>61</v>
      </c>
      <c r="U48" s="45">
        <v>0.24883333333333332</v>
      </c>
      <c r="V48" s="45">
        <v>0.10171666666666666</v>
      </c>
      <c r="W48" s="45">
        <v>5.2800000000000007E-2</v>
      </c>
    </row>
    <row r="49" spans="15:23" x14ac:dyDescent="0.35">
      <c r="O49" s="52" t="s">
        <v>62</v>
      </c>
      <c r="P49" s="56">
        <v>1.375</v>
      </c>
      <c r="Q49" s="57">
        <v>0.5877</v>
      </c>
      <c r="R49" s="57">
        <v>0.36530000000000001</v>
      </c>
      <c r="T49" s="45" t="s">
        <v>62</v>
      </c>
      <c r="U49" s="45">
        <v>1.5609999999999999</v>
      </c>
      <c r="V49" s="45">
        <v>0.60199999999999998</v>
      </c>
      <c r="W49" s="45">
        <v>0.3301</v>
      </c>
    </row>
    <row r="50" spans="15:23" x14ac:dyDescent="0.35">
      <c r="O50" s="52" t="s">
        <v>63</v>
      </c>
      <c r="P50" s="56">
        <v>0.24199999999999999</v>
      </c>
      <c r="Q50" s="57">
        <v>2.23E-2</v>
      </c>
      <c r="R50" s="57">
        <v>2.2000000000000001E-3</v>
      </c>
      <c r="T50" s="45" t="s">
        <v>63</v>
      </c>
      <c r="U50" s="45">
        <v>6.8000000000000005E-2</v>
      </c>
      <c r="V50" s="45">
        <v>-8.3000000000000001E-3</v>
      </c>
      <c r="W50" s="45">
        <v>1.3299999999999999E-2</v>
      </c>
    </row>
    <row r="51" spans="15:23" x14ac:dyDescent="0.35">
      <c r="O51" s="58"/>
      <c r="P51" s="58"/>
      <c r="Q51" s="58"/>
      <c r="R51" s="58"/>
    </row>
    <row r="52" spans="15:23" x14ac:dyDescent="0.35">
      <c r="O52" s="58"/>
      <c r="P52" s="58"/>
      <c r="Q52" s="58"/>
      <c r="R52" s="58"/>
    </row>
    <row r="53" spans="15:23" x14ac:dyDescent="0.35">
      <c r="O53" s="58"/>
      <c r="P53" s="58"/>
      <c r="Q53" s="58"/>
      <c r="R53" s="58"/>
    </row>
    <row r="54" spans="15:23" x14ac:dyDescent="0.35">
      <c r="O54" s="50" t="s">
        <v>64</v>
      </c>
      <c r="P54" s="50" t="s">
        <v>80</v>
      </c>
      <c r="Q54" s="58"/>
      <c r="R54" s="58"/>
    </row>
    <row r="55" spans="15:23" x14ac:dyDescent="0.35">
      <c r="O55" s="52" t="s">
        <v>60</v>
      </c>
      <c r="P55" s="59">
        <f>P47-R55</f>
        <v>0.72720000000000007</v>
      </c>
      <c r="Q55" s="58"/>
      <c r="R55" s="58">
        <f>P47*10%</f>
        <v>8.0800000000000011E-2</v>
      </c>
    </row>
    <row r="56" spans="15:23" x14ac:dyDescent="0.35">
      <c r="O56" s="52" t="s">
        <v>61</v>
      </c>
      <c r="P56" s="52">
        <v>0.25</v>
      </c>
      <c r="Q56" s="58"/>
      <c r="R56" s="58"/>
    </row>
    <row r="57" spans="15:23" x14ac:dyDescent="0.35">
      <c r="O57" s="58"/>
      <c r="P57" s="58"/>
      <c r="Q57" s="58"/>
      <c r="R57" s="58"/>
    </row>
    <row r="58" spans="15:23" x14ac:dyDescent="0.35">
      <c r="O58" s="58"/>
      <c r="P58" s="58"/>
      <c r="Q58" s="58"/>
      <c r="R58" s="58"/>
    </row>
    <row r="59" spans="15:23" x14ac:dyDescent="0.35">
      <c r="O59" s="50" t="s">
        <v>65</v>
      </c>
      <c r="P59" s="50" t="s">
        <v>80</v>
      </c>
      <c r="Q59" s="51" t="s">
        <v>45</v>
      </c>
      <c r="R59" s="51" t="s">
        <v>46</v>
      </c>
    </row>
    <row r="60" spans="15:23" x14ac:dyDescent="0.35">
      <c r="O60" s="52" t="s">
        <v>60</v>
      </c>
      <c r="P60" s="60">
        <f>0.15 + 1.327*Q60+ 1.378*R60</f>
        <v>0.72928000000000004</v>
      </c>
      <c r="Q60" s="60">
        <v>0.26</v>
      </c>
      <c r="R60" s="60">
        <v>0.17</v>
      </c>
    </row>
    <row r="61" spans="15:23" x14ac:dyDescent="0.35">
      <c r="O61" s="52" t="s">
        <v>61</v>
      </c>
      <c r="P61" s="52">
        <v>0.25</v>
      </c>
      <c r="Q61" s="52">
        <v>0.1</v>
      </c>
      <c r="R61" s="52">
        <v>0.5</v>
      </c>
    </row>
    <row r="62" spans="15:23" x14ac:dyDescent="0.35">
      <c r="O62" s="52" t="s">
        <v>66</v>
      </c>
      <c r="P62" s="52">
        <f>P60+(3*P61)</f>
        <v>1.4792800000000002</v>
      </c>
      <c r="Q62" s="52">
        <f t="shared" ref="Q62:R62" si="1">Q60+(3*Q61)</f>
        <v>0.56000000000000005</v>
      </c>
      <c r="R62" s="52">
        <f t="shared" si="1"/>
        <v>1.67</v>
      </c>
    </row>
    <row r="63" spans="15:23" x14ac:dyDescent="0.35">
      <c r="O63" s="52" t="s">
        <v>67</v>
      </c>
      <c r="P63" s="52">
        <f>P60-(3*P61)</f>
        <v>-2.0719999999999961E-2</v>
      </c>
      <c r="Q63" s="52">
        <f t="shared" ref="Q63:R63" si="2">Q60-(3*Q61)</f>
        <v>-4.0000000000000036E-2</v>
      </c>
      <c r="R63" s="52">
        <f t="shared" si="2"/>
        <v>-1.33</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2"/>
  <sheetViews>
    <sheetView topLeftCell="A45" zoomScale="85" zoomScaleNormal="85" workbookViewId="0">
      <selection activeCell="P58" sqref="P58"/>
    </sheetView>
  </sheetViews>
  <sheetFormatPr defaultColWidth="8.7265625" defaultRowHeight="14.5" x14ac:dyDescent="0.35"/>
  <cols>
    <col min="1" max="16384" width="8.7265625" style="45"/>
  </cols>
  <sheetData>
    <row r="1" spans="1:5" x14ac:dyDescent="0.35">
      <c r="A1" s="45" t="s">
        <v>42</v>
      </c>
      <c r="B1" s="45" t="s">
        <v>43</v>
      </c>
      <c r="C1" s="45" t="s">
        <v>44</v>
      </c>
      <c r="D1" s="45" t="s">
        <v>45</v>
      </c>
      <c r="E1" s="45" t="s">
        <v>46</v>
      </c>
    </row>
    <row r="2" spans="1:5" x14ac:dyDescent="0.35">
      <c r="A2" s="45">
        <v>0.75</v>
      </c>
      <c r="B2" s="45">
        <v>8.3333333333333329E-2</v>
      </c>
      <c r="C2" s="45">
        <v>8.3333333333333329E-2</v>
      </c>
      <c r="D2" s="45">
        <v>0.25</v>
      </c>
      <c r="E2" s="45">
        <v>0.16666666666666666</v>
      </c>
    </row>
    <row r="3" spans="1:5" x14ac:dyDescent="0.35">
      <c r="A3" s="45">
        <v>0.81481481481481477</v>
      </c>
      <c r="B3" s="45">
        <v>0.1111111111111111</v>
      </c>
      <c r="C3" s="45">
        <v>0.1111111111111111</v>
      </c>
      <c r="D3" s="45">
        <v>0.37037037037037035</v>
      </c>
      <c r="E3" s="45">
        <v>0.14814814814814814</v>
      </c>
    </row>
    <row r="4" spans="1:5" x14ac:dyDescent="0.35">
      <c r="A4" s="45">
        <v>0.66666666666666663</v>
      </c>
      <c r="B4" s="45">
        <v>4.1666666666666664E-2</v>
      </c>
      <c r="C4" s="45">
        <v>8.3333333333333329E-2</v>
      </c>
      <c r="D4" s="45">
        <v>0.25</v>
      </c>
      <c r="E4" s="45">
        <v>0.16666666666666666</v>
      </c>
    </row>
    <row r="5" spans="1:5" x14ac:dyDescent="0.35">
      <c r="A5" s="45">
        <v>0.66666666666666663</v>
      </c>
      <c r="B5" s="45">
        <v>0.16666666666666666</v>
      </c>
      <c r="C5" s="45">
        <v>0.16666666666666666</v>
      </c>
      <c r="D5" s="45">
        <v>0.16666666666666666</v>
      </c>
      <c r="E5" s="45">
        <v>0.16666666666666666</v>
      </c>
    </row>
    <row r="6" spans="1:5" x14ac:dyDescent="0.35">
      <c r="A6" s="45">
        <v>0.81818181818181823</v>
      </c>
      <c r="B6" s="45">
        <v>0.13636363636363635</v>
      </c>
      <c r="C6" s="45">
        <v>9.0909090909090912E-2</v>
      </c>
      <c r="D6" s="45">
        <v>0.36363636363636365</v>
      </c>
      <c r="E6" s="45">
        <v>0.18181818181818182</v>
      </c>
    </row>
    <row r="7" spans="1:5" x14ac:dyDescent="0.35">
      <c r="A7" s="45">
        <v>0.92307692307692313</v>
      </c>
      <c r="B7" s="45">
        <v>0.15384615384615385</v>
      </c>
      <c r="C7" s="45">
        <v>0.15384615384615385</v>
      </c>
      <c r="D7" s="45">
        <v>0.38461538461538464</v>
      </c>
      <c r="E7" s="45">
        <v>0.23076923076923078</v>
      </c>
    </row>
    <row r="8" spans="1:5" x14ac:dyDescent="0.35">
      <c r="A8" s="45">
        <v>0.90909090909090906</v>
      </c>
      <c r="B8" s="45">
        <v>9.0909090909090912E-2</v>
      </c>
      <c r="C8" s="45">
        <v>9.0909090909090912E-2</v>
      </c>
      <c r="D8" s="45">
        <v>0.45454545454545453</v>
      </c>
      <c r="E8" s="45">
        <v>0.18181818181818182</v>
      </c>
    </row>
    <row r="9" spans="1:5" x14ac:dyDescent="0.35">
      <c r="A9" s="45">
        <v>0.8571428571428571</v>
      </c>
      <c r="B9" s="45">
        <v>0.14285714285714285</v>
      </c>
      <c r="C9" s="45">
        <v>0.14285714285714285</v>
      </c>
      <c r="D9" s="45">
        <v>0.2857142857142857</v>
      </c>
      <c r="E9" s="45">
        <v>0.2857142857142857</v>
      </c>
    </row>
    <row r="10" spans="1:5" x14ac:dyDescent="0.35">
      <c r="A10" s="45">
        <v>0.8</v>
      </c>
      <c r="B10" s="45">
        <v>0.1</v>
      </c>
      <c r="C10" s="45">
        <v>0.1</v>
      </c>
      <c r="D10" s="45">
        <v>0.3</v>
      </c>
      <c r="E10" s="45">
        <v>0.1</v>
      </c>
    </row>
    <row r="11" spans="1:5" x14ac:dyDescent="0.35">
      <c r="A11" s="45">
        <v>0.91428571428571426</v>
      </c>
      <c r="B11" s="45">
        <v>8.5714285714285715E-2</v>
      </c>
      <c r="C11" s="45">
        <v>8.5714285714285715E-2</v>
      </c>
      <c r="D11" s="45">
        <v>0.4</v>
      </c>
      <c r="E11" s="45">
        <v>0.2</v>
      </c>
    </row>
    <row r="12" spans="1:5" x14ac:dyDescent="0.35">
      <c r="A12" s="45">
        <v>1</v>
      </c>
      <c r="B12" s="45">
        <v>0.25</v>
      </c>
      <c r="C12" s="45">
        <v>0.25</v>
      </c>
      <c r="D12" s="45">
        <v>0.25</v>
      </c>
      <c r="E12" s="45">
        <v>0.25</v>
      </c>
    </row>
    <row r="13" spans="1:5" x14ac:dyDescent="0.35">
      <c r="A13" s="45">
        <v>0.625</v>
      </c>
      <c r="B13" s="45">
        <v>0.125</v>
      </c>
      <c r="C13" s="45">
        <v>0.125</v>
      </c>
      <c r="D13" s="45">
        <v>0.25</v>
      </c>
      <c r="E13" s="45">
        <v>0.125</v>
      </c>
    </row>
    <row r="14" spans="1:5" x14ac:dyDescent="0.35">
      <c r="A14" s="45">
        <v>0.8</v>
      </c>
      <c r="B14" s="45">
        <v>0.1</v>
      </c>
      <c r="C14" s="45">
        <v>-2.9</v>
      </c>
      <c r="D14" s="45">
        <v>0.3</v>
      </c>
      <c r="E14" s="45">
        <v>0.2</v>
      </c>
    </row>
    <row r="15" spans="1:5" x14ac:dyDescent="0.35">
      <c r="A15" s="45">
        <v>0.91666666666666663</v>
      </c>
      <c r="B15" s="45">
        <v>8.3333333333333329E-2</v>
      </c>
      <c r="C15" s="45">
        <v>8.3333333333333329E-2</v>
      </c>
      <c r="D15" s="45">
        <v>0.45833333333333331</v>
      </c>
      <c r="E15" s="45">
        <v>0.16666666666666666</v>
      </c>
    </row>
    <row r="16" spans="1:5" x14ac:dyDescent="0.35">
      <c r="A16" s="45">
        <v>0.5625</v>
      </c>
      <c r="B16" s="45">
        <v>6.25E-2</v>
      </c>
      <c r="C16" s="45">
        <v>0.125</v>
      </c>
      <c r="D16" s="45">
        <v>0.25</v>
      </c>
      <c r="E16" s="45">
        <v>0.125</v>
      </c>
    </row>
    <row r="17" spans="1:5" x14ac:dyDescent="0.35">
      <c r="A17" s="45">
        <v>0.81818181818181823</v>
      </c>
      <c r="B17" s="45">
        <v>9.0909090909090912E-2</v>
      </c>
      <c r="C17" s="45">
        <v>9.0909090909090912E-2</v>
      </c>
      <c r="D17" s="45">
        <v>0.27272727272727271</v>
      </c>
      <c r="E17" s="45">
        <v>0.27272727272727271</v>
      </c>
    </row>
    <row r="18" spans="1:5" x14ac:dyDescent="0.35">
      <c r="A18" s="45">
        <v>0.77777777777777779</v>
      </c>
      <c r="B18" s="45">
        <v>0.1111111111111111</v>
      </c>
      <c r="C18" s="45">
        <v>0.1111111111111111</v>
      </c>
      <c r="D18" s="45">
        <v>0.33333333333333331</v>
      </c>
      <c r="E18" s="45">
        <v>0.22222222222222221</v>
      </c>
    </row>
    <row r="19" spans="1:5" x14ac:dyDescent="0.35">
      <c r="A19" s="45">
        <v>1.1818181818181819</v>
      </c>
      <c r="B19" s="45">
        <v>0.12121212121212122</v>
      </c>
      <c r="C19" s="45">
        <v>9.0909090909090912E-2</v>
      </c>
      <c r="D19" s="45">
        <v>0.45454545454545453</v>
      </c>
      <c r="E19" s="45">
        <v>0.21212121212121213</v>
      </c>
    </row>
    <row r="20" spans="1:5" x14ac:dyDescent="0.35">
      <c r="A20" s="45">
        <v>0.9375</v>
      </c>
      <c r="B20" s="45">
        <v>0.125</v>
      </c>
      <c r="C20" s="45">
        <v>0.125</v>
      </c>
      <c r="D20" s="45">
        <v>0.3125</v>
      </c>
      <c r="E20" s="45">
        <v>0.1875</v>
      </c>
    </row>
    <row r="21" spans="1:5" x14ac:dyDescent="0.35">
      <c r="A21" s="45">
        <v>0.78048780487804881</v>
      </c>
      <c r="B21" s="45">
        <v>0.14634146341463414</v>
      </c>
      <c r="C21" s="45">
        <v>7.3170731707317069E-2</v>
      </c>
      <c r="D21" s="45">
        <v>0.34146341463414637</v>
      </c>
      <c r="E21" s="45">
        <v>0.17073170731707318</v>
      </c>
    </row>
    <row r="22" spans="1:5" x14ac:dyDescent="0.35">
      <c r="A22" s="45">
        <v>0.5625</v>
      </c>
      <c r="B22" s="45">
        <v>6.25E-2</v>
      </c>
      <c r="C22" s="45">
        <v>6.25E-2</v>
      </c>
      <c r="D22" s="45">
        <v>0.25</v>
      </c>
      <c r="E22" s="45">
        <v>0.15625</v>
      </c>
    </row>
    <row r="23" spans="1:5" x14ac:dyDescent="0.35">
      <c r="A23" s="45">
        <v>0.5</v>
      </c>
      <c r="B23" s="45">
        <v>6.25E-2</v>
      </c>
      <c r="C23" s="45">
        <v>6.25E-2</v>
      </c>
      <c r="D23" s="45">
        <v>0.1875</v>
      </c>
      <c r="E23" s="45">
        <v>0.1875</v>
      </c>
    </row>
    <row r="24" spans="1:5" x14ac:dyDescent="0.35">
      <c r="A24" s="45">
        <v>0.76190476190476186</v>
      </c>
      <c r="B24" s="45">
        <v>9.5238095238095233E-2</v>
      </c>
      <c r="C24" s="45">
        <v>9.5238095238095233E-2</v>
      </c>
      <c r="D24" s="45">
        <v>0.2857142857142857</v>
      </c>
      <c r="E24" s="45">
        <v>0.16666666666666666</v>
      </c>
    </row>
    <row r="25" spans="1:5" x14ac:dyDescent="0.35">
      <c r="A25" s="45">
        <v>0.6</v>
      </c>
      <c r="B25" s="45">
        <v>0.1</v>
      </c>
      <c r="C25" s="45">
        <v>0.1</v>
      </c>
      <c r="D25" s="45">
        <v>0.2</v>
      </c>
      <c r="E25" s="45">
        <v>0.1</v>
      </c>
    </row>
    <row r="26" spans="1:5" x14ac:dyDescent="0.35">
      <c r="A26" s="45">
        <v>0.8</v>
      </c>
      <c r="B26" s="45">
        <v>0.1</v>
      </c>
      <c r="C26" s="45">
        <v>0.1</v>
      </c>
      <c r="D26" s="45">
        <v>0.3</v>
      </c>
      <c r="E26" s="45">
        <v>0.2</v>
      </c>
    </row>
    <row r="27" spans="1:5" x14ac:dyDescent="0.35">
      <c r="A27" s="45">
        <v>0.43478260869565216</v>
      </c>
      <c r="B27" s="45">
        <v>8.6956521739130432E-2</v>
      </c>
      <c r="C27" s="45">
        <v>6.5217391304347824E-2</v>
      </c>
      <c r="D27" s="45">
        <v>0.14130434782608695</v>
      </c>
      <c r="E27" s="45">
        <v>0.11956521739130435</v>
      </c>
    </row>
    <row r="28" spans="1:5" x14ac:dyDescent="0.35">
      <c r="A28" s="45">
        <v>0.36585365853658536</v>
      </c>
      <c r="B28" s="45">
        <v>7.3170731707317069E-2</v>
      </c>
      <c r="C28" s="45">
        <v>7.3170731707317069E-2</v>
      </c>
      <c r="D28" s="45">
        <v>0.14634146341463414</v>
      </c>
      <c r="E28" s="45">
        <v>9.7560975609756101E-2</v>
      </c>
    </row>
    <row r="29" spans="1:5" x14ac:dyDescent="0.35">
      <c r="A29" s="45">
        <v>0.8</v>
      </c>
      <c r="B29" s="45">
        <v>6.6666666666666666E-2</v>
      </c>
      <c r="C29" s="45">
        <v>6.6666666666666666E-2</v>
      </c>
      <c r="D29" s="45">
        <v>0.3</v>
      </c>
      <c r="E29" s="45">
        <v>0.16666666666666666</v>
      </c>
    </row>
    <row r="30" spans="1:5" x14ac:dyDescent="0.35">
      <c r="A30" s="45">
        <v>0.47368421052631576</v>
      </c>
      <c r="B30" s="45">
        <v>7.8947368421052627E-2</v>
      </c>
      <c r="C30" s="45">
        <v>5.2631578947368418E-2</v>
      </c>
      <c r="D30" s="45">
        <v>0.21052631578947367</v>
      </c>
      <c r="E30" s="45">
        <v>0.10526315789473684</v>
      </c>
    </row>
    <row r="31" spans="1:5" x14ac:dyDescent="0.35">
      <c r="A31" s="45">
        <v>0.8</v>
      </c>
      <c r="B31" s="45">
        <v>0.1</v>
      </c>
      <c r="C31" s="45">
        <v>0.1</v>
      </c>
      <c r="D31" s="45">
        <v>0.4</v>
      </c>
      <c r="E31" s="45">
        <v>0.1</v>
      </c>
    </row>
    <row r="32" spans="1:5" x14ac:dyDescent="0.35">
      <c r="A32" s="45">
        <v>0.83333333333333337</v>
      </c>
      <c r="B32" s="45">
        <v>0.16666666666666666</v>
      </c>
      <c r="C32" s="45">
        <v>0.16666666666666666</v>
      </c>
      <c r="D32" s="45">
        <v>0.5</v>
      </c>
      <c r="E32" s="45">
        <v>0.33333333333333331</v>
      </c>
    </row>
    <row r="33" spans="1:18" x14ac:dyDescent="0.35">
      <c r="A33" s="45">
        <v>1</v>
      </c>
      <c r="B33" s="45">
        <v>0.2</v>
      </c>
      <c r="C33" s="45">
        <v>0.2</v>
      </c>
      <c r="D33" s="45">
        <v>0.2</v>
      </c>
      <c r="E33" s="45">
        <v>0.2</v>
      </c>
    </row>
    <row r="34" spans="1:18" x14ac:dyDescent="0.35">
      <c r="A34" s="45">
        <v>1.6</v>
      </c>
      <c r="B34" s="45">
        <v>0.2</v>
      </c>
      <c r="C34" s="45">
        <v>0.2</v>
      </c>
      <c r="D34" s="45">
        <v>0.4</v>
      </c>
      <c r="E34" s="45">
        <v>0.2</v>
      </c>
    </row>
    <row r="35" spans="1:18" x14ac:dyDescent="0.35">
      <c r="A35" s="45">
        <v>1.4</v>
      </c>
      <c r="B35" s="45">
        <v>0.2</v>
      </c>
      <c r="C35" s="45">
        <v>0.2</v>
      </c>
      <c r="D35" s="45">
        <v>0.4</v>
      </c>
      <c r="E35" s="45">
        <v>0.4</v>
      </c>
    </row>
    <row r="36" spans="1:18" x14ac:dyDescent="0.35">
      <c r="A36" s="45">
        <v>0.6071428571428571</v>
      </c>
      <c r="B36" s="45">
        <v>7.1428571428571425E-2</v>
      </c>
      <c r="C36" s="45">
        <v>8.9285714285714288E-2</v>
      </c>
      <c r="D36" s="45">
        <v>0.25</v>
      </c>
      <c r="E36" s="45">
        <v>0.16071428571428573</v>
      </c>
    </row>
    <row r="37" spans="1:18" x14ac:dyDescent="0.35">
      <c r="A37" s="45">
        <v>1.04</v>
      </c>
      <c r="B37" s="45">
        <v>0.04</v>
      </c>
      <c r="C37" s="45">
        <v>0.08</v>
      </c>
      <c r="D37" s="45">
        <v>0.36</v>
      </c>
      <c r="E37" s="45">
        <v>0.16</v>
      </c>
    </row>
    <row r="44" spans="1:18" x14ac:dyDescent="0.35">
      <c r="K44" s="45" t="s">
        <v>77</v>
      </c>
    </row>
    <row r="45" spans="1:18" x14ac:dyDescent="0.35">
      <c r="K45" s="45" t="s">
        <v>42</v>
      </c>
      <c r="L45" s="45" t="s">
        <v>78</v>
      </c>
      <c r="M45" s="49" t="s">
        <v>84</v>
      </c>
    </row>
    <row r="47" spans="1:18" x14ac:dyDescent="0.35">
      <c r="D47" s="45" t="s">
        <v>77</v>
      </c>
      <c r="N47" s="50" t="s">
        <v>58</v>
      </c>
      <c r="O47" s="50" t="s">
        <v>80</v>
      </c>
      <c r="P47" s="51" t="s">
        <v>43</v>
      </c>
      <c r="Q47" s="51" t="s">
        <v>45</v>
      </c>
      <c r="R47" s="51" t="s">
        <v>46</v>
      </c>
    </row>
    <row r="48" spans="1:18" x14ac:dyDescent="0.35">
      <c r="D48" s="45" t="s">
        <v>42</v>
      </c>
      <c r="E48" s="45" t="s">
        <v>78</v>
      </c>
      <c r="F48" s="49" t="s">
        <v>85</v>
      </c>
      <c r="N48" s="52" t="s">
        <v>60</v>
      </c>
      <c r="O48" s="53">
        <v>0.80800000000000005</v>
      </c>
      <c r="P48" s="53">
        <v>0.112</v>
      </c>
      <c r="Q48" s="54">
        <v>0.30499999999999999</v>
      </c>
      <c r="R48" s="54">
        <v>0.1837</v>
      </c>
    </row>
    <row r="49" spans="14:18" x14ac:dyDescent="0.35">
      <c r="N49" s="52" t="s">
        <v>61</v>
      </c>
      <c r="O49" s="55">
        <f>(O50-O51)/6</f>
        <v>0.18883333333333333</v>
      </c>
      <c r="P49" s="55">
        <f>(P50-P51)/6</f>
        <v>3.3566666666666668E-2</v>
      </c>
      <c r="Q49" s="55">
        <f>(Q50-Q51)/6</f>
        <v>9.4516666666666679E-2</v>
      </c>
      <c r="R49" s="55">
        <f>(R50-R51)/6</f>
        <v>6.0599999999999994E-2</v>
      </c>
    </row>
    <row r="50" spans="14:18" x14ac:dyDescent="0.35">
      <c r="N50" s="52" t="s">
        <v>62</v>
      </c>
      <c r="O50" s="56">
        <v>1.375</v>
      </c>
      <c r="P50" s="45">
        <v>0.2127</v>
      </c>
      <c r="Q50" s="57">
        <v>0.58850000000000002</v>
      </c>
      <c r="R50" s="57">
        <v>0.36549999999999999</v>
      </c>
    </row>
    <row r="51" spans="14:18" x14ac:dyDescent="0.35">
      <c r="N51" s="52" t="s">
        <v>63</v>
      </c>
      <c r="O51" s="56">
        <v>0.24199999999999999</v>
      </c>
      <c r="P51" s="45">
        <v>1.1299999999999999E-2</v>
      </c>
      <c r="Q51" s="57">
        <v>2.1399999999999999E-2</v>
      </c>
      <c r="R51" s="57">
        <v>1.9E-3</v>
      </c>
    </row>
    <row r="52" spans="14:18" x14ac:dyDescent="0.35">
      <c r="N52" s="58"/>
      <c r="O52" s="58"/>
      <c r="P52" s="58"/>
      <c r="Q52" s="58"/>
    </row>
    <row r="53" spans="14:18" x14ac:dyDescent="0.35">
      <c r="N53" s="58"/>
      <c r="O53" s="58"/>
      <c r="P53" s="58"/>
      <c r="Q53" s="58"/>
    </row>
    <row r="54" spans="14:18" x14ac:dyDescent="0.35">
      <c r="N54" s="58"/>
      <c r="O54" s="58"/>
      <c r="P54" s="58"/>
      <c r="Q54" s="58"/>
    </row>
    <row r="55" spans="14:18" x14ac:dyDescent="0.35">
      <c r="N55" s="50" t="s">
        <v>64</v>
      </c>
      <c r="O55" s="50" t="s">
        <v>80</v>
      </c>
      <c r="P55" s="58"/>
      <c r="Q55" s="58"/>
    </row>
    <row r="56" spans="14:18" x14ac:dyDescent="0.35">
      <c r="N56" s="52" t="s">
        <v>60</v>
      </c>
      <c r="O56" s="59">
        <f>O48-Q56</f>
        <v>0.72720000000000007</v>
      </c>
      <c r="P56" s="58"/>
      <c r="Q56" s="58">
        <f>O48*10%</f>
        <v>8.0800000000000011E-2</v>
      </c>
    </row>
    <row r="57" spans="14:18" x14ac:dyDescent="0.35">
      <c r="N57" s="52" t="s">
        <v>61</v>
      </c>
      <c r="O57" s="52">
        <v>0.25</v>
      </c>
      <c r="P57" s="58"/>
      <c r="Q57" s="58"/>
    </row>
    <row r="58" spans="14:18" x14ac:dyDescent="0.35">
      <c r="N58" s="58"/>
      <c r="O58" s="58"/>
      <c r="P58" s="58"/>
      <c r="Q58" s="58"/>
    </row>
    <row r="59" spans="14:18" x14ac:dyDescent="0.35">
      <c r="N59" s="58"/>
      <c r="O59" s="58"/>
      <c r="P59" s="58"/>
      <c r="Q59" s="58"/>
    </row>
    <row r="60" spans="14:18" x14ac:dyDescent="0.35">
      <c r="N60" s="50" t="s">
        <v>65</v>
      </c>
      <c r="O60" s="50" t="s">
        <v>80</v>
      </c>
      <c r="P60" s="51" t="s">
        <v>43</v>
      </c>
      <c r="Q60" s="51" t="s">
        <v>45</v>
      </c>
      <c r="R60" s="51" t="s">
        <v>46</v>
      </c>
    </row>
    <row r="61" spans="14:18" x14ac:dyDescent="0.35">
      <c r="N61" s="52" t="s">
        <v>60</v>
      </c>
      <c r="O61" s="60">
        <f>0.057 + (2.133*P61) + (1.397*Q61) + (0.469*R61)</f>
        <v>0.93593000000000015</v>
      </c>
      <c r="P61" s="60">
        <v>0.2</v>
      </c>
      <c r="Q61" s="60">
        <v>0.26</v>
      </c>
      <c r="R61" s="60">
        <v>0.19</v>
      </c>
    </row>
    <row r="62" spans="14:18" x14ac:dyDescent="0.35">
      <c r="N62" s="52" t="s">
        <v>61</v>
      </c>
      <c r="O62" s="52">
        <v>0.25</v>
      </c>
      <c r="P62" s="45">
        <v>0.1</v>
      </c>
      <c r="Q62" s="52">
        <v>0.1</v>
      </c>
      <c r="R62" s="52">
        <v>0.5</v>
      </c>
    </row>
    <row r="63" spans="14:18" x14ac:dyDescent="0.35">
      <c r="N63" s="52" t="s">
        <v>66</v>
      </c>
      <c r="O63" s="52">
        <f>O61+(3*O62)</f>
        <v>1.6859300000000002</v>
      </c>
      <c r="P63" s="52">
        <f>P61+(3*P62)</f>
        <v>0.5</v>
      </c>
      <c r="Q63" s="52">
        <f t="shared" ref="Q63:R63" si="0">Q61+(3*Q62)</f>
        <v>0.56000000000000005</v>
      </c>
      <c r="R63" s="52">
        <f t="shared" si="0"/>
        <v>1.69</v>
      </c>
    </row>
    <row r="64" spans="14:18" x14ac:dyDescent="0.35">
      <c r="N64" s="52" t="s">
        <v>67</v>
      </c>
      <c r="O64" s="52">
        <f>O61-(3*O62)</f>
        <v>0.18593000000000015</v>
      </c>
      <c r="P64" s="52">
        <f>P61-(3*P62)</f>
        <v>-0.10000000000000003</v>
      </c>
      <c r="Q64" s="52">
        <f t="shared" ref="Q64:R64" si="1">Q61-(3*Q62)</f>
        <v>-4.0000000000000036E-2</v>
      </c>
      <c r="R64" s="52">
        <f t="shared" si="1"/>
        <v>-1.31</v>
      </c>
    </row>
    <row r="68" spans="14:17" x14ac:dyDescent="0.35">
      <c r="N68" s="50" t="s">
        <v>65</v>
      </c>
      <c r="O68" s="50" t="s">
        <v>80</v>
      </c>
      <c r="P68" s="51" t="s">
        <v>43</v>
      </c>
      <c r="Q68" s="51" t="s">
        <v>45</v>
      </c>
    </row>
    <row r="69" spans="14:17" x14ac:dyDescent="0.35">
      <c r="N69" s="52" t="s">
        <v>60</v>
      </c>
      <c r="O69" s="60">
        <f>0.0749 + (2.44*P69)+ (1.509*Q69)</f>
        <v>0.72144999999999992</v>
      </c>
      <c r="P69" s="60">
        <v>9.8000000000000004E-2</v>
      </c>
      <c r="Q69" s="60">
        <v>0.27</v>
      </c>
    </row>
    <row r="70" spans="14:17" x14ac:dyDescent="0.35">
      <c r="N70" s="52" t="s">
        <v>61</v>
      </c>
      <c r="O70" s="52">
        <v>0.25</v>
      </c>
      <c r="P70" s="45">
        <v>0.1</v>
      </c>
      <c r="Q70" s="52">
        <v>0.1</v>
      </c>
    </row>
    <row r="71" spans="14:17" x14ac:dyDescent="0.35">
      <c r="N71" s="52" t="s">
        <v>66</v>
      </c>
      <c r="O71" s="52">
        <f>O69+(3*O70)</f>
        <v>1.4714499999999999</v>
      </c>
      <c r="P71" s="52">
        <f>P69+(3*P70)</f>
        <v>0.39800000000000002</v>
      </c>
      <c r="Q71" s="52">
        <f t="shared" ref="Q71" si="2">Q69+(3*Q70)</f>
        <v>0.57000000000000006</v>
      </c>
    </row>
    <row r="72" spans="14:17" x14ac:dyDescent="0.35">
      <c r="N72" s="52" t="s">
        <v>67</v>
      </c>
      <c r="O72" s="52">
        <f>O69-(3*O70)</f>
        <v>-2.8550000000000075E-2</v>
      </c>
      <c r="P72" s="52">
        <f>P69-(3*P70)</f>
        <v>-0.20200000000000004</v>
      </c>
      <c r="Q72" s="52">
        <f t="shared" ref="Q72" si="3">Q69-(3*Q70)</f>
        <v>-3.0000000000000027E-2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DC JantoMay</vt:lpstr>
      <vt:lpstr>Sheet1</vt:lpstr>
      <vt:lpstr>PPM Prod</vt:lpstr>
      <vt:lpstr>PPM CT </vt:lpstr>
      <vt:lpstr>PPM DRE</vt:lpstr>
      <vt:lpstr>Merge CT 2&amp;3</vt:lpstr>
      <vt:lpstr>Combine CT 2&amp;3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2026-06-08T08:01:46Z</dcterms:modified>
</cp:coreProperties>
</file>