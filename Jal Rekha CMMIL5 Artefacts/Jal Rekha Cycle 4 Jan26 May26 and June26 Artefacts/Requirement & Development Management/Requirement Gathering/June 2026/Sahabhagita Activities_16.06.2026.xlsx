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Final_16.06.2026" sheetId="6" r:id="rId1"/>
    <sheet name="Abstract of RA Bill" sheetId="5" r:id="rId2"/>
    <sheet name="Final" sheetId="1" r:id="rId3"/>
    <sheet name="Working" sheetId="2" r:id="rId4"/>
  </sheets>
  <definedNames>
    <definedName name="_xlnm.Print_Area" localSheetId="2">Final!$A$1:$P$34</definedName>
    <definedName name="_xlnm.Print_Area" localSheetId="0">Final_16.06.2026!$A$1:$Q$47</definedName>
    <definedName name="_xlnm.Print_Area" localSheetId="3">Working!$A$1:$P$34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5" l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M16" i="5"/>
  <c r="R35" i="2"/>
  <c r="Q35" i="2"/>
</calcChain>
</file>

<file path=xl/sharedStrings.xml><?xml version="1.0" encoding="utf-8"?>
<sst xmlns="http://schemas.openxmlformats.org/spreadsheetml/2006/main" count="502" uniqueCount="150">
  <si>
    <t>SERIAL NO</t>
  </si>
  <si>
    <t>SURVEY ID</t>
  </si>
  <si>
    <t>SURVEYED BY</t>
  </si>
  <si>
    <t>MOBILE NO</t>
  </si>
  <si>
    <t>DESIGNATION</t>
  </si>
  <si>
    <t>PIU NAME</t>
  </si>
  <si>
    <t>SCHEME ID</t>
  </si>
  <si>
    <t>MVS NAME</t>
  </si>
  <si>
    <t>xxxx</t>
  </si>
  <si>
    <t>xxx</t>
  </si>
  <si>
    <t>Manager CP</t>
  </si>
  <si>
    <t>xx</t>
  </si>
  <si>
    <t>Name of ISA</t>
  </si>
  <si>
    <t xml:space="preserve">Name of Package </t>
  </si>
  <si>
    <t>Office Opening</t>
  </si>
  <si>
    <t>District Level Workshop</t>
  </si>
  <si>
    <t>Block Level Workshop</t>
  </si>
  <si>
    <t>Cluster Level Workshop</t>
  </si>
  <si>
    <t>Jan Sabha</t>
  </si>
  <si>
    <t>Gram Sabha</t>
  </si>
  <si>
    <t>Celebration of Important International Day (World Water Day (March 22nd)/ /World Handwash day (Oct 15th))</t>
  </si>
  <si>
    <t>Participatory Rural Appraisal (PRA)</t>
  </si>
  <si>
    <t>UV Display Board (2x3)</t>
  </si>
  <si>
    <t>Prachar Rath</t>
  </si>
  <si>
    <t>Street play</t>
  </si>
  <si>
    <t>Poster</t>
  </si>
  <si>
    <t>Pamphlets</t>
  </si>
  <si>
    <t>Slogans</t>
  </si>
  <si>
    <t>Rally</t>
  </si>
  <si>
    <t>School Competition</t>
  </si>
  <si>
    <t>Social Media Promotion</t>
  </si>
  <si>
    <t xml:space="preserve">Record keeping training </t>
  </si>
  <si>
    <t xml:space="preserve">Convergence &amp; Linkage development </t>
  </si>
  <si>
    <t xml:space="preserve">Operation &amp; maintenance (Two times training </t>
  </si>
  <si>
    <t>SHG's Members Meeting</t>
  </si>
  <si>
    <t>Conflict resolution</t>
  </si>
  <si>
    <t xml:space="preserve">Exposure Visit </t>
  </si>
  <si>
    <t xml:space="preserve">FTK Training and Testing </t>
  </si>
  <si>
    <t>Date of LOA</t>
  </si>
  <si>
    <t>Activities</t>
  </si>
  <si>
    <t>Documents to be uploaded</t>
  </si>
  <si>
    <t>Photo of Office</t>
  </si>
  <si>
    <t xml:space="preserve">Photos, Attendance sheet and Letter of CEO, JP/GM, PIU </t>
  </si>
  <si>
    <t xml:space="preserve">Photos, Attendance sheet and Letter of CEO, ZP/GM, PIU </t>
  </si>
  <si>
    <t xml:space="preserve">Photos, Attendance sheet and Letter of District Collector/GM, PIU </t>
  </si>
  <si>
    <t>Photos-5, Meeting Minutes, GP Approval</t>
  </si>
  <si>
    <t>Photos-5, Meeting Minutes, CEO, JP letter</t>
  </si>
  <si>
    <t xml:space="preserve">Photos-2 </t>
  </si>
  <si>
    <t>Photos 2, Attendance sheet</t>
  </si>
  <si>
    <t>Photos 2</t>
  </si>
  <si>
    <t>Screenshot of Social Media Post-2</t>
  </si>
  <si>
    <t>Photos 3, Attendance of Participants</t>
  </si>
  <si>
    <t>Photos 3, Attendance sheet with Sign of meeting Members</t>
  </si>
  <si>
    <t>Photos 2 and remarks</t>
  </si>
  <si>
    <t>Photos 2 and Name of Participants List</t>
  </si>
  <si>
    <t xml:space="preserve">Photos 2 and Name of 5 Trained IMIS Entry Done </t>
  </si>
  <si>
    <t>Name of Project Manager/Coordinator (ISA)</t>
  </si>
  <si>
    <t xml:space="preserve"> No.</t>
  </si>
  <si>
    <t>VWSC Meetings</t>
  </si>
  <si>
    <t>Success Stories</t>
  </si>
  <si>
    <t>Photos and Attendance Sheet</t>
  </si>
  <si>
    <t>Upload Success stories</t>
  </si>
  <si>
    <t>VWSC Account Opening</t>
  </si>
  <si>
    <t>Passbook</t>
  </si>
  <si>
    <t xml:space="preserve">Combined Activities </t>
  </si>
  <si>
    <t>Village Wise</t>
  </si>
  <si>
    <t>Household Base Line Suvery</t>
  </si>
  <si>
    <t>Jal Samagra App</t>
  </si>
  <si>
    <t>Village Action Plan (VAP)</t>
  </si>
  <si>
    <t>Documents, Gram Sabha Resolution</t>
  </si>
  <si>
    <t>VWSC Formation and Strengthen</t>
  </si>
  <si>
    <t>Gram Sabha Resolutiona, Members List</t>
  </si>
  <si>
    <t>Samble Stationary Distribution</t>
  </si>
  <si>
    <t>Photo-2, Gram Panchayat/VWSC Certificate</t>
  </si>
  <si>
    <t>Other Activities (Documentation and other activities as per agreement/instructed by MPJN/Government</t>
  </si>
  <si>
    <t xml:space="preserve">Photos, Documents </t>
  </si>
  <si>
    <t>Activity Type</t>
  </si>
  <si>
    <t>Household Base Line Survey</t>
  </si>
  <si>
    <t>Gram Sabha Resolution, Members List</t>
  </si>
  <si>
    <t>Sample Stationary Distribution</t>
  </si>
  <si>
    <t>One time Activities</t>
  </si>
  <si>
    <t>Mahi Majhodia (District - Ratlam Dhar) NIT 38 Dt. 04.02.2025</t>
  </si>
  <si>
    <t>Total No. Activities</t>
  </si>
  <si>
    <t>1 form every 20 villages</t>
  </si>
  <si>
    <t>Duration - 36</t>
  </si>
  <si>
    <t xml:space="preserve"> Regular monthly meeting of VWSCs in 100% VWSCs. </t>
  </si>
  <si>
    <t>Record keeping training (Two times 
training for two persons per village)</t>
  </si>
  <si>
    <t xml:space="preserve">SHG members Meeting of 25% Villages of entire package </t>
  </si>
  <si>
    <t>Agency will ensure the number of participant 20-25 nos. per exposure visit.</t>
  </si>
  <si>
    <t>each villages 2 participants</t>
  </si>
  <si>
    <t>No. of Village - 115</t>
  </si>
  <si>
    <t>Remarks</t>
  </si>
  <si>
    <t xml:space="preserve">per villages 4 times </t>
  </si>
  <si>
    <t>per week one activities at least two platform (Facebook/Instagram/Twitter) Per Month 8 Activities</t>
  </si>
  <si>
    <t>per batch 30 participants</t>
  </si>
  <si>
    <t>One Conflict will be raise in every three month</t>
  </si>
  <si>
    <t>Summary of VAP</t>
  </si>
  <si>
    <t>Inception Report</t>
  </si>
  <si>
    <t>Deployment of Human Resource</t>
  </si>
  <si>
    <t>Deliverables Update Report</t>
  </si>
  <si>
    <t>Monthly Progress Report</t>
  </si>
  <si>
    <t>Gram Panchayat Resolution.</t>
  </si>
  <si>
    <t>MPR Report Documents</t>
  </si>
  <si>
    <t>Deliverables Update Report Documents</t>
  </si>
  <si>
    <t>Inception Report Documents</t>
  </si>
  <si>
    <t>Summary Reports</t>
  </si>
  <si>
    <t>Report Documents</t>
  </si>
  <si>
    <t>Strategy Report</t>
  </si>
  <si>
    <t>List of HR with Signed</t>
  </si>
  <si>
    <t>Activities Type</t>
  </si>
  <si>
    <t>District Level Workshop Detailed Report</t>
  </si>
  <si>
    <t>Detailed Report Documents</t>
  </si>
  <si>
    <t>Village wise Baseline Survey reports</t>
  </si>
  <si>
    <t>Baseline Survey reports Documents</t>
  </si>
  <si>
    <t>Summary and analysis of baseline survey for entire package</t>
  </si>
  <si>
    <t>Deliverable Update Report for RA
Bill (As per TOR)</t>
  </si>
  <si>
    <t>Monthly Progress Report (As per TOR)</t>
  </si>
  <si>
    <t>Feedback and suggestions of the community is shared with Jal Nigam.</t>
  </si>
  <si>
    <t xml:space="preserve">Submission of success / change stories (at least one for every 20 villages)
</t>
  </si>
  <si>
    <t>Promotion of scheme related activities on Social Media Platforms like Twitter, Facebook, Instagram, etc.</t>
  </si>
  <si>
    <t>No.</t>
  </si>
  <si>
    <t>RA Bill No.</t>
  </si>
  <si>
    <t>Machaghora MVS</t>
  </si>
  <si>
    <t>Name of MVS</t>
  </si>
  <si>
    <t>Chhindwara PIU</t>
  </si>
  <si>
    <t>Name of PIU</t>
  </si>
  <si>
    <t>RA Bill No…........</t>
  </si>
  <si>
    <t>Sahyogini Foundation, Jabalpur</t>
  </si>
  <si>
    <t>Village wise</t>
  </si>
  <si>
    <t>Documents</t>
  </si>
  <si>
    <t xml:space="preserve">Community Contribution </t>
  </si>
  <si>
    <t>Har Ghar Jal Certification</t>
  </si>
  <si>
    <r>
      <t xml:space="preserve">Photos </t>
    </r>
    <r>
      <rPr>
        <b/>
        <sz val="11"/>
        <rFont val="Times New Roman"/>
        <family val="1"/>
      </rPr>
      <t>5</t>
    </r>
  </si>
  <si>
    <t>Photos 1</t>
  </si>
  <si>
    <t>Reports</t>
  </si>
  <si>
    <t>Participatory Rural Appraisal (PRA) Report</t>
  </si>
  <si>
    <t>Photos-5, Meeting Minutes, GP MOM</t>
  </si>
  <si>
    <t>Photos-5, Meeting Minutes, GP certification</t>
  </si>
  <si>
    <t>Upload Success stories/Case studies</t>
  </si>
  <si>
    <t>Summary Reports documents</t>
  </si>
  <si>
    <t>Summary of PRA reports</t>
  </si>
  <si>
    <t>Approval of detailed strategy for Community Contribution</t>
  </si>
  <si>
    <t>Approval of strategy for Social Media Platforms</t>
  </si>
  <si>
    <t>Approval of strategy of Important International Day</t>
  </si>
  <si>
    <t>Orientation workshop detailed report</t>
  </si>
  <si>
    <t xml:space="preserve">Photos and Signed Attendance of Participation </t>
  </si>
  <si>
    <t>No. of Activities</t>
  </si>
  <si>
    <t>Abstract of RA Bill (Customized Report)</t>
  </si>
  <si>
    <t>Category</t>
  </si>
  <si>
    <t xml:space="preserve">Combined/Villages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</si>
</sst>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i/>
      <sz val="13"/>
      <color rgb="FFFF000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R51"/>
  <sheetViews>
    <sheetView tabSelected="1" topLeftCell="M1" zoomScale="90" zoomScaleNormal="90" zoomScaleSheetLayoutView="85" workbookViewId="0">
      <pane xSplit="3" ySplit="2" topLeftCell="P43" activePane="bottomRight" state="frozen"/>
      <selection activeCell="M1" sqref="M1"/>
      <selection pane="topRight" activeCell="O1" sqref="O1"/>
      <selection pane="bottomLeft" activeCell="M3" sqref="M3"/>
      <selection pane="bottomRight" activeCell="Q49" sqref="Q49"/>
    </sheetView>
  </sheetViews>
  <sheetFormatPr defaultColWidth="8.6328125" defaultRowHeight="14" x14ac:dyDescent="0.3"/>
  <cols>
    <col min="1" max="1" width="10.90625" style="6" hidden="1" customWidth="1"/>
    <col min="2" max="2" width="11.08984375" style="6" hidden="1" customWidth="1"/>
    <col min="3" max="3" width="16.36328125" style="6" hidden="1" customWidth="1"/>
    <col min="4" max="4" width="14.08984375" style="6" hidden="1" customWidth="1"/>
    <col min="5" max="5" width="16.36328125" style="6" hidden="1" customWidth="1"/>
    <col min="6" max="7" width="13.6328125" style="6" hidden="1" customWidth="1"/>
    <col min="8" max="10" width="11.6328125" style="6" hidden="1" customWidth="1"/>
    <col min="11" max="11" width="12.36328125" style="6" hidden="1" customWidth="1"/>
    <col min="12" max="12" width="19.36328125" style="6" hidden="1" customWidth="1"/>
    <col min="13" max="13" width="8.36328125" style="6" customWidth="1"/>
    <col min="14" max="14" width="18.1796875" style="6" customWidth="1"/>
    <col min="15" max="15" width="39.81640625" style="8" customWidth="1"/>
    <col min="16" max="16" width="38" style="8" customWidth="1"/>
    <col min="17" max="17" width="19.453125" style="6" customWidth="1"/>
    <col min="18" max="18" width="42" style="1" customWidth="1"/>
    <col min="19" max="19" width="24.1796875" style="1" customWidth="1"/>
    <col min="20" max="16384" width="8.6328125" style="1"/>
  </cols>
  <sheetData>
    <row r="2" spans="1:18" s="4" customFormat="1" ht="23.75" customHeight="1" x14ac:dyDescent="0.35">
      <c r="A2" s="3" t="s">
        <v>0</v>
      </c>
      <c r="B2" s="3" t="s">
        <v>1</v>
      </c>
      <c r="C2" s="3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13</v>
      </c>
      <c r="J2" s="2" t="s">
        <v>38</v>
      </c>
      <c r="K2" s="2" t="s">
        <v>12</v>
      </c>
      <c r="L2" s="2" t="s">
        <v>56</v>
      </c>
      <c r="M2" s="2" t="s">
        <v>57</v>
      </c>
      <c r="N2" s="2" t="s">
        <v>109</v>
      </c>
      <c r="O2" s="2" t="s">
        <v>39</v>
      </c>
      <c r="P2" s="2" t="s">
        <v>40</v>
      </c>
      <c r="Q2" s="2"/>
    </row>
    <row r="3" spans="1:18" ht="20" customHeight="1" x14ac:dyDescent="0.3">
      <c r="A3" s="6">
        <v>1</v>
      </c>
      <c r="B3" s="6" t="s">
        <v>8</v>
      </c>
      <c r="C3" s="6" t="s">
        <v>9</v>
      </c>
      <c r="D3" s="6" t="s">
        <v>8</v>
      </c>
      <c r="E3" s="6" t="s">
        <v>10</v>
      </c>
      <c r="F3" s="6" t="s">
        <v>9</v>
      </c>
      <c r="G3" s="6" t="s">
        <v>9</v>
      </c>
      <c r="H3" s="6" t="s">
        <v>11</v>
      </c>
      <c r="M3" s="30">
        <v>1</v>
      </c>
      <c r="N3" s="34" t="s">
        <v>64</v>
      </c>
      <c r="O3" s="32" t="s">
        <v>14</v>
      </c>
      <c r="P3" s="31" t="s">
        <v>41</v>
      </c>
      <c r="Q3" s="30" t="s">
        <v>64</v>
      </c>
      <c r="R3" s="13" t="s">
        <v>14</v>
      </c>
    </row>
    <row r="4" spans="1:18" ht="29.4" customHeight="1" x14ac:dyDescent="0.3">
      <c r="M4" s="30">
        <v>2</v>
      </c>
      <c r="N4" s="34"/>
      <c r="O4" s="31" t="s">
        <v>98</v>
      </c>
      <c r="P4" s="31" t="s">
        <v>108</v>
      </c>
      <c r="Q4" s="30" t="s">
        <v>64</v>
      </c>
      <c r="R4" s="13" t="s">
        <v>66</v>
      </c>
    </row>
    <row r="5" spans="1:18" ht="29.4" customHeight="1" x14ac:dyDescent="0.3">
      <c r="M5" s="30">
        <v>3</v>
      </c>
      <c r="N5" s="34"/>
      <c r="O5" s="31" t="s">
        <v>97</v>
      </c>
      <c r="P5" s="31" t="s">
        <v>104</v>
      </c>
      <c r="Q5" s="30" t="s">
        <v>64</v>
      </c>
      <c r="R5" s="13" t="s">
        <v>15</v>
      </c>
    </row>
    <row r="6" spans="1:18" ht="36.5" customHeight="1" x14ac:dyDescent="0.3">
      <c r="M6" s="30">
        <v>4</v>
      </c>
      <c r="N6" s="34"/>
      <c r="O6" s="32" t="s">
        <v>15</v>
      </c>
      <c r="P6" s="31" t="s">
        <v>44</v>
      </c>
      <c r="Q6" s="30" t="s">
        <v>64</v>
      </c>
      <c r="R6" s="13" t="s">
        <v>16</v>
      </c>
    </row>
    <row r="7" spans="1:18" ht="36.5" customHeight="1" x14ac:dyDescent="0.3">
      <c r="M7" s="30">
        <v>5</v>
      </c>
      <c r="N7" s="34"/>
      <c r="O7" s="31" t="s">
        <v>144</v>
      </c>
      <c r="P7" s="31" t="s">
        <v>111</v>
      </c>
      <c r="Q7" s="30" t="s">
        <v>64</v>
      </c>
      <c r="R7" s="13" t="s">
        <v>17</v>
      </c>
    </row>
    <row r="8" spans="1:18" ht="34.25" customHeight="1" x14ac:dyDescent="0.3">
      <c r="M8" s="30">
        <v>6</v>
      </c>
      <c r="N8" s="34"/>
      <c r="O8" s="32" t="s">
        <v>16</v>
      </c>
      <c r="P8" s="31" t="s">
        <v>43</v>
      </c>
      <c r="Q8" s="30" t="s">
        <v>64</v>
      </c>
      <c r="R8" s="13" t="s">
        <v>18</v>
      </c>
    </row>
    <row r="9" spans="1:18" ht="29" customHeight="1" x14ac:dyDescent="0.3">
      <c r="M9" s="30">
        <v>7</v>
      </c>
      <c r="N9" s="34"/>
      <c r="O9" s="32" t="s">
        <v>17</v>
      </c>
      <c r="P9" s="31" t="s">
        <v>42</v>
      </c>
      <c r="Q9" s="30" t="s">
        <v>64</v>
      </c>
      <c r="R9" s="13" t="s">
        <v>19</v>
      </c>
    </row>
    <row r="10" spans="1:18" ht="29.4" customHeight="1" x14ac:dyDescent="0.3">
      <c r="M10" s="30">
        <v>8</v>
      </c>
      <c r="N10" s="34"/>
      <c r="O10" s="31" t="s">
        <v>114</v>
      </c>
      <c r="P10" s="31" t="s">
        <v>106</v>
      </c>
      <c r="Q10" s="30" t="s">
        <v>64</v>
      </c>
      <c r="R10" s="13" t="s">
        <v>21</v>
      </c>
    </row>
    <row r="11" spans="1:18" ht="29.4" customHeight="1" x14ac:dyDescent="0.3">
      <c r="M11" s="30">
        <v>9</v>
      </c>
      <c r="N11" s="34"/>
      <c r="O11" s="31" t="s">
        <v>140</v>
      </c>
      <c r="P11" s="31" t="s">
        <v>139</v>
      </c>
      <c r="Q11" s="30" t="s">
        <v>64</v>
      </c>
      <c r="R11" s="13" t="s">
        <v>68</v>
      </c>
    </row>
    <row r="12" spans="1:18" ht="29.4" customHeight="1" x14ac:dyDescent="0.3">
      <c r="M12" s="30">
        <v>10</v>
      </c>
      <c r="N12" s="34"/>
      <c r="O12" s="31" t="s">
        <v>99</v>
      </c>
      <c r="P12" s="31" t="s">
        <v>103</v>
      </c>
      <c r="Q12" s="30" t="s">
        <v>64</v>
      </c>
      <c r="R12" s="13" t="s">
        <v>70</v>
      </c>
    </row>
    <row r="13" spans="1:18" ht="29.4" customHeight="1" x14ac:dyDescent="0.3">
      <c r="M13" s="30">
        <v>11</v>
      </c>
      <c r="N13" s="34"/>
      <c r="O13" s="31" t="s">
        <v>96</v>
      </c>
      <c r="P13" s="31" t="s">
        <v>105</v>
      </c>
      <c r="Q13" s="30" t="s">
        <v>64</v>
      </c>
      <c r="R13" s="13" t="s">
        <v>79</v>
      </c>
    </row>
    <row r="14" spans="1:18" ht="31.25" customHeight="1" x14ac:dyDescent="0.3">
      <c r="M14" s="30">
        <v>12</v>
      </c>
      <c r="N14" s="34"/>
      <c r="O14" s="32" t="s">
        <v>59</v>
      </c>
      <c r="P14" s="31" t="s">
        <v>138</v>
      </c>
      <c r="Q14" s="30" t="s">
        <v>64</v>
      </c>
      <c r="R14" s="13" t="s">
        <v>20</v>
      </c>
    </row>
    <row r="15" spans="1:18" ht="28.5" customHeight="1" x14ac:dyDescent="0.3">
      <c r="M15" s="30">
        <v>13</v>
      </c>
      <c r="N15" s="34"/>
      <c r="O15" s="32" t="s">
        <v>30</v>
      </c>
      <c r="P15" s="31" t="s">
        <v>50</v>
      </c>
      <c r="Q15" s="30" t="s">
        <v>64</v>
      </c>
      <c r="R15" s="14" t="s">
        <v>22</v>
      </c>
    </row>
    <row r="16" spans="1:18" ht="26.75" customHeight="1" x14ac:dyDescent="0.3">
      <c r="M16" s="30">
        <v>14</v>
      </c>
      <c r="N16" s="34"/>
      <c r="O16" s="32" t="s">
        <v>31</v>
      </c>
      <c r="P16" s="31" t="s">
        <v>51</v>
      </c>
      <c r="Q16" s="30" t="s">
        <v>64</v>
      </c>
      <c r="R16" s="14" t="s">
        <v>23</v>
      </c>
    </row>
    <row r="17" spans="13:18" ht="31.25" customHeight="1" x14ac:dyDescent="0.3">
      <c r="M17" s="30">
        <v>15</v>
      </c>
      <c r="N17" s="34"/>
      <c r="O17" s="32" t="s">
        <v>32</v>
      </c>
      <c r="P17" s="31" t="s">
        <v>51</v>
      </c>
      <c r="Q17" s="30" t="s">
        <v>64</v>
      </c>
      <c r="R17" s="14" t="s">
        <v>24</v>
      </c>
    </row>
    <row r="18" spans="13:18" ht="35" customHeight="1" x14ac:dyDescent="0.3">
      <c r="M18" s="30">
        <v>16</v>
      </c>
      <c r="N18" s="34"/>
      <c r="O18" s="32" t="s">
        <v>33</v>
      </c>
      <c r="P18" s="31" t="s">
        <v>51</v>
      </c>
      <c r="Q18" s="30" t="s">
        <v>64</v>
      </c>
      <c r="R18" s="14" t="s">
        <v>25</v>
      </c>
    </row>
    <row r="19" spans="13:18" ht="25.25" customHeight="1" x14ac:dyDescent="0.3">
      <c r="M19" s="30">
        <v>17</v>
      </c>
      <c r="N19" s="34"/>
      <c r="O19" s="32" t="s">
        <v>36</v>
      </c>
      <c r="P19" s="31" t="s">
        <v>54</v>
      </c>
      <c r="Q19" s="30" t="s">
        <v>64</v>
      </c>
      <c r="R19" s="14" t="s">
        <v>26</v>
      </c>
    </row>
    <row r="20" spans="13:18" ht="36.65" customHeight="1" x14ac:dyDescent="0.3">
      <c r="M20" s="30">
        <v>18</v>
      </c>
      <c r="N20" s="34"/>
      <c r="O20" s="31" t="s">
        <v>141</v>
      </c>
      <c r="P20" s="31" t="s">
        <v>107</v>
      </c>
      <c r="Q20" s="30" t="s">
        <v>64</v>
      </c>
      <c r="R20" s="14" t="s">
        <v>27</v>
      </c>
    </row>
    <row r="21" spans="13:18" ht="25.25" customHeight="1" x14ac:dyDescent="0.3">
      <c r="M21" s="30">
        <v>19</v>
      </c>
      <c r="N21" s="34"/>
      <c r="O21" s="31" t="s">
        <v>142</v>
      </c>
      <c r="P21" s="31" t="s">
        <v>107</v>
      </c>
      <c r="Q21" s="30" t="s">
        <v>64</v>
      </c>
      <c r="R21" s="14" t="s">
        <v>28</v>
      </c>
    </row>
    <row r="22" spans="13:18" ht="29.4" customHeight="1" x14ac:dyDescent="0.3">
      <c r="M22" s="30">
        <v>20</v>
      </c>
      <c r="N22" s="34"/>
      <c r="O22" s="31" t="s">
        <v>143</v>
      </c>
      <c r="P22" s="31" t="s">
        <v>107</v>
      </c>
      <c r="Q22" s="30" t="s">
        <v>64</v>
      </c>
      <c r="R22" s="14" t="s">
        <v>29</v>
      </c>
    </row>
    <row r="23" spans="13:18" ht="29.4" customHeight="1" x14ac:dyDescent="0.3">
      <c r="M23" s="30">
        <v>21</v>
      </c>
      <c r="N23" s="34"/>
      <c r="O23" s="31" t="s">
        <v>100</v>
      </c>
      <c r="P23" s="31" t="s">
        <v>102</v>
      </c>
      <c r="Q23" s="30" t="s">
        <v>64</v>
      </c>
      <c r="R23" s="13" t="s">
        <v>58</v>
      </c>
    </row>
    <row r="24" spans="13:18" ht="42" x14ac:dyDescent="0.3">
      <c r="M24" s="30">
        <v>22</v>
      </c>
      <c r="N24" s="34"/>
      <c r="O24" s="7" t="s">
        <v>74</v>
      </c>
      <c r="P24" s="31" t="s">
        <v>75</v>
      </c>
      <c r="Q24" s="30" t="s">
        <v>64</v>
      </c>
      <c r="R24" s="13" t="s">
        <v>59</v>
      </c>
    </row>
    <row r="25" spans="13:18" ht="35.4" customHeight="1" x14ac:dyDescent="0.3">
      <c r="M25" s="30">
        <v>23</v>
      </c>
      <c r="N25" s="34" t="s">
        <v>65</v>
      </c>
      <c r="O25" s="32" t="s">
        <v>18</v>
      </c>
      <c r="P25" s="31" t="s">
        <v>137</v>
      </c>
      <c r="Q25" s="30" t="s">
        <v>65</v>
      </c>
      <c r="R25" s="13" t="s">
        <v>62</v>
      </c>
    </row>
    <row r="26" spans="13:18" ht="30.65" customHeight="1" x14ac:dyDescent="0.3">
      <c r="M26" s="30">
        <v>24</v>
      </c>
      <c r="N26" s="34"/>
      <c r="O26" s="32" t="s">
        <v>19</v>
      </c>
      <c r="P26" s="31" t="s">
        <v>136</v>
      </c>
      <c r="Q26" s="30" t="s">
        <v>65</v>
      </c>
      <c r="R26" s="14" t="s">
        <v>30</v>
      </c>
    </row>
    <row r="27" spans="13:18" ht="26" customHeight="1" x14ac:dyDescent="0.3">
      <c r="M27" s="30">
        <v>25</v>
      </c>
      <c r="N27" s="34"/>
      <c r="O27" s="32" t="s">
        <v>21</v>
      </c>
      <c r="P27" s="31" t="s">
        <v>47</v>
      </c>
      <c r="Q27" s="30" t="s">
        <v>65</v>
      </c>
      <c r="R27" s="14" t="s">
        <v>31</v>
      </c>
    </row>
    <row r="28" spans="13:18" ht="32.4" customHeight="1" x14ac:dyDescent="0.3">
      <c r="M28" s="30">
        <v>26</v>
      </c>
      <c r="N28" s="34"/>
      <c r="O28" s="31" t="s">
        <v>135</v>
      </c>
      <c r="P28" s="31" t="s">
        <v>134</v>
      </c>
      <c r="Q28" s="30" t="s">
        <v>65</v>
      </c>
      <c r="R28" s="14" t="s">
        <v>32</v>
      </c>
    </row>
    <row r="29" spans="13:18" ht="26" customHeight="1" x14ac:dyDescent="0.3">
      <c r="M29" s="30">
        <v>27</v>
      </c>
      <c r="N29" s="34"/>
      <c r="O29" s="32" t="s">
        <v>68</v>
      </c>
      <c r="P29" s="31" t="s">
        <v>69</v>
      </c>
      <c r="Q29" s="30" t="s">
        <v>65</v>
      </c>
      <c r="R29" s="14" t="s">
        <v>33</v>
      </c>
    </row>
    <row r="30" spans="13:18" ht="26" customHeight="1" x14ac:dyDescent="0.3">
      <c r="M30" s="30">
        <v>28</v>
      </c>
      <c r="N30" s="34"/>
      <c r="O30" s="13" t="s">
        <v>70</v>
      </c>
      <c r="P30" s="31" t="s">
        <v>71</v>
      </c>
      <c r="Q30" s="30" t="s">
        <v>65</v>
      </c>
      <c r="R30" s="13" t="s">
        <v>34</v>
      </c>
    </row>
    <row r="31" spans="13:18" ht="32.4" customHeight="1" x14ac:dyDescent="0.3">
      <c r="M31" s="30">
        <v>29</v>
      </c>
      <c r="N31" s="34"/>
      <c r="O31" s="32" t="s">
        <v>79</v>
      </c>
      <c r="P31" s="31" t="s">
        <v>73</v>
      </c>
      <c r="Q31" s="30" t="s">
        <v>65</v>
      </c>
      <c r="R31" s="7" t="s">
        <v>35</v>
      </c>
    </row>
    <row r="32" spans="13:18" ht="42" x14ac:dyDescent="0.3">
      <c r="M32" s="30">
        <v>30</v>
      </c>
      <c r="N32" s="34"/>
      <c r="O32" s="13" t="s">
        <v>20</v>
      </c>
      <c r="P32" s="31" t="s">
        <v>48</v>
      </c>
      <c r="Q32" s="30" t="s">
        <v>65</v>
      </c>
      <c r="R32" s="13" t="s">
        <v>36</v>
      </c>
    </row>
    <row r="33" spans="13:18" ht="20" customHeight="1" x14ac:dyDescent="0.3">
      <c r="M33" s="30">
        <v>31</v>
      </c>
      <c r="N33" s="34"/>
      <c r="O33" s="32" t="s">
        <v>22</v>
      </c>
      <c r="P33" s="31" t="s">
        <v>133</v>
      </c>
      <c r="Q33" s="30" t="s">
        <v>65</v>
      </c>
      <c r="R33" s="13" t="s">
        <v>37</v>
      </c>
    </row>
    <row r="34" spans="13:18" ht="55.75" customHeight="1" x14ac:dyDescent="0.3">
      <c r="M34" s="30">
        <v>32</v>
      </c>
      <c r="N34" s="34"/>
      <c r="O34" s="32" t="s">
        <v>23</v>
      </c>
      <c r="P34" s="31" t="s">
        <v>49</v>
      </c>
      <c r="Q34" s="30" t="s">
        <v>65</v>
      </c>
      <c r="R34" s="7" t="s">
        <v>74</v>
      </c>
    </row>
    <row r="35" spans="13:18" ht="20" customHeight="1" x14ac:dyDescent="0.3">
      <c r="M35" s="30">
        <v>33</v>
      </c>
      <c r="N35" s="34"/>
      <c r="O35" s="32" t="s">
        <v>24</v>
      </c>
      <c r="P35" s="31" t="s">
        <v>49</v>
      </c>
      <c r="Q35" s="30" t="s">
        <v>65</v>
      </c>
    </row>
    <row r="36" spans="13:18" ht="20" customHeight="1" x14ac:dyDescent="0.3">
      <c r="M36" s="30">
        <v>34</v>
      </c>
      <c r="N36" s="34"/>
      <c r="O36" s="32" t="s">
        <v>25</v>
      </c>
      <c r="P36" s="31" t="s">
        <v>132</v>
      </c>
      <c r="Q36" s="30" t="s">
        <v>65</v>
      </c>
    </row>
    <row r="37" spans="13:18" ht="20" customHeight="1" x14ac:dyDescent="0.3">
      <c r="M37" s="30">
        <v>35</v>
      </c>
      <c r="N37" s="34"/>
      <c r="O37" s="32" t="s">
        <v>26</v>
      </c>
      <c r="P37" s="31" t="s">
        <v>49</v>
      </c>
      <c r="Q37" s="30" t="s">
        <v>65</v>
      </c>
    </row>
    <row r="38" spans="13:18" ht="20" customHeight="1" x14ac:dyDescent="0.3">
      <c r="M38" s="30">
        <v>36</v>
      </c>
      <c r="N38" s="34"/>
      <c r="O38" s="32" t="s">
        <v>27</v>
      </c>
      <c r="P38" s="31" t="s">
        <v>132</v>
      </c>
      <c r="Q38" s="30" t="s">
        <v>65</v>
      </c>
    </row>
    <row r="39" spans="13:18" ht="20" customHeight="1" x14ac:dyDescent="0.3">
      <c r="M39" s="30">
        <v>37</v>
      </c>
      <c r="N39" s="34"/>
      <c r="O39" s="32" t="s">
        <v>28</v>
      </c>
      <c r="P39" s="31" t="s">
        <v>49</v>
      </c>
      <c r="Q39" s="30" t="s">
        <v>65</v>
      </c>
    </row>
    <row r="40" spans="13:18" ht="24.65" customHeight="1" x14ac:dyDescent="0.3">
      <c r="M40" s="30">
        <v>38</v>
      </c>
      <c r="N40" s="34"/>
      <c r="O40" s="32" t="s">
        <v>29</v>
      </c>
      <c r="P40" s="31" t="s">
        <v>49</v>
      </c>
      <c r="Q40" s="30" t="s">
        <v>65</v>
      </c>
    </row>
    <row r="41" spans="13:18" ht="20" customHeight="1" x14ac:dyDescent="0.3">
      <c r="M41" s="30">
        <v>39</v>
      </c>
      <c r="N41" s="34"/>
      <c r="O41" s="31" t="s">
        <v>66</v>
      </c>
      <c r="P41" s="31" t="s">
        <v>67</v>
      </c>
      <c r="Q41" s="30" t="s">
        <v>65</v>
      </c>
    </row>
    <row r="42" spans="13:18" ht="20" customHeight="1" x14ac:dyDescent="0.3">
      <c r="M42" s="30">
        <v>40</v>
      </c>
      <c r="N42" s="34"/>
      <c r="O42" s="31" t="s">
        <v>112</v>
      </c>
      <c r="P42" s="31" t="s">
        <v>113</v>
      </c>
      <c r="Q42" s="30" t="s">
        <v>65</v>
      </c>
    </row>
    <row r="43" spans="13:18" ht="24.65" customHeight="1" x14ac:dyDescent="0.3">
      <c r="M43" s="30">
        <v>41</v>
      </c>
      <c r="N43" s="34"/>
      <c r="O43" s="32" t="s">
        <v>58</v>
      </c>
      <c r="P43" s="31" t="s">
        <v>145</v>
      </c>
      <c r="Q43" s="30" t="s">
        <v>65</v>
      </c>
    </row>
    <row r="44" spans="13:18" ht="20.399999999999999" customHeight="1" x14ac:dyDescent="0.3">
      <c r="M44" s="30">
        <v>42</v>
      </c>
      <c r="N44" s="34"/>
      <c r="O44" s="32" t="s">
        <v>62</v>
      </c>
      <c r="P44" s="31" t="s">
        <v>63</v>
      </c>
      <c r="Q44" s="30" t="s">
        <v>65</v>
      </c>
    </row>
    <row r="45" spans="13:18" ht="36" customHeight="1" x14ac:dyDescent="0.3">
      <c r="M45" s="30">
        <v>43</v>
      </c>
      <c r="N45" s="34"/>
      <c r="O45" s="32" t="s">
        <v>34</v>
      </c>
      <c r="P45" s="31" t="s">
        <v>52</v>
      </c>
      <c r="Q45" s="30" t="s">
        <v>65</v>
      </c>
    </row>
    <row r="46" spans="13:18" ht="20" customHeight="1" x14ac:dyDescent="0.3">
      <c r="M46" s="30">
        <v>44</v>
      </c>
      <c r="N46" s="34"/>
      <c r="O46" s="31" t="s">
        <v>35</v>
      </c>
      <c r="P46" s="31" t="s">
        <v>53</v>
      </c>
      <c r="Q46" s="30" t="s">
        <v>65</v>
      </c>
    </row>
    <row r="47" spans="13:18" ht="29" customHeight="1" x14ac:dyDescent="0.3">
      <c r="M47" s="30">
        <v>45</v>
      </c>
      <c r="N47" s="34"/>
      <c r="O47" s="32" t="s">
        <v>37</v>
      </c>
      <c r="P47" s="31" t="s">
        <v>55</v>
      </c>
      <c r="Q47" s="30" t="s">
        <v>65</v>
      </c>
    </row>
    <row r="48" spans="13:18" ht="29.4" customHeight="1" x14ac:dyDescent="0.3">
      <c r="M48" s="30">
        <v>46</v>
      </c>
      <c r="N48" s="34"/>
      <c r="O48" s="31" t="s">
        <v>101</v>
      </c>
      <c r="P48" s="31" t="s">
        <v>69</v>
      </c>
      <c r="Q48" s="30" t="s">
        <v>65</v>
      </c>
    </row>
    <row r="49" spans="13:17" ht="24" customHeight="1" x14ac:dyDescent="0.3">
      <c r="M49" s="30">
        <v>47</v>
      </c>
      <c r="N49" s="34"/>
      <c r="O49" s="31" t="s">
        <v>131</v>
      </c>
      <c r="P49" s="31" t="s">
        <v>129</v>
      </c>
      <c r="Q49" s="30" t="s">
        <v>128</v>
      </c>
    </row>
    <row r="50" spans="13:17" ht="24" customHeight="1" x14ac:dyDescent="0.3">
      <c r="M50" s="30">
        <v>48</v>
      </c>
      <c r="N50" s="34"/>
      <c r="O50" s="31" t="s">
        <v>130</v>
      </c>
      <c r="P50" s="31" t="s">
        <v>129</v>
      </c>
      <c r="Q50" s="30" t="s">
        <v>128</v>
      </c>
    </row>
    <row r="51" spans="13:17" ht="42" x14ac:dyDescent="0.3">
      <c r="M51" s="30">
        <v>49</v>
      </c>
      <c r="N51" s="34"/>
      <c r="O51" s="7" t="s">
        <v>74</v>
      </c>
      <c r="P51" s="31" t="s">
        <v>75</v>
      </c>
      <c r="Q51" s="30" t="s">
        <v>65</v>
      </c>
    </row>
  </sheetData>
  <mergeCells count="2">
    <mergeCell ref="N3:N24"/>
    <mergeCell ref="N25:N51"/>
  </mergeCells>
  <pageMargins left="0.70866141732283472" right="0.70866141732283472" top="0.74803149606299213" bottom="0.74803149606299213" header="0.31496062992125984" footer="0.31496062992125984"/>
  <pageSetup paperSize="9" scale="9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21"/>
  <sheetViews>
    <sheetView workbookViewId="0">
      <pane xSplit="7" ySplit="7" topLeftCell="H8" activePane="bottomRight" state="frozen"/>
      <selection pane="topRight" activeCell="G1" sqref="G1"/>
      <selection pane="bottomLeft" activeCell="A12" sqref="A12"/>
      <selection pane="bottomRight" activeCell="C10" sqref="C10"/>
    </sheetView>
  </sheetViews>
  <sheetFormatPr defaultColWidth="9" defaultRowHeight="14" x14ac:dyDescent="0.35"/>
  <cols>
    <col min="1" max="1" width="5.08984375" style="19" customWidth="1"/>
    <col min="2" max="2" width="19.36328125" style="19" customWidth="1"/>
    <col min="3" max="3" width="50.90625" style="24" customWidth="1"/>
    <col min="4" max="4" width="12.6328125" style="24" customWidth="1"/>
    <col min="5" max="7" width="13.08984375" style="24" customWidth="1"/>
    <col min="8" max="8" width="13.08984375" style="19" customWidth="1"/>
    <col min="9" max="9" width="13.6328125" style="24" customWidth="1"/>
    <col min="10" max="10" width="14" style="24" customWidth="1"/>
    <col min="11" max="11" width="8.6328125" style="24" customWidth="1"/>
    <col min="12" max="16384" width="9" style="24"/>
  </cols>
  <sheetData>
    <row r="1" spans="1:13" ht="30.65" customHeight="1" x14ac:dyDescent="0.35">
      <c r="A1" s="35" t="s">
        <v>147</v>
      </c>
      <c r="B1" s="35"/>
      <c r="C1" s="35"/>
      <c r="D1" s="35"/>
      <c r="E1" s="33"/>
      <c r="F1" s="33"/>
      <c r="G1" s="33"/>
      <c r="H1" s="33"/>
      <c r="I1" s="33"/>
      <c r="J1" s="33"/>
    </row>
    <row r="2" spans="1:13" ht="15.65" customHeight="1" x14ac:dyDescent="0.35">
      <c r="B2" s="24" t="s">
        <v>125</v>
      </c>
      <c r="C2" s="25" t="s">
        <v>124</v>
      </c>
      <c r="D2" s="25"/>
      <c r="E2" s="25"/>
    </row>
    <row r="3" spans="1:13" ht="15.65" customHeight="1" x14ac:dyDescent="0.35">
      <c r="B3" s="24" t="s">
        <v>123</v>
      </c>
      <c r="C3" s="25" t="s">
        <v>122</v>
      </c>
      <c r="D3" s="25"/>
      <c r="E3" s="25"/>
    </row>
    <row r="4" spans="1:13" ht="15.65" customHeight="1" x14ac:dyDescent="0.35">
      <c r="B4" s="24" t="s">
        <v>12</v>
      </c>
      <c r="C4" s="25" t="s">
        <v>127</v>
      </c>
      <c r="D4" s="25"/>
      <c r="E4" s="25"/>
    </row>
    <row r="5" spans="1:13" ht="15.65" customHeight="1" x14ac:dyDescent="0.35">
      <c r="B5" s="24" t="s">
        <v>121</v>
      </c>
      <c r="C5" s="25" t="s">
        <v>126</v>
      </c>
      <c r="D5" s="25"/>
      <c r="E5" s="25"/>
    </row>
    <row r="6" spans="1:13" ht="16.5" x14ac:dyDescent="0.35">
      <c r="A6" s="23"/>
      <c r="B6" s="23"/>
      <c r="C6" s="28"/>
      <c r="D6" s="36"/>
      <c r="E6" s="36"/>
      <c r="F6" s="36"/>
      <c r="G6" s="23"/>
      <c r="H6" s="23"/>
    </row>
    <row r="7" spans="1:13" ht="49.25" customHeight="1" x14ac:dyDescent="0.35">
      <c r="A7" s="18" t="s">
        <v>120</v>
      </c>
      <c r="B7" s="18" t="s">
        <v>148</v>
      </c>
      <c r="C7" s="18" t="s">
        <v>39</v>
      </c>
      <c r="D7" s="18" t="s">
        <v>146</v>
      </c>
      <c r="E7" s="18"/>
      <c r="F7" s="18"/>
      <c r="G7" s="18"/>
      <c r="H7" s="18"/>
      <c r="I7" s="18"/>
      <c r="J7" s="18"/>
      <c r="K7" s="4"/>
    </row>
    <row r="8" spans="1:13" ht="20.399999999999999" customHeight="1" x14ac:dyDescent="0.35">
      <c r="A8" s="22">
        <v>1</v>
      </c>
      <c r="B8" s="22" t="s">
        <v>149</v>
      </c>
      <c r="C8" s="31" t="s">
        <v>14</v>
      </c>
      <c r="D8" s="22">
        <v>2</v>
      </c>
      <c r="E8" s="21"/>
      <c r="F8" s="26"/>
      <c r="G8" s="26"/>
      <c r="H8" s="27"/>
      <c r="I8" s="21"/>
      <c r="J8" s="21"/>
      <c r="K8" s="20"/>
    </row>
    <row r="9" spans="1:13" ht="22.75" customHeight="1" x14ac:dyDescent="0.35">
      <c r="A9" s="22">
        <f t="shared" ref="A9:A21" si="0">+A8+1</f>
        <v>2</v>
      </c>
      <c r="B9" s="22" t="s">
        <v>149</v>
      </c>
      <c r="C9" s="31" t="s">
        <v>98</v>
      </c>
      <c r="D9" s="22">
        <v>2</v>
      </c>
      <c r="E9" s="21"/>
      <c r="F9" s="26"/>
      <c r="G9" s="26"/>
      <c r="H9" s="27"/>
      <c r="I9" s="21"/>
      <c r="J9" s="21"/>
      <c r="K9" s="20"/>
    </row>
    <row r="10" spans="1:13" x14ac:dyDescent="0.35">
      <c r="A10" s="22">
        <f t="shared" si="0"/>
        <v>3</v>
      </c>
      <c r="B10" s="22" t="s">
        <v>149</v>
      </c>
      <c r="C10" s="31" t="s">
        <v>97</v>
      </c>
      <c r="D10" s="22">
        <v>5</v>
      </c>
      <c r="E10" s="21"/>
      <c r="F10" s="26"/>
      <c r="G10" s="26"/>
      <c r="H10" s="27"/>
      <c r="I10" s="21"/>
      <c r="J10" s="21"/>
      <c r="K10" s="20"/>
    </row>
    <row r="11" spans="1:13" ht="20.399999999999999" customHeight="1" x14ac:dyDescent="0.35">
      <c r="A11" s="22">
        <f t="shared" si="0"/>
        <v>4</v>
      </c>
      <c r="B11" s="22" t="s">
        <v>149</v>
      </c>
      <c r="C11" s="31" t="s">
        <v>15</v>
      </c>
      <c r="D11" s="22">
        <v>4</v>
      </c>
      <c r="E11" s="21"/>
      <c r="F11" s="26"/>
      <c r="G11" s="26"/>
      <c r="H11" s="27"/>
      <c r="I11" s="21"/>
      <c r="J11" s="21"/>
      <c r="K11" s="20"/>
    </row>
    <row r="12" spans="1:13" x14ac:dyDescent="0.35">
      <c r="A12" s="22">
        <f t="shared" si="0"/>
        <v>5</v>
      </c>
      <c r="B12" s="22" t="s">
        <v>149</v>
      </c>
      <c r="C12" s="31" t="s">
        <v>110</v>
      </c>
      <c r="D12" s="22">
        <v>2</v>
      </c>
      <c r="E12" s="21"/>
      <c r="F12" s="26"/>
      <c r="G12" s="26"/>
      <c r="H12" s="27"/>
      <c r="I12" s="21"/>
      <c r="J12" s="21"/>
      <c r="K12" s="20"/>
    </row>
    <row r="13" spans="1:13" x14ac:dyDescent="0.35">
      <c r="A13" s="22">
        <f t="shared" si="0"/>
        <v>6</v>
      </c>
      <c r="B13" s="22" t="s">
        <v>149</v>
      </c>
      <c r="C13" s="31" t="s">
        <v>16</v>
      </c>
      <c r="D13" s="22">
        <v>25</v>
      </c>
      <c r="E13" s="21"/>
      <c r="F13" s="26"/>
      <c r="G13" s="26"/>
      <c r="H13" s="27"/>
      <c r="I13" s="21"/>
      <c r="J13" s="21"/>
      <c r="K13" s="20"/>
    </row>
    <row r="14" spans="1:13" x14ac:dyDescent="0.35">
      <c r="A14" s="22">
        <f t="shared" si="0"/>
        <v>7</v>
      </c>
      <c r="B14" s="22" t="s">
        <v>149</v>
      </c>
      <c r="C14" s="31" t="s">
        <v>17</v>
      </c>
      <c r="D14" s="22">
        <v>35</v>
      </c>
      <c r="E14" s="21"/>
      <c r="F14" s="26"/>
      <c r="G14" s="26"/>
      <c r="H14" s="27"/>
      <c r="I14" s="21"/>
      <c r="J14" s="21"/>
      <c r="K14" s="20"/>
    </row>
    <row r="15" spans="1:13" x14ac:dyDescent="0.35">
      <c r="A15" s="22">
        <f t="shared" si="0"/>
        <v>8</v>
      </c>
      <c r="B15" s="22" t="s">
        <v>149</v>
      </c>
      <c r="C15" s="31" t="s">
        <v>114</v>
      </c>
      <c r="D15" s="22">
        <v>4</v>
      </c>
      <c r="E15" s="21"/>
      <c r="F15" s="26"/>
      <c r="G15" s="26"/>
      <c r="H15" s="27"/>
      <c r="I15" s="21"/>
      <c r="J15" s="21"/>
      <c r="K15" s="20"/>
    </row>
    <row r="16" spans="1:13" x14ac:dyDescent="0.35">
      <c r="A16" s="22">
        <f t="shared" si="0"/>
        <v>9</v>
      </c>
      <c r="B16" s="22" t="s">
        <v>149</v>
      </c>
      <c r="C16" s="31" t="s">
        <v>140</v>
      </c>
      <c r="D16" s="22">
        <v>5</v>
      </c>
      <c r="E16" s="21"/>
      <c r="F16" s="26"/>
      <c r="G16" s="26"/>
      <c r="H16" s="27"/>
      <c r="I16" s="21"/>
      <c r="J16" s="21"/>
      <c r="K16" s="20"/>
      <c r="M16" s="24">
        <f>921/1400</f>
        <v>0.65785714285714281</v>
      </c>
    </row>
    <row r="17" spans="1:11" ht="28" x14ac:dyDescent="0.35">
      <c r="A17" s="22">
        <f t="shared" si="0"/>
        <v>10</v>
      </c>
      <c r="B17" s="22" t="s">
        <v>149</v>
      </c>
      <c r="C17" s="29" t="s">
        <v>119</v>
      </c>
      <c r="D17" s="22">
        <v>2</v>
      </c>
      <c r="E17" s="21"/>
      <c r="F17" s="26"/>
      <c r="G17" s="26"/>
      <c r="H17" s="27"/>
      <c r="I17" s="21"/>
      <c r="J17" s="21"/>
      <c r="K17" s="20"/>
    </row>
    <row r="18" spans="1:11" ht="42" x14ac:dyDescent="0.35">
      <c r="A18" s="22">
        <f t="shared" si="0"/>
        <v>11</v>
      </c>
      <c r="B18" s="22" t="s">
        <v>149</v>
      </c>
      <c r="C18" s="29" t="s">
        <v>118</v>
      </c>
      <c r="D18" s="22">
        <v>5</v>
      </c>
      <c r="E18" s="21"/>
      <c r="F18" s="26"/>
      <c r="G18" s="26"/>
      <c r="H18" s="27"/>
      <c r="I18" s="21"/>
      <c r="J18" s="21"/>
      <c r="K18" s="20"/>
    </row>
    <row r="19" spans="1:11" ht="28" x14ac:dyDescent="0.35">
      <c r="A19" s="22">
        <f t="shared" si="0"/>
        <v>12</v>
      </c>
      <c r="B19" s="22" t="s">
        <v>149</v>
      </c>
      <c r="C19" s="29" t="s">
        <v>117</v>
      </c>
      <c r="D19" s="22">
        <v>2</v>
      </c>
      <c r="E19" s="21"/>
      <c r="F19" s="26"/>
      <c r="G19" s="26"/>
      <c r="H19" s="27"/>
      <c r="I19" s="21"/>
      <c r="J19" s="21"/>
      <c r="K19" s="20"/>
    </row>
    <row r="20" spans="1:11" x14ac:dyDescent="0.35">
      <c r="A20" s="22">
        <f t="shared" si="0"/>
        <v>13</v>
      </c>
      <c r="B20" s="22" t="s">
        <v>149</v>
      </c>
      <c r="C20" s="29" t="s">
        <v>116</v>
      </c>
      <c r="D20" s="22">
        <v>2</v>
      </c>
      <c r="E20" s="21"/>
      <c r="F20" s="26"/>
      <c r="G20" s="26"/>
      <c r="H20" s="27"/>
      <c r="I20" s="21"/>
      <c r="J20" s="21"/>
      <c r="K20" s="20"/>
    </row>
    <row r="21" spans="1:11" ht="28" x14ac:dyDescent="0.35">
      <c r="A21" s="22">
        <f t="shared" si="0"/>
        <v>14</v>
      </c>
      <c r="B21" s="22" t="s">
        <v>149</v>
      </c>
      <c r="C21" s="29" t="s">
        <v>115</v>
      </c>
      <c r="D21" s="22">
        <v>5</v>
      </c>
      <c r="E21" s="21"/>
      <c r="F21" s="26"/>
      <c r="G21" s="26"/>
      <c r="H21" s="27"/>
      <c r="I21" s="21"/>
      <c r="J21" s="21"/>
      <c r="K21" s="20"/>
    </row>
  </sheetData>
  <mergeCells count="2">
    <mergeCell ref="A1:D1"/>
    <mergeCell ref="D6:F6"/>
  </mergeCells>
  <pageMargins left="0.7" right="0.24" top="0.33" bottom="0.17" header="0.3" footer="0.17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4"/>
  <sheetViews>
    <sheetView view="pageBreakPreview" topLeftCell="M1" zoomScale="85" zoomScaleNormal="90" zoomScaleSheetLayoutView="100" workbookViewId="0">
      <pane xSplit="2" ySplit="2" topLeftCell="O13" activePane="bottomRight" state="frozen"/>
      <selection activeCell="M1" sqref="M1"/>
      <selection pane="topRight" activeCell="O1" sqref="O1"/>
      <selection pane="bottomLeft" activeCell="M3" sqref="M3"/>
      <selection pane="bottomRight" activeCell="N3" sqref="N3:N34"/>
    </sheetView>
  </sheetViews>
  <sheetFormatPr defaultColWidth="8.81640625" defaultRowHeight="14" x14ac:dyDescent="0.3"/>
  <cols>
    <col min="1" max="1" width="10.90625" style="6" hidden="1" customWidth="1"/>
    <col min="2" max="2" width="11.08984375" style="6" hidden="1" customWidth="1"/>
    <col min="3" max="3" width="16.1796875" style="6" hidden="1" customWidth="1"/>
    <col min="4" max="4" width="14.08984375" style="6" hidden="1" customWidth="1"/>
    <col min="5" max="5" width="16.36328125" style="6" hidden="1" customWidth="1"/>
    <col min="6" max="6" width="13.81640625" style="6" hidden="1" customWidth="1"/>
    <col min="7" max="7" width="13.6328125" style="6" hidden="1" customWidth="1"/>
    <col min="8" max="10" width="11.81640625" style="6" hidden="1" customWidth="1"/>
    <col min="11" max="11" width="12.36328125" style="6" hidden="1" customWidth="1"/>
    <col min="12" max="12" width="19.36328125" style="6" hidden="1" customWidth="1"/>
    <col min="13" max="13" width="8.1796875" style="6" customWidth="1"/>
    <col min="14" max="14" width="35.6328125" style="8" customWidth="1"/>
    <col min="15" max="15" width="31" style="8" customWidth="1"/>
    <col min="16" max="16" width="19.453125" style="6" customWidth="1"/>
    <col min="17" max="16384" width="8.81640625" style="1"/>
  </cols>
  <sheetData>
    <row r="2" spans="1:16" s="4" customFormat="1" ht="23.5" customHeight="1" x14ac:dyDescent="0.35">
      <c r="A2" s="3" t="s">
        <v>0</v>
      </c>
      <c r="B2" s="3" t="s">
        <v>1</v>
      </c>
      <c r="C2" s="3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13</v>
      </c>
      <c r="J2" s="2" t="s">
        <v>38</v>
      </c>
      <c r="K2" s="2" t="s">
        <v>12</v>
      </c>
      <c r="L2" s="2" t="s">
        <v>56</v>
      </c>
      <c r="M2" s="2" t="s">
        <v>57</v>
      </c>
      <c r="N2" s="2" t="s">
        <v>39</v>
      </c>
      <c r="O2" s="2" t="s">
        <v>40</v>
      </c>
      <c r="P2" s="11"/>
    </row>
    <row r="3" spans="1:16" ht="20" customHeight="1" x14ac:dyDescent="0.3">
      <c r="A3" s="6">
        <v>1</v>
      </c>
      <c r="B3" s="6" t="s">
        <v>8</v>
      </c>
      <c r="C3" s="6" t="s">
        <v>9</v>
      </c>
      <c r="D3" s="6" t="s">
        <v>8</v>
      </c>
      <c r="E3" s="6" t="s">
        <v>10</v>
      </c>
      <c r="F3" s="6" t="s">
        <v>9</v>
      </c>
      <c r="G3" s="6" t="s">
        <v>9</v>
      </c>
      <c r="H3" s="6" t="s">
        <v>11</v>
      </c>
      <c r="M3" s="9">
        <v>1</v>
      </c>
      <c r="N3" s="7" t="s">
        <v>14</v>
      </c>
      <c r="O3" s="7" t="s">
        <v>41</v>
      </c>
      <c r="P3" s="9" t="s">
        <v>64</v>
      </c>
    </row>
    <row r="4" spans="1:16" ht="20" customHeight="1" x14ac:dyDescent="0.3">
      <c r="M4" s="9">
        <v>2</v>
      </c>
      <c r="N4" s="7" t="s">
        <v>66</v>
      </c>
      <c r="O4" s="7" t="s">
        <v>67</v>
      </c>
      <c r="P4" s="9" t="s">
        <v>65</v>
      </c>
    </row>
    <row r="5" spans="1:16" ht="36.5" customHeight="1" x14ac:dyDescent="0.3">
      <c r="M5" s="9">
        <v>3</v>
      </c>
      <c r="N5" s="7" t="s">
        <v>15</v>
      </c>
      <c r="O5" s="7" t="s">
        <v>44</v>
      </c>
      <c r="P5" s="9" t="s">
        <v>64</v>
      </c>
    </row>
    <row r="6" spans="1:16" ht="34" customHeight="1" x14ac:dyDescent="0.3">
      <c r="M6" s="9">
        <v>4</v>
      </c>
      <c r="N6" s="7" t="s">
        <v>16</v>
      </c>
      <c r="O6" s="7" t="s">
        <v>43</v>
      </c>
      <c r="P6" s="9" t="s">
        <v>64</v>
      </c>
    </row>
    <row r="7" spans="1:16" ht="29" customHeight="1" x14ac:dyDescent="0.3">
      <c r="M7" s="9">
        <v>5</v>
      </c>
      <c r="N7" s="7" t="s">
        <v>17</v>
      </c>
      <c r="O7" s="7" t="s">
        <v>42</v>
      </c>
      <c r="P7" s="9" t="s">
        <v>64</v>
      </c>
    </row>
    <row r="8" spans="1:16" ht="26.5" customHeight="1" x14ac:dyDescent="0.3">
      <c r="M8" s="9">
        <v>6</v>
      </c>
      <c r="N8" s="7" t="s">
        <v>18</v>
      </c>
      <c r="O8" s="7" t="s">
        <v>45</v>
      </c>
      <c r="P8" s="9" t="s">
        <v>65</v>
      </c>
    </row>
    <row r="9" spans="1:16" ht="34" customHeight="1" x14ac:dyDescent="0.3">
      <c r="M9" s="9">
        <v>7</v>
      </c>
      <c r="N9" s="7" t="s">
        <v>19</v>
      </c>
      <c r="O9" s="7" t="s">
        <v>46</v>
      </c>
      <c r="P9" s="9" t="s">
        <v>65</v>
      </c>
    </row>
    <row r="10" spans="1:16" ht="26" customHeight="1" x14ac:dyDescent="0.3">
      <c r="M10" s="9">
        <v>8</v>
      </c>
      <c r="N10" s="7" t="s">
        <v>21</v>
      </c>
      <c r="O10" s="7" t="s">
        <v>47</v>
      </c>
      <c r="P10" s="9" t="s">
        <v>65</v>
      </c>
    </row>
    <row r="11" spans="1:16" ht="26" customHeight="1" x14ac:dyDescent="0.3">
      <c r="M11" s="9">
        <v>9</v>
      </c>
      <c r="N11" s="7" t="s">
        <v>68</v>
      </c>
      <c r="O11" s="7" t="s">
        <v>69</v>
      </c>
      <c r="P11" s="9" t="s">
        <v>65</v>
      </c>
    </row>
    <row r="12" spans="1:16" ht="26" customHeight="1" x14ac:dyDescent="0.3">
      <c r="M12" s="9">
        <v>10</v>
      </c>
      <c r="N12" s="7" t="s">
        <v>70</v>
      </c>
      <c r="O12" s="7" t="s">
        <v>71</v>
      </c>
      <c r="P12" s="9" t="s">
        <v>65</v>
      </c>
    </row>
    <row r="13" spans="1:16" ht="26" customHeight="1" x14ac:dyDescent="0.3">
      <c r="M13" s="9">
        <v>11</v>
      </c>
      <c r="N13" s="7" t="s">
        <v>72</v>
      </c>
      <c r="O13" s="7" t="s">
        <v>73</v>
      </c>
      <c r="P13" s="9" t="s">
        <v>65</v>
      </c>
    </row>
    <row r="14" spans="1:16" ht="42" x14ac:dyDescent="0.3">
      <c r="M14" s="9">
        <v>12</v>
      </c>
      <c r="N14" s="7" t="s">
        <v>20</v>
      </c>
      <c r="O14" s="7" t="s">
        <v>48</v>
      </c>
      <c r="P14" s="9" t="s">
        <v>65</v>
      </c>
    </row>
    <row r="15" spans="1:16" ht="20" customHeight="1" x14ac:dyDescent="0.3">
      <c r="M15" s="9">
        <v>13</v>
      </c>
      <c r="N15" s="5" t="s">
        <v>22</v>
      </c>
      <c r="O15" s="5" t="s">
        <v>49</v>
      </c>
      <c r="P15" s="9" t="s">
        <v>65</v>
      </c>
    </row>
    <row r="16" spans="1:16" ht="20" customHeight="1" x14ac:dyDescent="0.3">
      <c r="M16" s="9">
        <v>14</v>
      </c>
      <c r="N16" s="5" t="s">
        <v>23</v>
      </c>
      <c r="O16" s="5" t="s">
        <v>49</v>
      </c>
      <c r="P16" s="9" t="s">
        <v>65</v>
      </c>
    </row>
    <row r="17" spans="13:16" ht="20" customHeight="1" x14ac:dyDescent="0.3">
      <c r="M17" s="9">
        <v>15</v>
      </c>
      <c r="N17" s="5" t="s">
        <v>24</v>
      </c>
      <c r="O17" s="5" t="s">
        <v>49</v>
      </c>
      <c r="P17" s="9" t="s">
        <v>65</v>
      </c>
    </row>
    <row r="18" spans="13:16" ht="20" customHeight="1" x14ac:dyDescent="0.3">
      <c r="M18" s="9">
        <v>16</v>
      </c>
      <c r="N18" s="5" t="s">
        <v>25</v>
      </c>
      <c r="O18" s="5" t="s">
        <v>49</v>
      </c>
      <c r="P18" s="9" t="s">
        <v>65</v>
      </c>
    </row>
    <row r="19" spans="13:16" ht="20" customHeight="1" x14ac:dyDescent="0.3">
      <c r="M19" s="9">
        <v>17</v>
      </c>
      <c r="N19" s="5" t="s">
        <v>26</v>
      </c>
      <c r="O19" s="5" t="s">
        <v>49</v>
      </c>
      <c r="P19" s="9" t="s">
        <v>65</v>
      </c>
    </row>
    <row r="20" spans="13:16" ht="20" customHeight="1" x14ac:dyDescent="0.3">
      <c r="M20" s="9">
        <v>18</v>
      </c>
      <c r="N20" s="5" t="s">
        <v>27</v>
      </c>
      <c r="O20" s="5" t="s">
        <v>49</v>
      </c>
      <c r="P20" s="9" t="s">
        <v>65</v>
      </c>
    </row>
    <row r="21" spans="13:16" ht="20" customHeight="1" x14ac:dyDescent="0.3">
      <c r="M21" s="9">
        <v>19</v>
      </c>
      <c r="N21" s="5" t="s">
        <v>28</v>
      </c>
      <c r="O21" s="5" t="s">
        <v>49</v>
      </c>
      <c r="P21" s="9" t="s">
        <v>65</v>
      </c>
    </row>
    <row r="22" spans="13:16" ht="31" customHeight="1" x14ac:dyDescent="0.3">
      <c r="M22" s="9">
        <v>20</v>
      </c>
      <c r="N22" s="5" t="s">
        <v>29</v>
      </c>
      <c r="O22" s="5" t="s">
        <v>49</v>
      </c>
      <c r="P22" s="9" t="s">
        <v>65</v>
      </c>
    </row>
    <row r="23" spans="13:16" ht="31" customHeight="1" x14ac:dyDescent="0.3">
      <c r="M23" s="9">
        <v>21</v>
      </c>
      <c r="N23" s="7" t="s">
        <v>58</v>
      </c>
      <c r="O23" s="5" t="s">
        <v>60</v>
      </c>
      <c r="P23" s="9" t="s">
        <v>65</v>
      </c>
    </row>
    <row r="24" spans="13:16" ht="31" customHeight="1" x14ac:dyDescent="0.3">
      <c r="M24" s="9">
        <v>22</v>
      </c>
      <c r="N24" s="7" t="s">
        <v>59</v>
      </c>
      <c r="O24" s="5" t="s">
        <v>61</v>
      </c>
      <c r="P24" s="9" t="s">
        <v>64</v>
      </c>
    </row>
    <row r="25" spans="13:16" ht="31" customHeight="1" x14ac:dyDescent="0.3">
      <c r="M25" s="9">
        <v>23</v>
      </c>
      <c r="N25" s="7" t="s">
        <v>62</v>
      </c>
      <c r="O25" s="5" t="s">
        <v>63</v>
      </c>
      <c r="P25" s="9" t="s">
        <v>65</v>
      </c>
    </row>
    <row r="26" spans="13:16" ht="28.5" customHeight="1" x14ac:dyDescent="0.3">
      <c r="M26" s="9">
        <v>24</v>
      </c>
      <c r="N26" s="5" t="s">
        <v>30</v>
      </c>
      <c r="O26" s="5" t="s">
        <v>50</v>
      </c>
      <c r="P26" s="9" t="s">
        <v>64</v>
      </c>
    </row>
    <row r="27" spans="13:16" ht="26.5" customHeight="1" x14ac:dyDescent="0.3">
      <c r="M27" s="9">
        <v>25</v>
      </c>
      <c r="N27" s="10" t="s">
        <v>31</v>
      </c>
      <c r="O27" s="10" t="s">
        <v>51</v>
      </c>
      <c r="P27" s="9" t="s">
        <v>64</v>
      </c>
    </row>
    <row r="28" spans="13:16" ht="31" customHeight="1" x14ac:dyDescent="0.3">
      <c r="M28" s="9">
        <v>26</v>
      </c>
      <c r="N28" s="10" t="s">
        <v>32</v>
      </c>
      <c r="O28" s="10" t="s">
        <v>51</v>
      </c>
      <c r="P28" s="9" t="s">
        <v>64</v>
      </c>
    </row>
    <row r="29" spans="13:16" ht="35" customHeight="1" x14ac:dyDescent="0.3">
      <c r="M29" s="9">
        <v>27</v>
      </c>
      <c r="N29" s="10" t="s">
        <v>33</v>
      </c>
      <c r="O29" s="10" t="s">
        <v>51</v>
      </c>
      <c r="P29" s="9" t="s">
        <v>64</v>
      </c>
    </row>
    <row r="30" spans="13:16" ht="36" customHeight="1" x14ac:dyDescent="0.3">
      <c r="M30" s="9">
        <v>28</v>
      </c>
      <c r="N30" s="7" t="s">
        <v>34</v>
      </c>
      <c r="O30" s="10" t="s">
        <v>52</v>
      </c>
      <c r="P30" s="9" t="s">
        <v>65</v>
      </c>
    </row>
    <row r="31" spans="13:16" ht="20" customHeight="1" x14ac:dyDescent="0.3">
      <c r="M31" s="9">
        <v>29</v>
      </c>
      <c r="N31" s="7" t="s">
        <v>35</v>
      </c>
      <c r="O31" s="7" t="s">
        <v>53</v>
      </c>
      <c r="P31" s="9" t="s">
        <v>65</v>
      </c>
    </row>
    <row r="32" spans="13:16" ht="25" customHeight="1" x14ac:dyDescent="0.3">
      <c r="M32" s="9">
        <v>30</v>
      </c>
      <c r="N32" s="7" t="s">
        <v>36</v>
      </c>
      <c r="O32" s="7" t="s">
        <v>54</v>
      </c>
      <c r="P32" s="9" t="s">
        <v>64</v>
      </c>
    </row>
    <row r="33" spans="13:16" ht="29" customHeight="1" x14ac:dyDescent="0.3">
      <c r="M33" s="9">
        <v>31</v>
      </c>
      <c r="N33" s="7" t="s">
        <v>37</v>
      </c>
      <c r="O33" s="7" t="s">
        <v>55</v>
      </c>
      <c r="P33" s="9" t="s">
        <v>65</v>
      </c>
    </row>
    <row r="34" spans="13:16" ht="46" customHeight="1" x14ac:dyDescent="0.3">
      <c r="M34" s="9">
        <v>32</v>
      </c>
      <c r="N34" s="7" t="s">
        <v>74</v>
      </c>
      <c r="O34" s="7" t="s">
        <v>75</v>
      </c>
      <c r="P34" s="9" t="s">
        <v>64</v>
      </c>
    </row>
  </sheetData>
  <phoneticPr fontId="5" type="noConversion"/>
  <pageMargins left="0.70866141732283472" right="0.70866141732283472" top="0.74803149606299213" bottom="0.74803149606299213" header="0.31496062992125984" footer="0.31496062992125984"/>
  <pageSetup paperSize="9" scale="9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topLeftCell="M1" zoomScale="90" zoomScaleNormal="90" zoomScaleSheetLayoutView="85" workbookViewId="0">
      <pane xSplit="3" ySplit="2" topLeftCell="P19" activePane="bottomRight" state="frozen"/>
      <selection activeCell="M1" sqref="M1"/>
      <selection pane="topRight" activeCell="P1" sqref="P1"/>
      <selection pane="bottomLeft" activeCell="M3" sqref="M3"/>
      <selection pane="bottomRight" activeCell="M35" sqref="M35:P35"/>
    </sheetView>
  </sheetViews>
  <sheetFormatPr defaultColWidth="8.81640625" defaultRowHeight="14" x14ac:dyDescent="0.3"/>
  <cols>
    <col min="1" max="1" width="10.90625" style="6" hidden="1" customWidth="1"/>
    <col min="2" max="2" width="11.08984375" style="6" hidden="1" customWidth="1"/>
    <col min="3" max="3" width="16.1796875" style="6" hidden="1" customWidth="1"/>
    <col min="4" max="4" width="14.08984375" style="6" hidden="1" customWidth="1"/>
    <col min="5" max="5" width="16.36328125" style="6" hidden="1" customWidth="1"/>
    <col min="6" max="6" width="13.81640625" style="6" hidden="1" customWidth="1"/>
    <col min="7" max="7" width="13.6328125" style="6" hidden="1" customWidth="1"/>
    <col min="8" max="10" width="11.81640625" style="6" hidden="1" customWidth="1"/>
    <col min="11" max="11" width="12.36328125" style="6" hidden="1" customWidth="1"/>
    <col min="12" max="12" width="19.36328125" style="6" hidden="1" customWidth="1"/>
    <col min="13" max="13" width="8.1796875" style="6" customWidth="1"/>
    <col min="14" max="14" width="50.1796875" style="8" bestFit="1" customWidth="1"/>
    <col min="15" max="15" width="39.36328125" style="8" bestFit="1" customWidth="1"/>
    <col min="16" max="17" width="17.81640625" style="6" customWidth="1"/>
    <col min="18" max="18" width="53.08984375" style="6" customWidth="1"/>
    <col min="19" max="19" width="22.90625" style="1" customWidth="1"/>
    <col min="20" max="16384" width="8.81640625" style="1"/>
  </cols>
  <sheetData>
    <row r="1" spans="1:19" ht="33.65" customHeight="1" x14ac:dyDescent="0.3">
      <c r="O1" s="8" t="s">
        <v>81</v>
      </c>
      <c r="P1" s="6" t="s">
        <v>90</v>
      </c>
      <c r="Q1" s="6" t="s">
        <v>84</v>
      </c>
    </row>
    <row r="2" spans="1:19" s="4" customFormat="1" ht="52.75" customHeight="1" x14ac:dyDescent="0.35">
      <c r="A2" s="3" t="s">
        <v>0</v>
      </c>
      <c r="B2" s="3" t="s">
        <v>1</v>
      </c>
      <c r="C2" s="3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13</v>
      </c>
      <c r="J2" s="2" t="s">
        <v>38</v>
      </c>
      <c r="K2" s="2" t="s">
        <v>12</v>
      </c>
      <c r="L2" s="2" t="s">
        <v>56</v>
      </c>
      <c r="M2" s="2" t="s">
        <v>57</v>
      </c>
      <c r="N2" s="2" t="s">
        <v>39</v>
      </c>
      <c r="O2" s="2" t="s">
        <v>40</v>
      </c>
      <c r="P2" s="15" t="s">
        <v>76</v>
      </c>
      <c r="Q2" s="11" t="s">
        <v>82</v>
      </c>
      <c r="R2" s="4" t="s">
        <v>91</v>
      </c>
      <c r="S2" s="4" t="s">
        <v>80</v>
      </c>
    </row>
    <row r="3" spans="1:19" ht="27" customHeight="1" x14ac:dyDescent="0.3">
      <c r="A3" s="6">
        <v>1</v>
      </c>
      <c r="B3" s="6" t="s">
        <v>8</v>
      </c>
      <c r="C3" s="6" t="s">
        <v>9</v>
      </c>
      <c r="D3" s="6" t="s">
        <v>8</v>
      </c>
      <c r="E3" s="6" t="s">
        <v>10</v>
      </c>
      <c r="F3" s="6" t="s">
        <v>9</v>
      </c>
      <c r="G3" s="6" t="s">
        <v>9</v>
      </c>
      <c r="H3" s="6" t="s">
        <v>11</v>
      </c>
      <c r="M3" s="9">
        <v>1</v>
      </c>
      <c r="N3" s="7" t="s">
        <v>14</v>
      </c>
      <c r="O3" s="7" t="s">
        <v>41</v>
      </c>
      <c r="P3" s="16" t="s">
        <v>64</v>
      </c>
      <c r="Q3" s="9">
        <v>1</v>
      </c>
    </row>
    <row r="4" spans="1:19" ht="20" customHeight="1" x14ac:dyDescent="0.3">
      <c r="M4" s="9">
        <v>2</v>
      </c>
      <c r="N4" s="7" t="s">
        <v>77</v>
      </c>
      <c r="O4" s="7" t="s">
        <v>67</v>
      </c>
      <c r="P4" s="16" t="s">
        <v>65</v>
      </c>
      <c r="Q4" s="9">
        <v>115</v>
      </c>
    </row>
    <row r="5" spans="1:19" ht="36.5" customHeight="1" x14ac:dyDescent="0.3">
      <c r="M5" s="9">
        <v>3</v>
      </c>
      <c r="N5" s="7" t="s">
        <v>15</v>
      </c>
      <c r="O5" s="7" t="s">
        <v>44</v>
      </c>
      <c r="P5" s="16" t="s">
        <v>64</v>
      </c>
      <c r="Q5" s="9">
        <v>2</v>
      </c>
    </row>
    <row r="6" spans="1:19" ht="34" customHeight="1" x14ac:dyDescent="0.3">
      <c r="M6" s="9">
        <v>4</v>
      </c>
      <c r="N6" s="7" t="s">
        <v>16</v>
      </c>
      <c r="O6" s="7" t="s">
        <v>43</v>
      </c>
      <c r="P6" s="16" t="s">
        <v>64</v>
      </c>
      <c r="Q6" s="9">
        <v>4</v>
      </c>
    </row>
    <row r="7" spans="1:19" ht="29" customHeight="1" x14ac:dyDescent="0.3">
      <c r="M7" s="9">
        <v>5</v>
      </c>
      <c r="N7" s="7" t="s">
        <v>17</v>
      </c>
      <c r="O7" s="7" t="s">
        <v>42</v>
      </c>
      <c r="P7" s="16" t="s">
        <v>64</v>
      </c>
      <c r="Q7" s="9">
        <v>6</v>
      </c>
    </row>
    <row r="8" spans="1:19" ht="26.5" customHeight="1" x14ac:dyDescent="0.3">
      <c r="M8" s="9">
        <v>6</v>
      </c>
      <c r="N8" s="7" t="s">
        <v>18</v>
      </c>
      <c r="O8" s="7" t="s">
        <v>45</v>
      </c>
      <c r="P8" s="16" t="s">
        <v>65</v>
      </c>
      <c r="Q8" s="9">
        <v>158</v>
      </c>
    </row>
    <row r="9" spans="1:19" ht="34" customHeight="1" x14ac:dyDescent="0.3">
      <c r="M9" s="9">
        <v>7</v>
      </c>
      <c r="N9" s="7" t="s">
        <v>19</v>
      </c>
      <c r="O9" s="7" t="s">
        <v>46</v>
      </c>
      <c r="P9" s="16" t="s">
        <v>65</v>
      </c>
      <c r="Q9" s="9">
        <v>115</v>
      </c>
    </row>
    <row r="10" spans="1:19" ht="26" customHeight="1" x14ac:dyDescent="0.3">
      <c r="M10" s="9">
        <v>8</v>
      </c>
      <c r="N10" s="7" t="s">
        <v>21</v>
      </c>
      <c r="O10" s="7" t="s">
        <v>47</v>
      </c>
      <c r="P10" s="16" t="s">
        <v>65</v>
      </c>
      <c r="Q10" s="9">
        <v>115</v>
      </c>
    </row>
    <row r="11" spans="1:19" ht="26" customHeight="1" x14ac:dyDescent="0.3">
      <c r="M11" s="9">
        <v>9</v>
      </c>
      <c r="N11" s="7" t="s">
        <v>68</v>
      </c>
      <c r="O11" s="7" t="s">
        <v>69</v>
      </c>
      <c r="P11" s="16" t="s">
        <v>65</v>
      </c>
      <c r="Q11" s="9">
        <v>115</v>
      </c>
    </row>
    <row r="12" spans="1:19" ht="26" customHeight="1" x14ac:dyDescent="0.3">
      <c r="M12" s="9">
        <v>10</v>
      </c>
      <c r="N12" s="7" t="s">
        <v>70</v>
      </c>
      <c r="O12" s="7" t="s">
        <v>78</v>
      </c>
      <c r="P12" s="16" t="s">
        <v>65</v>
      </c>
      <c r="Q12" s="9">
        <v>115</v>
      </c>
    </row>
    <row r="13" spans="1:19" ht="26" customHeight="1" x14ac:dyDescent="0.3">
      <c r="M13" s="9">
        <v>11</v>
      </c>
      <c r="N13" s="7" t="s">
        <v>79</v>
      </c>
      <c r="O13" s="7" t="s">
        <v>73</v>
      </c>
      <c r="P13" s="16" t="s">
        <v>65</v>
      </c>
      <c r="Q13" s="9">
        <v>115</v>
      </c>
    </row>
    <row r="14" spans="1:19" ht="28" x14ac:dyDescent="0.3">
      <c r="M14" s="9">
        <v>12</v>
      </c>
      <c r="N14" s="7" t="s">
        <v>20</v>
      </c>
      <c r="O14" s="7" t="s">
        <v>48</v>
      </c>
      <c r="P14" s="16" t="s">
        <v>65</v>
      </c>
      <c r="Q14" s="9">
        <v>690</v>
      </c>
    </row>
    <row r="15" spans="1:19" ht="20" customHeight="1" x14ac:dyDescent="0.3">
      <c r="M15" s="9">
        <v>13</v>
      </c>
      <c r="N15" s="5" t="s">
        <v>22</v>
      </c>
      <c r="O15" s="5" t="s">
        <v>49</v>
      </c>
      <c r="P15" s="16" t="s">
        <v>65</v>
      </c>
      <c r="Q15" s="9">
        <v>115</v>
      </c>
    </row>
    <row r="16" spans="1:19" ht="20" customHeight="1" x14ac:dyDescent="0.3">
      <c r="M16" s="9">
        <v>14</v>
      </c>
      <c r="N16" s="5" t="s">
        <v>23</v>
      </c>
      <c r="O16" s="5" t="s">
        <v>49</v>
      </c>
      <c r="P16" s="16" t="s">
        <v>65</v>
      </c>
      <c r="Q16" s="9">
        <v>460</v>
      </c>
      <c r="R16" s="6" t="s">
        <v>92</v>
      </c>
    </row>
    <row r="17" spans="13:19" ht="20" customHeight="1" x14ac:dyDescent="0.3">
      <c r="M17" s="9">
        <v>15</v>
      </c>
      <c r="N17" s="5" t="s">
        <v>24</v>
      </c>
      <c r="O17" s="5" t="s">
        <v>49</v>
      </c>
      <c r="P17" s="16" t="s">
        <v>65</v>
      </c>
      <c r="Q17" s="9">
        <v>115</v>
      </c>
    </row>
    <row r="18" spans="13:19" ht="20" customHeight="1" x14ac:dyDescent="0.3">
      <c r="M18" s="9">
        <v>16</v>
      </c>
      <c r="N18" s="5" t="s">
        <v>25</v>
      </c>
      <c r="O18" s="5" t="s">
        <v>49</v>
      </c>
      <c r="P18" s="16" t="s">
        <v>65</v>
      </c>
      <c r="Q18" s="9">
        <v>115</v>
      </c>
    </row>
    <row r="19" spans="13:19" ht="20" customHeight="1" x14ac:dyDescent="0.3">
      <c r="M19" s="9">
        <v>17</v>
      </c>
      <c r="N19" s="5" t="s">
        <v>26</v>
      </c>
      <c r="O19" s="5" t="s">
        <v>49</v>
      </c>
      <c r="P19" s="16" t="s">
        <v>65</v>
      </c>
      <c r="Q19" s="9">
        <v>115</v>
      </c>
    </row>
    <row r="20" spans="13:19" ht="20" customHeight="1" x14ac:dyDescent="0.3">
      <c r="M20" s="9">
        <v>18</v>
      </c>
      <c r="N20" s="5" t="s">
        <v>27</v>
      </c>
      <c r="O20" s="5" t="s">
        <v>49</v>
      </c>
      <c r="P20" s="16" t="s">
        <v>65</v>
      </c>
      <c r="Q20" s="9">
        <v>115</v>
      </c>
    </row>
    <row r="21" spans="13:19" ht="20" customHeight="1" x14ac:dyDescent="0.3">
      <c r="M21" s="9">
        <v>19</v>
      </c>
      <c r="N21" s="5" t="s">
        <v>28</v>
      </c>
      <c r="O21" s="5" t="s">
        <v>49</v>
      </c>
      <c r="P21" s="16" t="s">
        <v>65</v>
      </c>
      <c r="Q21" s="9">
        <v>115</v>
      </c>
    </row>
    <row r="22" spans="13:19" ht="31" customHeight="1" x14ac:dyDescent="0.3">
      <c r="M22" s="9">
        <v>20</v>
      </c>
      <c r="N22" s="5" t="s">
        <v>29</v>
      </c>
      <c r="O22" s="5" t="s">
        <v>49</v>
      </c>
      <c r="P22" s="16" t="s">
        <v>65</v>
      </c>
      <c r="Q22" s="9">
        <v>230</v>
      </c>
    </row>
    <row r="23" spans="13:19" ht="31" customHeight="1" x14ac:dyDescent="0.3">
      <c r="M23" s="12">
        <v>21</v>
      </c>
      <c r="N23" s="13" t="s">
        <v>58</v>
      </c>
      <c r="O23" s="14" t="s">
        <v>60</v>
      </c>
      <c r="P23" s="17" t="s">
        <v>65</v>
      </c>
      <c r="Q23" s="12">
        <v>4140</v>
      </c>
      <c r="R23" s="6" t="s">
        <v>85</v>
      </c>
    </row>
    <row r="24" spans="13:19" ht="31" customHeight="1" x14ac:dyDescent="0.3">
      <c r="M24" s="9">
        <v>22</v>
      </c>
      <c r="N24" s="7" t="s">
        <v>59</v>
      </c>
      <c r="O24" s="5" t="s">
        <v>61</v>
      </c>
      <c r="P24" s="16" t="s">
        <v>64</v>
      </c>
      <c r="Q24" s="9">
        <v>6</v>
      </c>
      <c r="R24" s="6" t="s">
        <v>83</v>
      </c>
    </row>
    <row r="25" spans="13:19" ht="31" customHeight="1" x14ac:dyDescent="0.3">
      <c r="M25" s="9">
        <v>23</v>
      </c>
      <c r="N25" s="7" t="s">
        <v>62</v>
      </c>
      <c r="O25" s="5" t="s">
        <v>63</v>
      </c>
      <c r="P25" s="16" t="s">
        <v>65</v>
      </c>
      <c r="Q25" s="9">
        <v>115</v>
      </c>
    </row>
    <row r="26" spans="13:19" ht="28.5" customHeight="1" x14ac:dyDescent="0.3">
      <c r="M26" s="9">
        <v>24</v>
      </c>
      <c r="N26" s="5" t="s">
        <v>30</v>
      </c>
      <c r="O26" s="5" t="s">
        <v>50</v>
      </c>
      <c r="P26" s="16" t="s">
        <v>64</v>
      </c>
      <c r="Q26" s="9">
        <v>288</v>
      </c>
      <c r="R26" s="6" t="s">
        <v>93</v>
      </c>
    </row>
    <row r="27" spans="13:19" ht="26.5" customHeight="1" x14ac:dyDescent="0.3">
      <c r="M27" s="9">
        <v>25</v>
      </c>
      <c r="N27" s="10" t="s">
        <v>31</v>
      </c>
      <c r="O27" s="10" t="s">
        <v>51</v>
      </c>
      <c r="P27" s="16" t="s">
        <v>64</v>
      </c>
      <c r="Q27" s="9">
        <v>15</v>
      </c>
      <c r="R27" s="6" t="s">
        <v>86</v>
      </c>
      <c r="S27" s="8" t="s">
        <v>94</v>
      </c>
    </row>
    <row r="28" spans="13:19" ht="31" customHeight="1" x14ac:dyDescent="0.3">
      <c r="M28" s="9">
        <v>26</v>
      </c>
      <c r="N28" s="10" t="s">
        <v>32</v>
      </c>
      <c r="O28" s="10" t="s">
        <v>51</v>
      </c>
      <c r="P28" s="16" t="s">
        <v>64</v>
      </c>
      <c r="Q28" s="9">
        <v>15</v>
      </c>
      <c r="R28" s="6" t="s">
        <v>86</v>
      </c>
      <c r="S28" s="8" t="s">
        <v>94</v>
      </c>
    </row>
    <row r="29" spans="13:19" ht="35" customHeight="1" x14ac:dyDescent="0.3">
      <c r="M29" s="9">
        <v>27</v>
      </c>
      <c r="N29" s="10" t="s">
        <v>33</v>
      </c>
      <c r="O29" s="10" t="s">
        <v>51</v>
      </c>
      <c r="P29" s="16" t="s">
        <v>64</v>
      </c>
      <c r="Q29" s="9">
        <v>15</v>
      </c>
      <c r="R29" s="6" t="s">
        <v>86</v>
      </c>
      <c r="S29" s="8" t="s">
        <v>94</v>
      </c>
    </row>
    <row r="30" spans="13:19" ht="36" customHeight="1" x14ac:dyDescent="0.3">
      <c r="M30" s="9">
        <v>28</v>
      </c>
      <c r="N30" s="7" t="s">
        <v>34</v>
      </c>
      <c r="O30" s="10" t="s">
        <v>52</v>
      </c>
      <c r="P30" s="16" t="s">
        <v>65</v>
      </c>
      <c r="Q30" s="9">
        <v>230</v>
      </c>
      <c r="R30" s="6" t="s">
        <v>87</v>
      </c>
    </row>
    <row r="31" spans="13:19" ht="20" customHeight="1" x14ac:dyDescent="0.3">
      <c r="M31" s="12">
        <v>29</v>
      </c>
      <c r="N31" s="13" t="s">
        <v>35</v>
      </c>
      <c r="O31" s="13" t="s">
        <v>53</v>
      </c>
      <c r="P31" s="17" t="s">
        <v>65</v>
      </c>
      <c r="Q31" s="12">
        <v>1035</v>
      </c>
      <c r="R31" s="6" t="s">
        <v>95</v>
      </c>
    </row>
    <row r="32" spans="13:19" ht="25" customHeight="1" x14ac:dyDescent="0.3">
      <c r="M32" s="9">
        <v>30</v>
      </c>
      <c r="N32" s="7" t="s">
        <v>36</v>
      </c>
      <c r="O32" s="7" t="s">
        <v>54</v>
      </c>
      <c r="P32" s="16" t="s">
        <v>64</v>
      </c>
      <c r="Q32" s="9">
        <v>9</v>
      </c>
      <c r="R32" s="6" t="s">
        <v>88</v>
      </c>
      <c r="S32" s="1" t="s">
        <v>89</v>
      </c>
    </row>
    <row r="33" spans="13:18" ht="29" customHeight="1" x14ac:dyDescent="0.3">
      <c r="M33" s="9">
        <v>31</v>
      </c>
      <c r="N33" s="7" t="s">
        <v>37</v>
      </c>
      <c r="O33" s="7" t="s">
        <v>55</v>
      </c>
      <c r="P33" s="16" t="s">
        <v>65</v>
      </c>
      <c r="Q33" s="9">
        <v>115</v>
      </c>
    </row>
    <row r="34" spans="13:18" ht="46" customHeight="1" x14ac:dyDescent="0.3">
      <c r="M34" s="9">
        <v>32</v>
      </c>
      <c r="N34" s="7" t="s">
        <v>74</v>
      </c>
      <c r="O34" s="7" t="s">
        <v>75</v>
      </c>
      <c r="P34" s="16" t="s">
        <v>64</v>
      </c>
      <c r="Q34" s="9">
        <v>115</v>
      </c>
    </row>
    <row r="35" spans="13:18" ht="27.65" customHeight="1" x14ac:dyDescent="0.3">
      <c r="M35" s="37"/>
      <c r="N35" s="38"/>
      <c r="O35" s="38"/>
      <c r="P35" s="39"/>
      <c r="Q35" s="9">
        <f>SUM(Q3:Q34)</f>
        <v>9029</v>
      </c>
      <c r="R35" s="6">
        <f>Q35/115</f>
        <v>78.513043478260869</v>
      </c>
    </row>
  </sheetData>
  <mergeCells count="1">
    <mergeCell ref="M35:P35"/>
  </mergeCells>
  <pageMargins left="0.70866141732283472" right="0.70866141732283472" top="0.74803149606299213" bottom="0.74803149606299213" header="0.31496062992125984" footer="0.31496062992125984"/>
  <pageSetup paperSize="9" scale="9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Final_16.06.2026</vt:lpstr>
      <vt:lpstr>Abstract of RA Bill</vt:lpstr>
      <vt:lpstr>Final</vt:lpstr>
      <vt:lpstr>Working</vt:lpstr>
      <vt:lpstr>Final!Print_Area</vt:lpstr>
      <vt:lpstr>Final_16.06.2026!Print_Area</vt:lpstr>
      <vt:lpstr>Working!Print_Area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Prawal P Singh</dc:creator>
  <cp:lastModifiedBy>hp</cp:lastModifiedBy>
  <cp:lastPrinted>2025-04-07T11:18:48Z</cp:lastPrinted>
  <dcterms:created xsi:type="dcterms:W3CDTF">2015-06-05T18:17:20Z</dcterms:created>
  <dcterms:modified xsi:type="dcterms:W3CDTF">2026-06-18T12:34:51Z</dcterms:modified>
</cp:coreProperties>
</file>