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6fef1dda86aac5bf/Desktop/"/>
    </mc:Choice>
  </mc:AlternateContent>
  <xr:revisionPtr revIDLastSave="0" documentId="14_{8BCC1BBF-4252-4034-9019-5B27CCDB891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Abstract" sheetId="2" r:id="rId1"/>
    <sheet name="Sheet1" sheetId="1" r:id="rId2"/>
  </sheets>
  <definedNames>
    <definedName name="_xlnm.Print_Area" localSheetId="0">Abstract!$A$1:$K$25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2" l="1"/>
  <c r="H17" i="2"/>
  <c r="G17" i="2"/>
  <c r="F17" i="2"/>
  <c r="J16" i="2"/>
  <c r="K16" i="2" s="1"/>
  <c r="J15" i="2"/>
  <c r="K15" i="2" s="1"/>
  <c r="J14" i="2"/>
  <c r="B13" i="2"/>
  <c r="C13" i="2" s="1"/>
  <c r="D13" i="2" s="1"/>
  <c r="E13" i="2" s="1"/>
  <c r="F13" i="2" s="1"/>
  <c r="G13" i="2" s="1"/>
  <c r="H13" i="2" s="1"/>
  <c r="I13" i="2" s="1"/>
  <c r="J17" i="2" l="1"/>
  <c r="K14" i="2"/>
</calcChain>
</file>

<file path=xl/sharedStrings.xml><?xml version="1.0" encoding="utf-8"?>
<sst xmlns="http://schemas.openxmlformats.org/spreadsheetml/2006/main" count="47" uniqueCount="43">
  <si>
    <t>ABSTRACT</t>
  </si>
  <si>
    <t>Name of work</t>
  </si>
  <si>
    <t>Karanpura Multi Village Rural water supply scheme.</t>
  </si>
  <si>
    <t>Name of PIU</t>
  </si>
  <si>
    <t>Name of Firm</t>
  </si>
  <si>
    <t xml:space="preserve">M/S Jayvarudi Infracon Pvt. Ltd. </t>
  </si>
  <si>
    <t>Agreement No.</t>
  </si>
  <si>
    <t>37/2018-19 Dated-03/10/2018</t>
  </si>
  <si>
    <t>Bill Details</t>
  </si>
  <si>
    <t>O&amp;M 5th RA (Q2 2025) (Dec23-Feb24)</t>
  </si>
  <si>
    <t>Trial run start date (Full scheme)</t>
  </si>
  <si>
    <t>O&amp;M start date (Full scheme)</t>
  </si>
  <si>
    <t>S No.</t>
  </si>
  <si>
    <t>Bill details</t>
  </si>
  <si>
    <t>Month-YY</t>
  </si>
  <si>
    <t>Monthly O&amp;M amount
(in Rs.)</t>
  </si>
  <si>
    <t>Deductions (in Rs.)</t>
  </si>
  <si>
    <t>Quality, quantity, pressure &amp; complaint redressal</t>
  </si>
  <si>
    <t>UFW</t>
  </si>
  <si>
    <t>Additional Bulk Supply</t>
  </si>
  <si>
    <t>Power Consumption</t>
  </si>
  <si>
    <t>Total</t>
  </si>
  <si>
    <t>O&amp;M 2nd Year 1st Quarter</t>
  </si>
  <si>
    <t>Grand Total (in Rs.)</t>
  </si>
  <si>
    <t>Net Payable amount including GST (in words)</t>
  </si>
  <si>
    <t>Bill Type</t>
  </si>
  <si>
    <t>O&amp;M Bill/ Water Supply Bill</t>
  </si>
  <si>
    <t>Date on which water supply permitted for 1st batch of villages</t>
  </si>
  <si>
    <t>10=(6+7+8+9)</t>
  </si>
  <si>
    <t>Gross Payable Amount
(in Rs.)</t>
  </si>
  <si>
    <t>11=5-10</t>
  </si>
  <si>
    <t>A</t>
  </si>
  <si>
    <t>10% of A</t>
  </si>
  <si>
    <t>Net Payable Amount (in Rs.) (excl. GST)</t>
  </si>
  <si>
    <t>Net Payable Amount (in Rs.) (incl. GST)</t>
  </si>
  <si>
    <t>B</t>
  </si>
  <si>
    <t>18% of B</t>
  </si>
  <si>
    <t>Add GST (in Rs.) (@18%)</t>
  </si>
  <si>
    <t>Gross Payable Amount 
(as per supplied days)
(in Rs.)</t>
  </si>
  <si>
    <t>Deduct</t>
  </si>
  <si>
    <t>Withheld</t>
  </si>
  <si>
    <t>Pump and transformer replacement</t>
  </si>
  <si>
    <t>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</si>
</sst>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7" fontId="4" fillId="0" borderId="0" xfId="0" applyNumberFormat="1" applyFont="1"/>
    <xf numFmtId="0" fontId="5" fillId="0" borderId="1" xfId="0" applyFont="1" applyBorder="1" applyAlignment="1">
      <alignment horizontal="center" vertical="center" wrapText="1"/>
    </xf>
    <xf numFmtId="17" fontId="5" fillId="2" borderId="1" xfId="0" applyNumberFormat="1" applyFont="1" applyFill="1" applyBorder="1" applyAlignment="1">
      <alignment horizontal="center" vertical="center" wrapText="1"/>
    </xf>
    <xf numFmtId="2" fontId="5" fillId="2" borderId="1" xfId="1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3" fontId="5" fillId="2" borderId="1" xfId="2" applyFont="1" applyFill="1" applyBorder="1" applyAlignment="1">
      <alignment horizontal="center" vertical="center" wrapText="1"/>
    </xf>
    <xf numFmtId="17" fontId="3" fillId="0" borderId="0" xfId="0" applyNumberFormat="1" applyFont="1"/>
    <xf numFmtId="164" fontId="3" fillId="0" borderId="0" xfId="0" applyNumberFormat="1" applyFont="1"/>
    <xf numFmtId="43" fontId="3" fillId="0" borderId="0" xfId="0" applyNumberFormat="1" applyFont="1"/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43" fontId="6" fillId="2" borderId="1" xfId="2" applyFont="1" applyFill="1" applyBorder="1" applyAlignment="1">
      <alignment horizontal="center" vertical="center" wrapText="1"/>
    </xf>
    <xf numFmtId="43" fontId="6" fillId="3" borderId="1" xfId="2" applyFont="1" applyFill="1" applyBorder="1" applyAlignment="1">
      <alignment vertical="center" wrapText="1"/>
    </xf>
    <xf numFmtId="17" fontId="5" fillId="0" borderId="1" xfId="0" applyNumberFormat="1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43" fontId="6" fillId="3" borderId="0" xfId="2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 wrapText="1"/>
    </xf>
    <xf numFmtId="43" fontId="6" fillId="2" borderId="1" xfId="2" applyFont="1" applyFill="1" applyBorder="1" applyAlignment="1">
      <alignment vertical="center" wrapText="1"/>
    </xf>
    <xf numFmtId="0" fontId="4" fillId="0" borderId="1" xfId="0" applyFont="1" applyBorder="1" applyAlignment="1">
      <alignment horizontal="right" vertical="center"/>
    </xf>
    <xf numFmtId="0" fontId="4" fillId="2" borderId="2" xfId="0" applyFont="1" applyFill="1" applyBorder="1" applyAlignment="1">
      <alignment horizontal="left" vertical="center"/>
    </xf>
    <xf numFmtId="43" fontId="6" fillId="2" borderId="7" xfId="2" applyFont="1" applyFill="1" applyBorder="1" applyAlignment="1">
      <alignment horizontal="center" vertical="center" wrapText="1"/>
    </xf>
    <xf numFmtId="43" fontId="6" fillId="2" borderId="2" xfId="2" applyFont="1" applyFill="1" applyBorder="1" applyAlignment="1">
      <alignment horizontal="center" vertical="center" wrapText="1"/>
    </xf>
    <xf numFmtId="43" fontId="6" fillId="2" borderId="3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2" borderId="2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left" vertical="center"/>
    </xf>
    <xf numFmtId="0" fontId="6" fillId="2" borderId="5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right" vertic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2" borderId="7" xfId="0" applyFont="1" applyFill="1" applyBorder="1" applyAlignment="1">
      <alignment horizontal="left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3" fontId="6" fillId="2" borderId="1" xfId="2" applyFont="1" applyFill="1" applyBorder="1" applyAlignment="1">
      <alignment horizontal="center" vertical="center" wrapText="1"/>
    </xf>
  </cellXfs>
  <cellStyles count="3">
    <cellStyle name="Comma 12" xfId="1" xr:uid="{EED45D24-7D5E-4548-9246-6C6C3902ADD8}"/>
    <cellStyle name="Comma 2" xfId="2" xr:uid="{1A64F283-8135-4DD9-819E-1A643EC00D9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FA4D5-B0F1-4865-8F31-86B2833B6FCB}">
  <sheetPr>
    <pageSetUpPr fitToPage="1"/>
  </sheetPr>
  <dimension ref="A1:S25"/>
  <sheetViews>
    <sheetView tabSelected="1" zoomScale="70" zoomScaleNormal="70" workbookViewId="0">
      <selection activeCell="E24" sqref="E24:J24"/>
    </sheetView>
  </sheetViews>
  <sheetFormatPr defaultRowHeight="18" x14ac:dyDescent="0.4"/>
  <cols>
    <col min="1" max="1" width="8.7265625" style="21"/>
    <col min="2" max="2" width="25" style="21" customWidth="1"/>
    <col min="3" max="3" width="23.54296875" style="21" bestFit="1" customWidth="1"/>
    <col min="4" max="4" width="23.54296875" style="21" customWidth="1"/>
    <col min="5" max="5" width="19.6328125" style="22" customWidth="1"/>
    <col min="6" max="6" width="30.54296875" style="21" customWidth="1"/>
    <col min="7" max="9" width="16.36328125" style="21" customWidth="1"/>
    <col min="10" max="10" width="21" style="21" customWidth="1"/>
    <col min="11" max="11" width="16.1796875" style="21" customWidth="1"/>
    <col min="12" max="12" width="8.7265625" style="1"/>
    <col min="13" max="13" width="16.54296875" style="1" customWidth="1"/>
    <col min="14" max="15" width="8.7265625" style="1"/>
    <col min="16" max="16" width="12.6328125" style="1" bestFit="1" customWidth="1"/>
    <col min="17" max="17" width="17.6328125" style="1" bestFit="1" customWidth="1"/>
    <col min="18" max="18" width="14.08984375" style="1" bestFit="1" customWidth="1"/>
    <col min="19" max="19" width="11.6328125" style="1" bestFit="1" customWidth="1"/>
    <col min="20" max="16384" width="8.7265625" style="1"/>
  </cols>
  <sheetData>
    <row r="1" spans="1:17" x14ac:dyDescent="0.4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7" x14ac:dyDescent="0.4">
      <c r="A2" s="26" t="s">
        <v>1</v>
      </c>
      <c r="B2" s="26"/>
      <c r="C2" s="26"/>
      <c r="D2" s="26"/>
      <c r="E2" s="26"/>
      <c r="F2" s="26"/>
      <c r="G2" s="32" t="s">
        <v>2</v>
      </c>
      <c r="H2" s="32"/>
      <c r="I2" s="32"/>
      <c r="J2" s="32"/>
      <c r="K2" s="32"/>
    </row>
    <row r="3" spans="1:17" x14ac:dyDescent="0.4">
      <c r="A3" s="26" t="s">
        <v>3</v>
      </c>
      <c r="B3" s="26"/>
      <c r="C3" s="26"/>
      <c r="D3" s="26"/>
      <c r="E3" s="26"/>
      <c r="F3" s="26"/>
      <c r="G3" s="32"/>
      <c r="H3" s="32"/>
      <c r="I3" s="32"/>
      <c r="J3" s="32"/>
      <c r="K3" s="32"/>
    </row>
    <row r="4" spans="1:17" x14ac:dyDescent="0.4">
      <c r="A4" s="26" t="s">
        <v>4</v>
      </c>
      <c r="B4" s="26"/>
      <c r="C4" s="26"/>
      <c r="D4" s="26"/>
      <c r="E4" s="26"/>
      <c r="F4" s="26"/>
      <c r="G4" s="27" t="s">
        <v>5</v>
      </c>
      <c r="H4" s="27"/>
      <c r="I4" s="27"/>
      <c r="J4" s="27"/>
      <c r="K4" s="27"/>
    </row>
    <row r="5" spans="1:17" x14ac:dyDescent="0.4">
      <c r="A5" s="26" t="s">
        <v>6</v>
      </c>
      <c r="B5" s="26"/>
      <c r="C5" s="26"/>
      <c r="D5" s="26"/>
      <c r="E5" s="26"/>
      <c r="F5" s="26"/>
      <c r="G5" s="27" t="s">
        <v>7</v>
      </c>
      <c r="H5" s="27"/>
      <c r="I5" s="27"/>
      <c r="J5" s="27"/>
      <c r="K5" s="27"/>
    </row>
    <row r="6" spans="1:17" x14ac:dyDescent="0.4">
      <c r="A6" s="43" t="s">
        <v>25</v>
      </c>
      <c r="B6" s="44"/>
      <c r="C6" s="44"/>
      <c r="D6" s="44"/>
      <c r="E6" s="44"/>
      <c r="F6" s="45"/>
      <c r="G6" s="46" t="s">
        <v>26</v>
      </c>
      <c r="H6" s="27"/>
      <c r="I6" s="27"/>
      <c r="J6" s="27"/>
      <c r="K6" s="27"/>
    </row>
    <row r="7" spans="1:17" x14ac:dyDescent="0.4">
      <c r="A7" s="26" t="s">
        <v>8</v>
      </c>
      <c r="B7" s="26"/>
      <c r="C7" s="26"/>
      <c r="D7" s="26"/>
      <c r="E7" s="26"/>
      <c r="F7" s="26"/>
      <c r="G7" s="27" t="s">
        <v>9</v>
      </c>
      <c r="H7" s="27"/>
      <c r="I7" s="27"/>
      <c r="J7" s="27"/>
      <c r="K7" s="27"/>
    </row>
    <row r="8" spans="1:17" x14ac:dyDescent="0.4">
      <c r="A8" s="43" t="s">
        <v>27</v>
      </c>
      <c r="B8" s="44"/>
      <c r="C8" s="44"/>
      <c r="D8" s="44"/>
      <c r="E8" s="44"/>
      <c r="F8" s="45"/>
      <c r="G8" s="47"/>
      <c r="H8" s="48"/>
      <c r="I8" s="48"/>
      <c r="J8" s="48"/>
      <c r="K8" s="48"/>
    </row>
    <row r="9" spans="1:17" x14ac:dyDescent="0.4">
      <c r="A9" s="26" t="s">
        <v>10</v>
      </c>
      <c r="B9" s="26"/>
      <c r="C9" s="26"/>
      <c r="D9" s="26"/>
      <c r="E9" s="26"/>
      <c r="F9" s="26"/>
      <c r="G9" s="35">
        <v>44470</v>
      </c>
      <c r="H9" s="35"/>
      <c r="I9" s="35"/>
      <c r="J9" s="35"/>
      <c r="K9" s="35"/>
    </row>
    <row r="10" spans="1:17" x14ac:dyDescent="0.4">
      <c r="A10" s="26" t="s">
        <v>11</v>
      </c>
      <c r="B10" s="26"/>
      <c r="C10" s="26"/>
      <c r="D10" s="26"/>
      <c r="E10" s="26"/>
      <c r="F10" s="26"/>
      <c r="G10" s="35">
        <v>44896</v>
      </c>
      <c r="H10" s="35"/>
      <c r="I10" s="35"/>
      <c r="J10" s="35"/>
      <c r="K10" s="35"/>
    </row>
    <row r="11" spans="1:17" ht="30.5" customHeight="1" x14ac:dyDescent="0.4">
      <c r="A11" s="49" t="s">
        <v>12</v>
      </c>
      <c r="B11" s="33" t="s">
        <v>13</v>
      </c>
      <c r="C11" s="33" t="s">
        <v>14</v>
      </c>
      <c r="D11" s="33" t="s">
        <v>15</v>
      </c>
      <c r="E11" s="33" t="s">
        <v>38</v>
      </c>
      <c r="F11" s="50" t="s">
        <v>16</v>
      </c>
      <c r="G11" s="50"/>
      <c r="H11" s="50"/>
      <c r="I11" s="50"/>
      <c r="J11" s="50"/>
      <c r="K11" s="33" t="s">
        <v>29</v>
      </c>
      <c r="M11" s="4"/>
    </row>
    <row r="12" spans="1:17" ht="79.5" customHeight="1" x14ac:dyDescent="0.4">
      <c r="A12" s="34"/>
      <c r="B12" s="34"/>
      <c r="C12" s="34"/>
      <c r="D12" s="34"/>
      <c r="E12" s="34"/>
      <c r="F12" s="3" t="s">
        <v>17</v>
      </c>
      <c r="G12" s="3" t="s">
        <v>18</v>
      </c>
      <c r="H12" s="3" t="s">
        <v>19</v>
      </c>
      <c r="I12" s="3" t="s">
        <v>20</v>
      </c>
      <c r="J12" s="3" t="s">
        <v>21</v>
      </c>
      <c r="K12" s="34"/>
      <c r="M12" s="6"/>
    </row>
    <row r="13" spans="1:17" x14ac:dyDescent="0.4">
      <c r="A13" s="5">
        <v>1</v>
      </c>
      <c r="B13" s="2">
        <f>A13+1</f>
        <v>2</v>
      </c>
      <c r="C13" s="2">
        <f t="shared" ref="C13:I13" si="0">B13+1</f>
        <v>3</v>
      </c>
      <c r="D13" s="2">
        <f t="shared" si="0"/>
        <v>4</v>
      </c>
      <c r="E13" s="2">
        <f t="shared" si="0"/>
        <v>5</v>
      </c>
      <c r="F13" s="2">
        <f t="shared" si="0"/>
        <v>6</v>
      </c>
      <c r="G13" s="2">
        <f t="shared" si="0"/>
        <v>7</v>
      </c>
      <c r="H13" s="2">
        <f t="shared" si="0"/>
        <v>8</v>
      </c>
      <c r="I13" s="2">
        <f t="shared" si="0"/>
        <v>9</v>
      </c>
      <c r="J13" s="2" t="s">
        <v>28</v>
      </c>
      <c r="K13" s="2" t="s">
        <v>30</v>
      </c>
      <c r="M13" s="6"/>
    </row>
    <row r="14" spans="1:17" x14ac:dyDescent="0.4">
      <c r="A14" s="7">
        <v>1</v>
      </c>
      <c r="B14" s="36" t="s">
        <v>22</v>
      </c>
      <c r="C14" s="8">
        <v>45261</v>
      </c>
      <c r="D14" s="8"/>
      <c r="E14" s="9"/>
      <c r="F14" s="10"/>
      <c r="G14" s="11"/>
      <c r="H14" s="11"/>
      <c r="I14" s="11"/>
      <c r="J14" s="11">
        <f>SUM(F14:I14)</f>
        <v>0</v>
      </c>
      <c r="K14" s="11">
        <f>E14-J14</f>
        <v>0</v>
      </c>
      <c r="M14" s="6"/>
    </row>
    <row r="15" spans="1:17" x14ac:dyDescent="0.4">
      <c r="A15" s="7">
        <v>2</v>
      </c>
      <c r="B15" s="37"/>
      <c r="C15" s="8">
        <v>45292</v>
      </c>
      <c r="D15" s="8"/>
      <c r="E15" s="9"/>
      <c r="F15" s="10"/>
      <c r="G15" s="11"/>
      <c r="H15" s="11"/>
      <c r="I15" s="11"/>
      <c r="J15" s="11">
        <f>SUM(F15:I15)</f>
        <v>0</v>
      </c>
      <c r="K15" s="11">
        <f>E15-J15</f>
        <v>0</v>
      </c>
      <c r="L15" s="12"/>
      <c r="O15" s="13"/>
      <c r="P15" s="14"/>
      <c r="Q15" s="14"/>
    </row>
    <row r="16" spans="1:17" x14ac:dyDescent="0.4">
      <c r="A16" s="7">
        <v>3</v>
      </c>
      <c r="B16" s="38"/>
      <c r="C16" s="8">
        <v>45323</v>
      </c>
      <c r="D16" s="8"/>
      <c r="E16" s="9"/>
      <c r="F16" s="10"/>
      <c r="G16" s="11"/>
      <c r="H16" s="11"/>
      <c r="I16" s="11"/>
      <c r="J16" s="11">
        <f>SUM(F16:I16)</f>
        <v>0</v>
      </c>
      <c r="K16" s="11">
        <f>E16-J16</f>
        <v>0</v>
      </c>
      <c r="L16" s="12"/>
      <c r="O16" s="13"/>
      <c r="P16" s="14"/>
      <c r="Q16" s="14"/>
    </row>
    <row r="17" spans="1:19" x14ac:dyDescent="0.4">
      <c r="A17" s="7"/>
      <c r="B17" s="39" t="s">
        <v>23</v>
      </c>
      <c r="C17" s="40"/>
      <c r="D17" s="16"/>
      <c r="E17" s="17"/>
      <c r="F17" s="17">
        <f t="shared" ref="F17:J17" si="1">SUM(F14:F16)</f>
        <v>0</v>
      </c>
      <c r="G17" s="17">
        <f t="shared" si="1"/>
        <v>0</v>
      </c>
      <c r="H17" s="17">
        <f t="shared" si="1"/>
        <v>0</v>
      </c>
      <c r="I17" s="17">
        <f t="shared" si="1"/>
        <v>0</v>
      </c>
      <c r="J17" s="17">
        <f t="shared" si="1"/>
        <v>0</v>
      </c>
      <c r="K17" s="17" t="s">
        <v>31</v>
      </c>
      <c r="L17" s="12"/>
      <c r="O17" s="13"/>
      <c r="P17" s="14"/>
      <c r="Q17" s="18"/>
      <c r="S17" s="14"/>
    </row>
    <row r="18" spans="1:19" ht="18" customHeight="1" x14ac:dyDescent="0.4">
      <c r="A18" s="7"/>
      <c r="B18" s="15"/>
      <c r="C18" s="20"/>
      <c r="D18" s="24"/>
      <c r="E18" s="28" t="s">
        <v>42</v>
      </c>
      <c r="F18" s="29"/>
      <c r="G18" s="29"/>
      <c r="H18" s="29"/>
      <c r="I18" s="30"/>
      <c r="J18" s="25" t="s">
        <v>39</v>
      </c>
      <c r="K18" s="25"/>
      <c r="L18" s="12"/>
      <c r="O18" s="13"/>
      <c r="P18" s="14"/>
      <c r="Q18" s="23"/>
      <c r="S18" s="14"/>
    </row>
    <row r="19" spans="1:19" ht="18" customHeight="1" x14ac:dyDescent="0.4">
      <c r="A19" s="7"/>
      <c r="B19" s="15"/>
      <c r="C19" s="20"/>
      <c r="D19" s="24"/>
      <c r="E19" s="28" t="s">
        <v>42</v>
      </c>
      <c r="F19" s="29"/>
      <c r="G19" s="29"/>
      <c r="H19" s="29"/>
      <c r="I19" s="30"/>
      <c r="J19" s="25" t="s">
        <v>40</v>
      </c>
      <c r="K19" s="17"/>
      <c r="L19" s="12"/>
      <c r="O19" s="13"/>
      <c r="P19" s="14"/>
      <c r="Q19" s="23"/>
      <c r="S19" s="14"/>
    </row>
    <row r="20" spans="1:19" ht="18" customHeight="1" x14ac:dyDescent="0.4">
      <c r="A20" s="7"/>
      <c r="B20" s="15"/>
      <c r="C20" s="20"/>
      <c r="D20" s="16"/>
      <c r="E20" s="28" t="s">
        <v>42</v>
      </c>
      <c r="F20" s="29"/>
      <c r="G20" s="29"/>
      <c r="H20" s="29"/>
      <c r="I20" s="30"/>
      <c r="J20" s="25" t="s">
        <v>40</v>
      </c>
      <c r="K20" s="17"/>
      <c r="L20" s="12"/>
      <c r="O20" s="13"/>
      <c r="P20" s="14"/>
      <c r="Q20" s="23"/>
      <c r="S20" s="14"/>
    </row>
    <row r="21" spans="1:19" ht="18" customHeight="1" x14ac:dyDescent="0.4">
      <c r="A21" s="7"/>
      <c r="B21" s="15"/>
      <c r="C21" s="20"/>
      <c r="D21" s="16"/>
      <c r="E21" s="28" t="s">
        <v>41</v>
      </c>
      <c r="F21" s="29"/>
      <c r="G21" s="29"/>
      <c r="H21" s="29"/>
      <c r="I21" s="30"/>
      <c r="J21" s="25" t="s">
        <v>40</v>
      </c>
      <c r="K21" s="17" t="s">
        <v>32</v>
      </c>
      <c r="L21" s="12"/>
      <c r="O21" s="13"/>
      <c r="P21" s="14"/>
      <c r="Q21" s="23"/>
      <c r="S21" s="14"/>
    </row>
    <row r="22" spans="1:19" x14ac:dyDescent="0.4">
      <c r="A22" s="7"/>
      <c r="B22" s="15"/>
      <c r="C22" s="20"/>
      <c r="D22" s="16"/>
      <c r="E22" s="51" t="s">
        <v>33</v>
      </c>
      <c r="F22" s="51"/>
      <c r="G22" s="51"/>
      <c r="H22" s="51"/>
      <c r="I22" s="51"/>
      <c r="J22" s="51"/>
      <c r="K22" s="17" t="s">
        <v>35</v>
      </c>
      <c r="L22" s="12"/>
      <c r="O22" s="13"/>
      <c r="P22" s="14"/>
      <c r="Q22" s="23"/>
      <c r="S22" s="14"/>
    </row>
    <row r="23" spans="1:19" x14ac:dyDescent="0.4">
      <c r="A23" s="7"/>
      <c r="B23" s="15"/>
      <c r="C23" s="20"/>
      <c r="D23" s="16"/>
      <c r="E23" s="51" t="s">
        <v>37</v>
      </c>
      <c r="F23" s="51"/>
      <c r="G23" s="51"/>
      <c r="H23" s="51"/>
      <c r="I23" s="51"/>
      <c r="J23" s="51"/>
      <c r="K23" s="17" t="s">
        <v>36</v>
      </c>
      <c r="L23" s="12"/>
      <c r="O23" s="13"/>
      <c r="P23" s="14"/>
      <c r="Q23" s="23"/>
      <c r="S23" s="14"/>
    </row>
    <row r="24" spans="1:19" x14ac:dyDescent="0.4">
      <c r="A24" s="7"/>
      <c r="B24" s="15"/>
      <c r="C24" s="20"/>
      <c r="D24" s="16"/>
      <c r="E24" s="51" t="s">
        <v>34</v>
      </c>
      <c r="F24" s="51"/>
      <c r="G24" s="51"/>
      <c r="H24" s="51"/>
      <c r="I24" s="51"/>
      <c r="J24" s="51"/>
      <c r="K24" s="17"/>
      <c r="L24" s="12"/>
      <c r="O24" s="13"/>
      <c r="P24" s="14"/>
      <c r="Q24" s="23"/>
      <c r="S24" s="14"/>
    </row>
    <row r="25" spans="1:19" ht="18" customHeight="1" x14ac:dyDescent="0.4">
      <c r="A25" s="19"/>
      <c r="B25" s="39" t="s">
        <v>24</v>
      </c>
      <c r="C25" s="41"/>
      <c r="D25" s="40"/>
      <c r="E25" s="42"/>
      <c r="F25" s="42"/>
      <c r="G25" s="42"/>
      <c r="H25" s="42"/>
      <c r="I25" s="42"/>
      <c r="J25" s="42"/>
      <c r="K25" s="42"/>
    </row>
  </sheetData>
  <mergeCells count="37">
    <mergeCell ref="E23:J23"/>
    <mergeCell ref="B25:D25"/>
    <mergeCell ref="E25:K25"/>
    <mergeCell ref="A6:F6"/>
    <mergeCell ref="G6:K6"/>
    <mergeCell ref="A8:F8"/>
    <mergeCell ref="G8:K8"/>
    <mergeCell ref="A10:F10"/>
    <mergeCell ref="G10:K10"/>
    <mergeCell ref="A11:A12"/>
    <mergeCell ref="B11:B12"/>
    <mergeCell ref="C11:C12"/>
    <mergeCell ref="D11:D12"/>
    <mergeCell ref="E11:E12"/>
    <mergeCell ref="F11:J11"/>
    <mergeCell ref="E24:J24"/>
    <mergeCell ref="E22:J22"/>
    <mergeCell ref="A1:K1"/>
    <mergeCell ref="A2:F2"/>
    <mergeCell ref="G2:K2"/>
    <mergeCell ref="A3:F3"/>
    <mergeCell ref="G3:K3"/>
    <mergeCell ref="A4:F4"/>
    <mergeCell ref="G4:K4"/>
    <mergeCell ref="E21:I21"/>
    <mergeCell ref="E18:I18"/>
    <mergeCell ref="E19:I19"/>
    <mergeCell ref="E20:I20"/>
    <mergeCell ref="K11:K12"/>
    <mergeCell ref="A5:F5"/>
    <mergeCell ref="G5:K5"/>
    <mergeCell ref="A7:F7"/>
    <mergeCell ref="G7:K7"/>
    <mergeCell ref="A9:F9"/>
    <mergeCell ref="G9:K9"/>
    <mergeCell ref="B14:B16"/>
    <mergeCell ref="B17:C17"/>
  </mergeCells>
  <pageMargins left="0.31496062992125984" right="0.31496062992125984" top="0.35433070866141736" bottom="0.35433070866141736" header="0.31496062992125984" footer="0.31496062992125984"/>
  <pageSetup scale="6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Abstract</vt:lpstr>
      <vt:lpstr>Sheet1</vt:lpstr>
      <vt:lpstr>Abstract!Print_Area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GM O&amp;M</dc:creator>
  <cp:lastModifiedBy>AWINASH KHARE</cp:lastModifiedBy>
  <dcterms:created xsi:type="dcterms:W3CDTF">2015-06-05T18:17:20Z</dcterms:created>
  <dcterms:modified xsi:type="dcterms:W3CDTF">2026-06-17T20:33:12Z</dcterms:modified>
</cp:coreProperties>
</file>